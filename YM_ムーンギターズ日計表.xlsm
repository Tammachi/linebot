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charts/chart7.xml" ContentType="application/vnd.openxmlformats-officedocument.drawingml.chart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15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oidStudio\Desktop\"/>
    </mc:Choice>
  </mc:AlternateContent>
  <xr:revisionPtr revIDLastSave="0" documentId="13_ncr:1_{99D7CCE1-5DDF-4D76-8AD9-D53943538C56}" xr6:coauthVersionLast="43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メニュー" sheetId="10" r:id="rId1"/>
    <sheet name="日計表" sheetId="1" r:id="rId2"/>
    <sheet name="地域G" sheetId="20" r:id="rId3"/>
    <sheet name="顧客台帳" sheetId="2" r:id="rId4"/>
    <sheet name="粗利" sheetId="16" r:id="rId5"/>
    <sheet name="請求書" sheetId="4" r:id="rId6"/>
    <sheet name="伝票" sheetId="15" r:id="rId7"/>
    <sheet name="部品台帳" sheetId="3" r:id="rId8"/>
    <sheet name="月間集計" sheetId="5" r:id="rId9"/>
    <sheet name="月合計Ｇ" sheetId="8" r:id="rId10"/>
    <sheet name="年合計Ｇ" sheetId="9" r:id="rId11"/>
    <sheet name="達成月" sheetId="12" r:id="rId12"/>
    <sheet name="達成年" sheetId="13" r:id="rId13"/>
    <sheet name="達成グラフ" sheetId="14" r:id="rId14"/>
    <sheet name="島村各店" sheetId="18" r:id="rId15"/>
    <sheet name="各支店" sheetId="19" r:id="rId16"/>
    <sheet name="閲覧" sheetId="7" r:id="rId17"/>
    <sheet name="DAO_TBL" sheetId="17" r:id="rId18"/>
  </sheets>
  <functionGroups builtInGroupCount="19"/>
  <definedNames>
    <definedName name="_xlnm._FilterDatabase" localSheetId="1" hidden="1">日計表!$B$4:$W$4</definedName>
    <definedName name="_xlnm.Criteria" localSheetId="1">日計表!#REF!</definedName>
    <definedName name="_xlnm.Extract" localSheetId="1">日計表!#REF!</definedName>
    <definedName name="JEUGIA">顧客台帳!$CV$4:$CZ$9</definedName>
    <definedName name="_xlnm.Print_Area" localSheetId="3">顧客台帳!$AB$2:$AF$126</definedName>
    <definedName name="_xlnm.Print_Area" localSheetId="5">請求書!$B$3:$J$57</definedName>
    <definedName name="_xlnm.Print_Area" localSheetId="4">粗利!$B$4:$J$43</definedName>
    <definedName name="あぽろん">顧客台帳!$BX$4:$CB$10</definedName>
    <definedName name="イー・エス・ピー">顧客台帳!$V$4:$Z$16</definedName>
    <definedName name="ザ・ギターラウンジ">顧客台帳!$DZ$4:$ED$7</definedName>
    <definedName name="すみやグッディ">顧客台帳!$CD$4:$CH$8</definedName>
    <definedName name="ﾀﾞｽﾄﾎﾞｳﾙ">顧客台帳!$EL$4:$EP$7</definedName>
    <definedName name="パン・プロジェクト">顧客台帳!$BR$4:$BV$7</definedName>
    <definedName name="ミュージックランド">顧客台帳!$BF$4:$BJ$13</definedName>
    <definedName name="ヤマハミュージックリテイリング">顧客台帳!$EF$4:$EJ$7</definedName>
    <definedName name="ワタナベ楽器">顧客台帳!$DH$4:$DL$7</definedName>
    <definedName name="演算">月間集計!$X$4:$X$5</definedName>
    <definedName name="下倉楽器">顧客台帳!$AN$4:$AR$14</definedName>
    <definedName name="機種">部品台帳!$B$4:$C$34</definedName>
    <definedName name="宮地楽器">顧客台帳!$AZ$4:$BD$9</definedName>
    <definedName name="月間">月間集計!$B$4:$V$56</definedName>
    <definedName name="検条">日計表!#REF!</definedName>
    <definedName name="顧客">顧客台帳!$B$4:$H$93</definedName>
    <definedName name="黒澤楽器" comment="支店">顧客台帳!$AH$4:$AL$14</definedName>
    <definedName name="三木楽器">顧客台帳!$DB$4:$DF$10</definedName>
    <definedName name="山野楽器">顧客台帳!$BL$4:$BP$16</definedName>
    <definedName name="小阪楽器">顧客台帳!$CP$4:$CT$7</definedName>
    <definedName name="昭和楽器">顧客台帳!$AT$4:$AX$6</definedName>
    <definedName name="石橋楽器" comment="支店">顧客台帳!$P$4:$T$23</definedName>
    <definedName name="大東楽器">顧客台帳!$DN$4:$DR$7</definedName>
    <definedName name="池部楽器" comment="支店">顧客台帳!$J$4:$N$16</definedName>
    <definedName name="島村楽器" comment="支店">顧客台帳!$AB$4:$AF$141</definedName>
    <definedName name="日計">日計表!$B$4:$Y$4</definedName>
    <definedName name="平野楽器ロッキン">顧客台帳!$CJ$4:$CN$8</definedName>
    <definedName name="米子楽器社">顧客台帳!$DT$4:$DX$7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104" i="5" l="1"/>
  <c r="AO104" i="5" s="1"/>
  <c r="AN105" i="5"/>
  <c r="AO105" i="5" s="1"/>
  <c r="AN103" i="5"/>
  <c r="AO103" i="5" s="1"/>
  <c r="AM97" i="5" l="1"/>
  <c r="Q139" i="18" l="1"/>
  <c r="S139" i="18"/>
  <c r="Q140" i="18"/>
  <c r="S140" i="18" s="1"/>
  <c r="Q141" i="18"/>
  <c r="S141" i="18" s="1"/>
  <c r="AE76" i="2"/>
  <c r="AE85" i="2"/>
  <c r="AE53" i="2"/>
  <c r="AE40" i="2"/>
  <c r="AE134" i="2"/>
  <c r="AE9" i="2"/>
  <c r="D2" i="1" l="1"/>
  <c r="BO7" i="2"/>
  <c r="BO8" i="2"/>
  <c r="BO10" i="2"/>
  <c r="BO11" i="2"/>
  <c r="BO12" i="2"/>
  <c r="BO13" i="2"/>
  <c r="BO15" i="2"/>
  <c r="BO16" i="2"/>
  <c r="BI13" i="2"/>
  <c r="BI7" i="2"/>
  <c r="BI11" i="2"/>
  <c r="AE26" i="2"/>
  <c r="AE125" i="2"/>
  <c r="AE126" i="2"/>
  <c r="AE135" i="2"/>
  <c r="AE138" i="2"/>
  <c r="AE139" i="2"/>
  <c r="S23" i="2"/>
  <c r="E12" i="2"/>
  <c r="E14" i="2"/>
  <c r="E18" i="2"/>
  <c r="E19" i="2"/>
  <c r="E20" i="2"/>
  <c r="E21" i="2"/>
  <c r="E26" i="2"/>
  <c r="E30" i="2"/>
  <c r="E34" i="2"/>
  <c r="E38" i="2"/>
  <c r="E39" i="2"/>
  <c r="E40" i="2"/>
  <c r="E42" i="2"/>
  <c r="E43" i="2"/>
  <c r="E44" i="2"/>
  <c r="E46" i="2"/>
  <c r="E53" i="2"/>
  <c r="E56" i="2"/>
  <c r="E64" i="2"/>
  <c r="E65" i="2"/>
  <c r="E66" i="2"/>
  <c r="E67" i="2"/>
  <c r="E61" i="2"/>
  <c r="S15" i="2"/>
  <c r="E89" i="2"/>
  <c r="E49" i="2"/>
  <c r="AE132" i="2"/>
  <c r="BC5" i="2"/>
  <c r="AE107" i="2"/>
  <c r="E7" i="2"/>
  <c r="AE11" i="2"/>
  <c r="AE79" i="2"/>
  <c r="Y11" i="2"/>
  <c r="AE67" i="2"/>
  <c r="AK14" i="2"/>
  <c r="E68" i="2"/>
  <c r="E54" i="2"/>
  <c r="E62" i="2"/>
  <c r="DE9" i="2"/>
  <c r="S22" i="2"/>
  <c r="E90" i="2"/>
  <c r="AE113" i="2"/>
  <c r="S19" i="2"/>
  <c r="AE80" i="2"/>
  <c r="AE133" i="2"/>
  <c r="S14" i="2"/>
  <c r="AE45" i="2"/>
  <c r="AE130" i="2"/>
  <c r="AE117" i="2"/>
  <c r="AE12" i="2"/>
  <c r="AK8" i="2"/>
  <c r="Y9" i="2"/>
  <c r="AK5" i="2"/>
  <c r="AE137" i="2"/>
  <c r="AE116" i="2"/>
  <c r="E33" i="2"/>
  <c r="AE122" i="2"/>
  <c r="AE42" i="2"/>
  <c r="AK13" i="2"/>
  <c r="AE112" i="2"/>
  <c r="S6" i="2"/>
  <c r="BI9" i="2"/>
  <c r="AE95" i="2"/>
  <c r="AW5" i="2"/>
  <c r="AE102" i="2"/>
  <c r="S20" i="2"/>
  <c r="AE97" i="2"/>
  <c r="AE110" i="2"/>
  <c r="E41" i="2"/>
  <c r="AE114" i="2"/>
  <c r="AE38" i="2"/>
  <c r="E80" i="2"/>
  <c r="AE127" i="2"/>
  <c r="AE73" i="2"/>
  <c r="AE51" i="2"/>
  <c r="AE56" i="2"/>
  <c r="AE99" i="2"/>
  <c r="AE74" i="2"/>
  <c r="AE44" i="2"/>
  <c r="E74" i="2"/>
  <c r="Y15" i="2"/>
  <c r="E87" i="2"/>
  <c r="E48" i="2"/>
  <c r="E63" i="2"/>
  <c r="E59" i="2"/>
  <c r="AE23" i="2"/>
  <c r="AE14" i="2"/>
  <c r="CY6" i="2"/>
  <c r="AE118" i="2"/>
  <c r="AE81" i="2"/>
  <c r="AE68" i="2"/>
  <c r="E76" i="2"/>
  <c r="AE62" i="2"/>
  <c r="E35" i="2"/>
  <c r="Y10" i="2"/>
  <c r="AE49" i="2"/>
  <c r="S5" i="2"/>
  <c r="AE16" i="2"/>
  <c r="AE57" i="2"/>
  <c r="DE7" i="2"/>
  <c r="E22" i="2"/>
  <c r="AQ8" i="2"/>
  <c r="AE66" i="2"/>
  <c r="E36" i="2"/>
  <c r="AE119" i="2"/>
  <c r="BO5" i="2"/>
  <c r="BC6" i="2"/>
  <c r="Y16" i="2"/>
  <c r="AE70" i="2"/>
  <c r="AQ6" i="2"/>
  <c r="AE77" i="2"/>
  <c r="AE52" i="2"/>
  <c r="E10" i="2"/>
  <c r="AE103" i="2"/>
  <c r="AE36" i="2"/>
  <c r="AE84" i="2"/>
  <c r="E31" i="2"/>
  <c r="AE124" i="2"/>
  <c r="AE69" i="2"/>
  <c r="E51" i="2"/>
  <c r="AE92" i="2"/>
  <c r="S9" i="2"/>
  <c r="AE43" i="2"/>
  <c r="AE31" i="2"/>
  <c r="AE28" i="2"/>
  <c r="AE5" i="2"/>
  <c r="AE32" i="2"/>
  <c r="AE54" i="2"/>
  <c r="AE90" i="2"/>
  <c r="AE61" i="2"/>
  <c r="BI10" i="2"/>
  <c r="BI8" i="2"/>
  <c r="E47" i="2"/>
  <c r="E8" i="2"/>
  <c r="E9" i="2"/>
  <c r="AE109" i="2"/>
  <c r="E72" i="2"/>
  <c r="E15" i="2"/>
  <c r="AE59" i="2"/>
  <c r="BO6" i="2"/>
  <c r="AK9" i="2"/>
  <c r="E82" i="2"/>
  <c r="BI6" i="2"/>
  <c r="AE104" i="2"/>
  <c r="E58" i="2"/>
  <c r="AE47" i="2"/>
  <c r="AE33" i="2"/>
  <c r="CY8" i="2"/>
  <c r="Y5" i="2"/>
  <c r="AE82" i="2"/>
  <c r="AQ7" i="2"/>
  <c r="AK7" i="2"/>
  <c r="Y6" i="2"/>
  <c r="AE63" i="2"/>
  <c r="AE18" i="2"/>
  <c r="E77" i="2"/>
  <c r="AE86" i="2"/>
  <c r="AE8" i="2"/>
  <c r="Y13" i="2"/>
  <c r="E78" i="2"/>
  <c r="E55" i="2"/>
  <c r="E86" i="2"/>
  <c r="AE94" i="2"/>
  <c r="AE75" i="2"/>
  <c r="Y14" i="2"/>
  <c r="E25" i="2"/>
  <c r="DK6" i="2"/>
  <c r="AE48" i="2"/>
  <c r="E16" i="2"/>
  <c r="AE37" i="2"/>
  <c r="AE89" i="2"/>
  <c r="AE101" i="2"/>
  <c r="BO9" i="2"/>
  <c r="AE106" i="2"/>
  <c r="DE8" i="2"/>
  <c r="AE46" i="2"/>
  <c r="AE17" i="2"/>
  <c r="AW6" i="2"/>
  <c r="E11" i="2"/>
  <c r="CG7" i="2"/>
  <c r="AE29" i="2"/>
  <c r="AE120" i="2"/>
  <c r="AE20" i="2"/>
  <c r="E17" i="2"/>
  <c r="AK12" i="2"/>
  <c r="AE108" i="2"/>
  <c r="E88" i="2"/>
  <c r="E71" i="2"/>
  <c r="AQ5" i="2"/>
  <c r="E79" i="2"/>
  <c r="E24" i="2"/>
  <c r="E27" i="2"/>
  <c r="AE22" i="2"/>
  <c r="AE41" i="2"/>
  <c r="AE83" i="2"/>
  <c r="S11" i="2"/>
  <c r="E50" i="2"/>
  <c r="AE93" i="2"/>
  <c r="Y8" i="2"/>
  <c r="AE50" i="2"/>
  <c r="E84" i="2"/>
  <c r="E69" i="2"/>
  <c r="DE6" i="2"/>
  <c r="E13" i="2"/>
  <c r="E91" i="2"/>
  <c r="AE15" i="2"/>
  <c r="S18" i="2"/>
  <c r="E23" i="2"/>
  <c r="S10" i="2"/>
  <c r="AK6" i="2"/>
  <c r="AK11" i="2"/>
  <c r="AE58" i="2"/>
  <c r="AE128" i="2"/>
  <c r="AE55" i="2"/>
  <c r="AE88" i="2"/>
  <c r="E93" i="2"/>
  <c r="AE71" i="2"/>
  <c r="AE96" i="2"/>
  <c r="AE24" i="2"/>
  <c r="AE13" i="2"/>
  <c r="E37" i="2"/>
  <c r="AE111" i="2"/>
  <c r="S13" i="2"/>
  <c r="E29" i="2"/>
  <c r="E75" i="2"/>
  <c r="AE87" i="2"/>
  <c r="AE19" i="2"/>
  <c r="Y12" i="2"/>
  <c r="AE105" i="2"/>
  <c r="AE91" i="2"/>
  <c r="S12" i="2"/>
  <c r="AE10" i="2"/>
  <c r="AE64" i="2"/>
  <c r="AE98" i="2"/>
  <c r="S7" i="2"/>
  <c r="CA8" i="2"/>
  <c r="AE72" i="2"/>
  <c r="AK10" i="2"/>
  <c r="AE30" i="2"/>
  <c r="E32" i="2"/>
  <c r="AE123" i="2"/>
  <c r="E6" i="2"/>
  <c r="E28" i="2"/>
  <c r="E73" i="2"/>
  <c r="AE121" i="2"/>
  <c r="AE35" i="2"/>
  <c r="BO14" i="2"/>
  <c r="AE100" i="2"/>
  <c r="E83" i="2"/>
  <c r="AE6" i="2"/>
  <c r="S16" i="2"/>
  <c r="S8" i="2"/>
  <c r="AE39" i="2"/>
  <c r="AE60" i="2"/>
  <c r="BC7" i="2"/>
  <c r="AE25" i="2"/>
  <c r="E85" i="2"/>
  <c r="AE115" i="2"/>
  <c r="AE34" i="2"/>
  <c r="BI12" i="2"/>
  <c r="S21" i="2"/>
  <c r="AE78" i="2"/>
  <c r="E81" i="2"/>
  <c r="AE21" i="2"/>
  <c r="E52" i="2"/>
  <c r="AE129" i="2"/>
  <c r="AE27" i="2"/>
  <c r="E70" i="2"/>
  <c r="DK7" i="2"/>
  <c r="S17" i="2"/>
  <c r="E45" i="2"/>
  <c r="AE131" i="2"/>
  <c r="E92" i="2"/>
  <c r="AE65" i="2"/>
  <c r="AE7" i="2"/>
  <c r="E60" i="2"/>
  <c r="Y7" i="2"/>
  <c r="BC8" i="2"/>
  <c r="E57" i="2"/>
  <c r="J15" i="4" l="1"/>
  <c r="E5" i="2"/>
  <c r="AL97" i="5" l="1"/>
  <c r="AK97" i="5" l="1"/>
  <c r="AJ97" i="5" l="1"/>
  <c r="BF34" i="5" l="1"/>
  <c r="AU97" i="5" l="1"/>
  <c r="AV97" i="5"/>
  <c r="AW97" i="5"/>
  <c r="AX97" i="5"/>
  <c r="AY97" i="5"/>
  <c r="AZ97" i="5"/>
  <c r="BA97" i="5"/>
  <c r="BB97" i="5"/>
  <c r="BC97" i="5"/>
  <c r="BD97" i="5"/>
  <c r="BE97" i="5"/>
  <c r="AU98" i="5"/>
  <c r="AV98" i="5"/>
  <c r="AW98" i="5"/>
  <c r="AX98" i="5"/>
  <c r="AY98" i="5"/>
  <c r="AZ98" i="5"/>
  <c r="BA98" i="5"/>
  <c r="BB98" i="5"/>
  <c r="BC98" i="5"/>
  <c r="BD98" i="5"/>
  <c r="BE98" i="5"/>
  <c r="AT98" i="5"/>
  <c r="AT97" i="5"/>
  <c r="BF64" i="5"/>
  <c r="BD99" i="5" l="1"/>
  <c r="AU100" i="5"/>
  <c r="AV99" i="5"/>
  <c r="BE100" i="5"/>
  <c r="AW100" i="5"/>
  <c r="AX99" i="5"/>
  <c r="BE99" i="5"/>
  <c r="AW99" i="5"/>
  <c r="BD100" i="5"/>
  <c r="AV100" i="5"/>
  <c r="AU99" i="5"/>
  <c r="BC99" i="5"/>
  <c r="BC100" i="5"/>
  <c r="BF98" i="5"/>
  <c r="BG98" i="5" s="1"/>
  <c r="BF97" i="5"/>
  <c r="BB100" i="5"/>
  <c r="BA99" i="5"/>
  <c r="BA100" i="5"/>
  <c r="AZ99" i="5"/>
  <c r="AZ100" i="5"/>
  <c r="AX100" i="5"/>
  <c r="BB99" i="5"/>
  <c r="AY100" i="5"/>
  <c r="AY99" i="5"/>
  <c r="AT99" i="5"/>
  <c r="AT100" i="5"/>
  <c r="X103" i="5"/>
  <c r="Y104" i="5" s="1"/>
  <c r="BG97" i="5" l="1"/>
  <c r="BF99" i="5"/>
  <c r="BF100" i="5"/>
  <c r="Y103" i="5"/>
  <c r="AN99" i="5"/>
  <c r="AO99" i="5" s="1"/>
  <c r="AN98" i="5"/>
  <c r="AO98" i="5" s="1"/>
  <c r="AI97" i="5"/>
  <c r="AH97" i="5"/>
  <c r="AG97" i="5"/>
  <c r="AF97" i="5"/>
  <c r="AE97" i="5"/>
  <c r="AD97" i="5"/>
  <c r="AC97" i="5"/>
  <c r="AB97" i="5"/>
  <c r="AN97" i="5" l="1"/>
  <c r="AO97" i="5" s="1"/>
  <c r="AU38" i="5"/>
  <c r="AU2" i="5" s="1"/>
  <c r="AV38" i="5"/>
  <c r="AV2" i="5" s="1"/>
  <c r="AW38" i="5"/>
  <c r="AW2" i="5" s="1"/>
  <c r="AX38" i="5"/>
  <c r="AX2" i="5" s="1"/>
  <c r="AY38" i="5"/>
  <c r="AY2" i="5" s="1"/>
  <c r="AZ38" i="5"/>
  <c r="AZ2" i="5" s="1"/>
  <c r="BA38" i="5"/>
  <c r="BA2" i="5" s="1"/>
  <c r="BB38" i="5"/>
  <c r="BB2" i="5" s="1"/>
  <c r="BC38" i="5"/>
  <c r="BC2" i="5" s="1"/>
  <c r="BD38" i="5"/>
  <c r="BD2" i="5" s="1"/>
  <c r="BE38" i="5"/>
  <c r="BE2" i="5" s="1"/>
  <c r="AT38" i="5"/>
  <c r="AT2" i="5" s="1"/>
  <c r="AN93" i="5" l="1"/>
  <c r="AO93" i="5" s="1"/>
  <c r="AP93" i="5" l="1"/>
  <c r="Q138" i="19"/>
  <c r="S138" i="19" s="1"/>
  <c r="Q137" i="19"/>
  <c r="S137" i="19" s="1"/>
  <c r="Q137" i="18"/>
  <c r="S137" i="18" s="1"/>
  <c r="Q138" i="18"/>
  <c r="S138" i="18" s="1"/>
  <c r="AN85" i="5" l="1"/>
  <c r="AN86" i="5"/>
  <c r="AN87" i="5"/>
  <c r="AN89" i="5"/>
  <c r="AO89" i="5" s="1"/>
  <c r="AN90" i="5"/>
  <c r="AO90" i="5" s="1"/>
  <c r="AN91" i="5"/>
  <c r="AP91" i="5" s="1"/>
  <c r="AN92" i="5"/>
  <c r="AP92" i="5" s="1"/>
  <c r="AO91" i="5" l="1"/>
  <c r="AO92" i="5"/>
  <c r="AP90" i="5"/>
  <c r="AP89" i="5"/>
  <c r="AC1" i="5"/>
  <c r="AD1" i="5"/>
  <c r="AE1" i="5"/>
  <c r="AF1" i="5"/>
  <c r="AG1" i="5"/>
  <c r="AH1" i="5"/>
  <c r="AI1" i="5"/>
  <c r="AJ1" i="5"/>
  <c r="AK1" i="5"/>
  <c r="AL1" i="5"/>
  <c r="AM1" i="5"/>
  <c r="AB1" i="5"/>
  <c r="E2" i="19" l="1"/>
  <c r="F2" i="19"/>
  <c r="G2" i="19"/>
  <c r="H2" i="19"/>
  <c r="I2" i="19"/>
  <c r="J2" i="19"/>
  <c r="K2" i="19"/>
  <c r="L2" i="19"/>
  <c r="M2" i="19"/>
  <c r="N2" i="19"/>
  <c r="O2" i="19"/>
  <c r="D2" i="19"/>
  <c r="Q6" i="19"/>
  <c r="S6" i="19" s="1"/>
  <c r="Q7" i="19"/>
  <c r="S7" i="19" s="1"/>
  <c r="Q8" i="19"/>
  <c r="S8" i="19" s="1"/>
  <c r="Q9" i="19"/>
  <c r="S9" i="19" s="1"/>
  <c r="Q10" i="19"/>
  <c r="S10" i="19" s="1"/>
  <c r="Q11" i="19"/>
  <c r="S11" i="19" s="1"/>
  <c r="Q12" i="19"/>
  <c r="S12" i="19" s="1"/>
  <c r="Q13" i="19"/>
  <c r="S13" i="19" s="1"/>
  <c r="Q14" i="19"/>
  <c r="S14" i="19" s="1"/>
  <c r="Q15" i="19"/>
  <c r="S15" i="19" s="1"/>
  <c r="Q16" i="19"/>
  <c r="S16" i="19" s="1"/>
  <c r="Q17" i="19"/>
  <c r="S17" i="19" s="1"/>
  <c r="Q18" i="19"/>
  <c r="S18" i="19" s="1"/>
  <c r="Q19" i="19"/>
  <c r="S19" i="19" s="1"/>
  <c r="Q20" i="19"/>
  <c r="S20" i="19" s="1"/>
  <c r="Q21" i="19"/>
  <c r="S21" i="19" s="1"/>
  <c r="Q22" i="19"/>
  <c r="S22" i="19" s="1"/>
  <c r="Q23" i="19"/>
  <c r="S23" i="19" s="1"/>
  <c r="Q24" i="19"/>
  <c r="S24" i="19" s="1"/>
  <c r="Q25" i="19"/>
  <c r="S25" i="19" s="1"/>
  <c r="Q26" i="19"/>
  <c r="S26" i="19" s="1"/>
  <c r="Q27" i="19"/>
  <c r="S27" i="19" s="1"/>
  <c r="Q28" i="19"/>
  <c r="S28" i="19" s="1"/>
  <c r="Q29" i="19"/>
  <c r="S29" i="19" s="1"/>
  <c r="Q30" i="19"/>
  <c r="S30" i="19" s="1"/>
  <c r="Q31" i="19"/>
  <c r="S31" i="19" s="1"/>
  <c r="Q32" i="19"/>
  <c r="S32" i="19" s="1"/>
  <c r="Q33" i="19"/>
  <c r="S33" i="19" s="1"/>
  <c r="Q34" i="19"/>
  <c r="S34" i="19" s="1"/>
  <c r="Q35" i="19"/>
  <c r="S35" i="19" s="1"/>
  <c r="Q36" i="19"/>
  <c r="S36" i="19" s="1"/>
  <c r="Q37" i="19"/>
  <c r="S37" i="19" s="1"/>
  <c r="Q38" i="19"/>
  <c r="S38" i="19" s="1"/>
  <c r="Q39" i="19"/>
  <c r="S39" i="19" s="1"/>
  <c r="Q40" i="19"/>
  <c r="S40" i="19" s="1"/>
  <c r="Q41" i="19"/>
  <c r="S41" i="19" s="1"/>
  <c r="Q42" i="19"/>
  <c r="S42" i="19" s="1"/>
  <c r="Q43" i="19"/>
  <c r="S43" i="19" s="1"/>
  <c r="Q44" i="19"/>
  <c r="S44" i="19" s="1"/>
  <c r="Q45" i="19"/>
  <c r="S45" i="19" s="1"/>
  <c r="Q46" i="19"/>
  <c r="S46" i="19" s="1"/>
  <c r="Q47" i="19"/>
  <c r="S47" i="19" s="1"/>
  <c r="Q48" i="19"/>
  <c r="S48" i="19" s="1"/>
  <c r="Q49" i="19"/>
  <c r="S49" i="19" s="1"/>
  <c r="Q50" i="19"/>
  <c r="S50" i="19" s="1"/>
  <c r="Q51" i="19"/>
  <c r="S51" i="19" s="1"/>
  <c r="Q52" i="19"/>
  <c r="S52" i="19" s="1"/>
  <c r="Q53" i="19"/>
  <c r="S53" i="19" s="1"/>
  <c r="Q54" i="19"/>
  <c r="S54" i="19" s="1"/>
  <c r="Q55" i="19"/>
  <c r="S55" i="19" s="1"/>
  <c r="Q56" i="19"/>
  <c r="S56" i="19" s="1"/>
  <c r="Q57" i="19"/>
  <c r="S57" i="19" s="1"/>
  <c r="Q58" i="19"/>
  <c r="S58" i="19" s="1"/>
  <c r="Q59" i="19"/>
  <c r="S59" i="19" s="1"/>
  <c r="Q60" i="19"/>
  <c r="S60" i="19" s="1"/>
  <c r="Q61" i="19"/>
  <c r="S61" i="19" s="1"/>
  <c r="Q62" i="19"/>
  <c r="S62" i="19" s="1"/>
  <c r="Q63" i="19"/>
  <c r="S63" i="19" s="1"/>
  <c r="Q64" i="19"/>
  <c r="S64" i="19" s="1"/>
  <c r="Q65" i="19"/>
  <c r="S65" i="19" s="1"/>
  <c r="Q66" i="19"/>
  <c r="S66" i="19" s="1"/>
  <c r="Q67" i="19"/>
  <c r="S67" i="19" s="1"/>
  <c r="Q68" i="19"/>
  <c r="S68" i="19" s="1"/>
  <c r="Q69" i="19"/>
  <c r="S69" i="19" s="1"/>
  <c r="Q70" i="19"/>
  <c r="S70" i="19" s="1"/>
  <c r="Q71" i="19"/>
  <c r="S71" i="19" s="1"/>
  <c r="Q72" i="19"/>
  <c r="S72" i="19" s="1"/>
  <c r="Q73" i="19"/>
  <c r="S73" i="19" s="1"/>
  <c r="Q74" i="19"/>
  <c r="S74" i="19" s="1"/>
  <c r="Q75" i="19"/>
  <c r="S75" i="19" s="1"/>
  <c r="Q76" i="19"/>
  <c r="S76" i="19" s="1"/>
  <c r="Q77" i="19"/>
  <c r="S77" i="19" s="1"/>
  <c r="Q78" i="19"/>
  <c r="S78" i="19" s="1"/>
  <c r="Q79" i="19"/>
  <c r="S79" i="19" s="1"/>
  <c r="Q80" i="19"/>
  <c r="S80" i="19" s="1"/>
  <c r="Q81" i="19"/>
  <c r="S81" i="19" s="1"/>
  <c r="Q82" i="19"/>
  <c r="S82" i="19" s="1"/>
  <c r="Q83" i="19"/>
  <c r="S83" i="19" s="1"/>
  <c r="Q84" i="19"/>
  <c r="S84" i="19" s="1"/>
  <c r="Q85" i="19"/>
  <c r="S85" i="19" s="1"/>
  <c r="Q86" i="19"/>
  <c r="S86" i="19" s="1"/>
  <c r="Q87" i="19"/>
  <c r="S87" i="19" s="1"/>
  <c r="Q88" i="19"/>
  <c r="S88" i="19" s="1"/>
  <c r="Q89" i="19"/>
  <c r="S89" i="19" s="1"/>
  <c r="Q90" i="19"/>
  <c r="S90" i="19" s="1"/>
  <c r="Q91" i="19"/>
  <c r="S91" i="19" s="1"/>
  <c r="Q92" i="19"/>
  <c r="S92" i="19" s="1"/>
  <c r="Q93" i="19"/>
  <c r="S93" i="19" s="1"/>
  <c r="Q94" i="19"/>
  <c r="S94" i="19" s="1"/>
  <c r="Q95" i="19"/>
  <c r="S95" i="19" s="1"/>
  <c r="Q96" i="19"/>
  <c r="S96" i="19" s="1"/>
  <c r="Q97" i="19"/>
  <c r="S97" i="19" s="1"/>
  <c r="Q98" i="19"/>
  <c r="S98" i="19" s="1"/>
  <c r="Q99" i="19"/>
  <c r="S99" i="19" s="1"/>
  <c r="Q100" i="19"/>
  <c r="S100" i="19" s="1"/>
  <c r="Q101" i="19"/>
  <c r="S101" i="19" s="1"/>
  <c r="Q102" i="19"/>
  <c r="S102" i="19" s="1"/>
  <c r="Q103" i="19"/>
  <c r="S103" i="19" s="1"/>
  <c r="Q104" i="19"/>
  <c r="S104" i="19" s="1"/>
  <c r="Q105" i="19"/>
  <c r="S105" i="19" s="1"/>
  <c r="Q106" i="19"/>
  <c r="S106" i="19" s="1"/>
  <c r="Q107" i="19"/>
  <c r="S107" i="19" s="1"/>
  <c r="Q108" i="19"/>
  <c r="S108" i="19" s="1"/>
  <c r="Q109" i="19"/>
  <c r="S109" i="19" s="1"/>
  <c r="Q110" i="19"/>
  <c r="S110" i="19" s="1"/>
  <c r="Q111" i="19"/>
  <c r="S111" i="19" s="1"/>
  <c r="Q112" i="19"/>
  <c r="S112" i="19" s="1"/>
  <c r="Q113" i="19"/>
  <c r="S113" i="19" s="1"/>
  <c r="Q114" i="19"/>
  <c r="S114" i="19" s="1"/>
  <c r="Q115" i="19"/>
  <c r="S115" i="19" s="1"/>
  <c r="Q116" i="19"/>
  <c r="S116" i="19" s="1"/>
  <c r="Q117" i="19"/>
  <c r="S117" i="19" s="1"/>
  <c r="Q118" i="19"/>
  <c r="S118" i="19" s="1"/>
  <c r="Q119" i="19"/>
  <c r="S119" i="19" s="1"/>
  <c r="Q120" i="19"/>
  <c r="S120" i="19" s="1"/>
  <c r="Q121" i="19"/>
  <c r="S121" i="19" s="1"/>
  <c r="Q122" i="19"/>
  <c r="S122" i="19" s="1"/>
  <c r="Q123" i="19"/>
  <c r="S123" i="19" s="1"/>
  <c r="Q124" i="19"/>
  <c r="S124" i="19" s="1"/>
  <c r="Q125" i="19"/>
  <c r="S125" i="19" s="1"/>
  <c r="Q126" i="19"/>
  <c r="S126" i="19" s="1"/>
  <c r="Q127" i="19"/>
  <c r="S127" i="19" s="1"/>
  <c r="Q128" i="19"/>
  <c r="S128" i="19" s="1"/>
  <c r="Q129" i="19"/>
  <c r="S129" i="19" s="1"/>
  <c r="Q130" i="19"/>
  <c r="S130" i="19" s="1"/>
  <c r="Q131" i="19"/>
  <c r="S131" i="19" s="1"/>
  <c r="Q132" i="19"/>
  <c r="S132" i="19" s="1"/>
  <c r="Q133" i="19"/>
  <c r="S133" i="19" s="1"/>
  <c r="Q134" i="19"/>
  <c r="S134" i="19" s="1"/>
  <c r="Q135" i="19"/>
  <c r="S135" i="19" s="1"/>
  <c r="Q136" i="19"/>
  <c r="S136" i="19" s="1"/>
  <c r="Q5" i="19"/>
  <c r="S5" i="19" s="1"/>
  <c r="AO86" i="5"/>
  <c r="AO87" i="5"/>
  <c r="AO88" i="5"/>
  <c r="AP87" i="5"/>
  <c r="AP88" i="5"/>
  <c r="P1" i="18"/>
  <c r="Q6" i="18"/>
  <c r="S6" i="18" s="1"/>
  <c r="Q7" i="18"/>
  <c r="S7" i="18" s="1"/>
  <c r="Q8" i="18"/>
  <c r="S8" i="18" s="1"/>
  <c r="Q9" i="18"/>
  <c r="S9" i="18" s="1"/>
  <c r="Q10" i="18"/>
  <c r="S10" i="18" s="1"/>
  <c r="Q11" i="18"/>
  <c r="S11" i="18" s="1"/>
  <c r="Q12" i="18"/>
  <c r="S12" i="18" s="1"/>
  <c r="Q13" i="18"/>
  <c r="S13" i="18" s="1"/>
  <c r="Q14" i="18"/>
  <c r="S14" i="18" s="1"/>
  <c r="Q15" i="18"/>
  <c r="S15" i="18" s="1"/>
  <c r="Q16" i="18"/>
  <c r="S16" i="18" s="1"/>
  <c r="Q17" i="18"/>
  <c r="S17" i="18" s="1"/>
  <c r="Q18" i="18"/>
  <c r="S18" i="18" s="1"/>
  <c r="Q19" i="18"/>
  <c r="S19" i="18" s="1"/>
  <c r="Q20" i="18"/>
  <c r="S20" i="18" s="1"/>
  <c r="Q21" i="18"/>
  <c r="S21" i="18" s="1"/>
  <c r="Q22" i="18"/>
  <c r="S22" i="18" s="1"/>
  <c r="Q23" i="18"/>
  <c r="S23" i="18" s="1"/>
  <c r="Q24" i="18"/>
  <c r="S24" i="18" s="1"/>
  <c r="Q25" i="18"/>
  <c r="S25" i="18" s="1"/>
  <c r="Q26" i="18"/>
  <c r="S26" i="18" s="1"/>
  <c r="Q27" i="18"/>
  <c r="S27" i="18" s="1"/>
  <c r="Q28" i="18"/>
  <c r="S28" i="18" s="1"/>
  <c r="Q29" i="18"/>
  <c r="S29" i="18" s="1"/>
  <c r="Q30" i="18"/>
  <c r="S30" i="18" s="1"/>
  <c r="Q31" i="18"/>
  <c r="S31" i="18" s="1"/>
  <c r="Q32" i="18"/>
  <c r="S32" i="18" s="1"/>
  <c r="Q33" i="18"/>
  <c r="S33" i="18" s="1"/>
  <c r="Q34" i="18"/>
  <c r="S34" i="18" s="1"/>
  <c r="Q35" i="18"/>
  <c r="S35" i="18" s="1"/>
  <c r="Q36" i="18"/>
  <c r="S36" i="18" s="1"/>
  <c r="Q37" i="18"/>
  <c r="S37" i="18" s="1"/>
  <c r="Q38" i="18"/>
  <c r="S38" i="18" s="1"/>
  <c r="Q39" i="18"/>
  <c r="S39" i="18" s="1"/>
  <c r="Q40" i="18"/>
  <c r="S40" i="18" s="1"/>
  <c r="Q41" i="18"/>
  <c r="S41" i="18" s="1"/>
  <c r="Q42" i="18"/>
  <c r="S42" i="18" s="1"/>
  <c r="Q43" i="18"/>
  <c r="S43" i="18" s="1"/>
  <c r="Q44" i="18"/>
  <c r="S44" i="18" s="1"/>
  <c r="Q45" i="18"/>
  <c r="S45" i="18" s="1"/>
  <c r="Q46" i="18"/>
  <c r="S46" i="18" s="1"/>
  <c r="Q47" i="18"/>
  <c r="S47" i="18" s="1"/>
  <c r="Q48" i="18"/>
  <c r="S48" i="18" s="1"/>
  <c r="Q49" i="18"/>
  <c r="S49" i="18" s="1"/>
  <c r="Q50" i="18"/>
  <c r="S50" i="18" s="1"/>
  <c r="Q51" i="18"/>
  <c r="S51" i="18" s="1"/>
  <c r="Q52" i="18"/>
  <c r="S52" i="18" s="1"/>
  <c r="Q53" i="18"/>
  <c r="S53" i="18" s="1"/>
  <c r="Q54" i="18"/>
  <c r="S54" i="18" s="1"/>
  <c r="Q55" i="18"/>
  <c r="S55" i="18" s="1"/>
  <c r="Q56" i="18"/>
  <c r="S56" i="18" s="1"/>
  <c r="Q57" i="18"/>
  <c r="S57" i="18" s="1"/>
  <c r="Q58" i="18"/>
  <c r="S58" i="18" s="1"/>
  <c r="Q59" i="18"/>
  <c r="S59" i="18" s="1"/>
  <c r="Q60" i="18"/>
  <c r="S60" i="18" s="1"/>
  <c r="Q61" i="18"/>
  <c r="S61" i="18" s="1"/>
  <c r="Q62" i="18"/>
  <c r="S62" i="18" s="1"/>
  <c r="Q63" i="18"/>
  <c r="S63" i="18" s="1"/>
  <c r="Q64" i="18"/>
  <c r="S64" i="18" s="1"/>
  <c r="Q65" i="18"/>
  <c r="S65" i="18" s="1"/>
  <c r="Q66" i="18"/>
  <c r="S66" i="18" s="1"/>
  <c r="Q67" i="18"/>
  <c r="S67" i="18" s="1"/>
  <c r="Q68" i="18"/>
  <c r="S68" i="18" s="1"/>
  <c r="Q69" i="18"/>
  <c r="S69" i="18" s="1"/>
  <c r="Q70" i="18"/>
  <c r="S70" i="18" s="1"/>
  <c r="Q71" i="18"/>
  <c r="S71" i="18" s="1"/>
  <c r="Q72" i="18"/>
  <c r="S72" i="18" s="1"/>
  <c r="Q73" i="18"/>
  <c r="S73" i="18" s="1"/>
  <c r="Q74" i="18"/>
  <c r="S74" i="18" s="1"/>
  <c r="Q75" i="18"/>
  <c r="S75" i="18" s="1"/>
  <c r="Q76" i="18"/>
  <c r="S76" i="18" s="1"/>
  <c r="Q77" i="18"/>
  <c r="S77" i="18" s="1"/>
  <c r="Q78" i="18"/>
  <c r="S78" i="18" s="1"/>
  <c r="Q79" i="18"/>
  <c r="S79" i="18" s="1"/>
  <c r="Q80" i="18"/>
  <c r="S80" i="18" s="1"/>
  <c r="Q81" i="18"/>
  <c r="S81" i="18" s="1"/>
  <c r="Q82" i="18"/>
  <c r="S82" i="18" s="1"/>
  <c r="Q83" i="18"/>
  <c r="S83" i="18" s="1"/>
  <c r="Q84" i="18"/>
  <c r="S84" i="18" s="1"/>
  <c r="Q85" i="18"/>
  <c r="S85" i="18" s="1"/>
  <c r="Q86" i="18"/>
  <c r="S86" i="18" s="1"/>
  <c r="Q87" i="18"/>
  <c r="S87" i="18" s="1"/>
  <c r="Q88" i="18"/>
  <c r="S88" i="18" s="1"/>
  <c r="Q89" i="18"/>
  <c r="S89" i="18" s="1"/>
  <c r="Q90" i="18"/>
  <c r="S90" i="18" s="1"/>
  <c r="Q91" i="18"/>
  <c r="S91" i="18" s="1"/>
  <c r="Q92" i="18"/>
  <c r="S92" i="18" s="1"/>
  <c r="Q93" i="18"/>
  <c r="S93" i="18" s="1"/>
  <c r="Q94" i="18"/>
  <c r="S94" i="18" s="1"/>
  <c r="Q95" i="18"/>
  <c r="S95" i="18" s="1"/>
  <c r="Q96" i="18"/>
  <c r="S96" i="18" s="1"/>
  <c r="Q97" i="18"/>
  <c r="S97" i="18" s="1"/>
  <c r="Q98" i="18"/>
  <c r="S98" i="18" s="1"/>
  <c r="Q99" i="18"/>
  <c r="S99" i="18" s="1"/>
  <c r="Q100" i="18"/>
  <c r="S100" i="18" s="1"/>
  <c r="Q101" i="18"/>
  <c r="S101" i="18" s="1"/>
  <c r="Q102" i="18"/>
  <c r="S102" i="18" s="1"/>
  <c r="Q103" i="18"/>
  <c r="S103" i="18" s="1"/>
  <c r="Q104" i="18"/>
  <c r="S104" i="18" s="1"/>
  <c r="Q105" i="18"/>
  <c r="S105" i="18" s="1"/>
  <c r="Q106" i="18"/>
  <c r="S106" i="18" s="1"/>
  <c r="Q107" i="18"/>
  <c r="S107" i="18" s="1"/>
  <c r="Q108" i="18"/>
  <c r="S108" i="18" s="1"/>
  <c r="Q109" i="18"/>
  <c r="S109" i="18" s="1"/>
  <c r="Q110" i="18"/>
  <c r="S110" i="18" s="1"/>
  <c r="Q111" i="18"/>
  <c r="S111" i="18" s="1"/>
  <c r="Q112" i="18"/>
  <c r="S112" i="18" s="1"/>
  <c r="Q113" i="18"/>
  <c r="S113" i="18" s="1"/>
  <c r="Q114" i="18"/>
  <c r="S114" i="18" s="1"/>
  <c r="Q115" i="18"/>
  <c r="S115" i="18" s="1"/>
  <c r="Q116" i="18"/>
  <c r="S116" i="18" s="1"/>
  <c r="Q117" i="18"/>
  <c r="S117" i="18" s="1"/>
  <c r="Q118" i="18"/>
  <c r="S118" i="18" s="1"/>
  <c r="Q119" i="18"/>
  <c r="S119" i="18" s="1"/>
  <c r="Q120" i="18"/>
  <c r="S120" i="18" s="1"/>
  <c r="Q121" i="18"/>
  <c r="S121" i="18" s="1"/>
  <c r="Q122" i="18"/>
  <c r="S122" i="18" s="1"/>
  <c r="Q123" i="18"/>
  <c r="S123" i="18" s="1"/>
  <c r="Q124" i="18"/>
  <c r="S124" i="18" s="1"/>
  <c r="Q125" i="18"/>
  <c r="S125" i="18" s="1"/>
  <c r="Q126" i="18"/>
  <c r="S126" i="18" s="1"/>
  <c r="Q127" i="18"/>
  <c r="S127" i="18" s="1"/>
  <c r="Q128" i="18"/>
  <c r="S128" i="18" s="1"/>
  <c r="Q129" i="18"/>
  <c r="S129" i="18" s="1"/>
  <c r="Q130" i="18"/>
  <c r="S130" i="18" s="1"/>
  <c r="Q131" i="18"/>
  <c r="S131" i="18" s="1"/>
  <c r="Q132" i="18"/>
  <c r="S132" i="18" s="1"/>
  <c r="Q133" i="18"/>
  <c r="S133" i="18" s="1"/>
  <c r="Q134" i="18"/>
  <c r="S134" i="18" s="1"/>
  <c r="Q135" i="18"/>
  <c r="S135" i="18" s="1"/>
  <c r="Q136" i="18"/>
  <c r="S136" i="18" s="1"/>
  <c r="Q5" i="18"/>
  <c r="S5" i="18" s="1"/>
  <c r="E2" i="18"/>
  <c r="F2" i="18"/>
  <c r="G2" i="18"/>
  <c r="H2" i="18"/>
  <c r="I2" i="18"/>
  <c r="J2" i="18"/>
  <c r="K2" i="18"/>
  <c r="L2" i="18"/>
  <c r="M2" i="18"/>
  <c r="N2" i="18"/>
  <c r="O2" i="18"/>
  <c r="D2" i="18"/>
  <c r="AN1" i="5"/>
  <c r="Q2" i="19" l="1"/>
  <c r="S2" i="19" s="1"/>
  <c r="Q2" i="18"/>
  <c r="R140" i="18" l="1"/>
  <c r="R141" i="18"/>
  <c r="R139" i="18"/>
  <c r="R2" i="18"/>
  <c r="R138" i="18"/>
  <c r="R137" i="18"/>
  <c r="R137" i="19"/>
  <c r="R138" i="19"/>
  <c r="R6" i="18"/>
  <c r="R14" i="18"/>
  <c r="R22" i="18"/>
  <c r="R30" i="18"/>
  <c r="R38" i="18"/>
  <c r="R46" i="18"/>
  <c r="R54" i="18"/>
  <c r="R62" i="18"/>
  <c r="R70" i="18"/>
  <c r="R78" i="18"/>
  <c r="R86" i="18"/>
  <c r="R94" i="18"/>
  <c r="R102" i="18"/>
  <c r="R110" i="18"/>
  <c r="R118" i="18"/>
  <c r="R126" i="18"/>
  <c r="R134" i="18"/>
  <c r="R26" i="18"/>
  <c r="R98" i="18"/>
  <c r="R122" i="18"/>
  <c r="R19" i="18"/>
  <c r="R35" i="18"/>
  <c r="R59" i="18"/>
  <c r="R83" i="18"/>
  <c r="R107" i="18"/>
  <c r="R131" i="18"/>
  <c r="R12" i="18"/>
  <c r="R36" i="18"/>
  <c r="R60" i="18"/>
  <c r="R84" i="18"/>
  <c r="R100" i="18"/>
  <c r="R124" i="18"/>
  <c r="R13" i="18"/>
  <c r="R37" i="18"/>
  <c r="R53" i="18"/>
  <c r="R69" i="18"/>
  <c r="R93" i="18"/>
  <c r="R117" i="18"/>
  <c r="R133" i="18"/>
  <c r="R7" i="18"/>
  <c r="R15" i="18"/>
  <c r="R23" i="18"/>
  <c r="R31" i="18"/>
  <c r="R39" i="18"/>
  <c r="R47" i="18"/>
  <c r="R55" i="18"/>
  <c r="R63" i="18"/>
  <c r="R71" i="18"/>
  <c r="R79" i="18"/>
  <c r="R87" i="18"/>
  <c r="R95" i="18"/>
  <c r="R103" i="18"/>
  <c r="R111" i="18"/>
  <c r="R119" i="18"/>
  <c r="R127" i="18"/>
  <c r="R135" i="18"/>
  <c r="R18" i="18"/>
  <c r="R66" i="18"/>
  <c r="R82" i="18"/>
  <c r="R106" i="18"/>
  <c r="R130" i="18"/>
  <c r="R11" i="18"/>
  <c r="R43" i="18"/>
  <c r="R67" i="18"/>
  <c r="R91" i="18"/>
  <c r="R115" i="18"/>
  <c r="R20" i="18"/>
  <c r="R44" i="18"/>
  <c r="R68" i="18"/>
  <c r="R92" i="18"/>
  <c r="R116" i="18"/>
  <c r="R29" i="18"/>
  <c r="R77" i="18"/>
  <c r="R109" i="18"/>
  <c r="R8" i="18"/>
  <c r="R16" i="18"/>
  <c r="R24" i="18"/>
  <c r="R32" i="18"/>
  <c r="R40" i="18"/>
  <c r="R48" i="18"/>
  <c r="R56" i="18"/>
  <c r="R64" i="18"/>
  <c r="R72" i="18"/>
  <c r="R80" i="18"/>
  <c r="R88" i="18"/>
  <c r="R96" i="18"/>
  <c r="R104" i="18"/>
  <c r="R112" i="18"/>
  <c r="R120" i="18"/>
  <c r="R128" i="18"/>
  <c r="R136" i="18"/>
  <c r="R9" i="18"/>
  <c r="R17" i="18"/>
  <c r="R25" i="18"/>
  <c r="R33" i="18"/>
  <c r="R41" i="18"/>
  <c r="R49" i="18"/>
  <c r="R57" i="18"/>
  <c r="R65" i="18"/>
  <c r="R73" i="18"/>
  <c r="R81" i="18"/>
  <c r="R89" i="18"/>
  <c r="R97" i="18"/>
  <c r="R105" i="18"/>
  <c r="R113" i="18"/>
  <c r="R121" i="18"/>
  <c r="R129" i="18"/>
  <c r="R5" i="18"/>
  <c r="R10" i="18"/>
  <c r="R34" i="18"/>
  <c r="R42" i="18"/>
  <c r="R50" i="18"/>
  <c r="R58" i="18"/>
  <c r="R74" i="18"/>
  <c r="R90" i="18"/>
  <c r="R114" i="18"/>
  <c r="R27" i="18"/>
  <c r="R51" i="18"/>
  <c r="R75" i="18"/>
  <c r="R99" i="18"/>
  <c r="R123" i="18"/>
  <c r="R28" i="18"/>
  <c r="R52" i="18"/>
  <c r="R76" i="18"/>
  <c r="R108" i="18"/>
  <c r="R132" i="18"/>
  <c r="R21" i="18"/>
  <c r="R45" i="18"/>
  <c r="R61" i="18"/>
  <c r="R85" i="18"/>
  <c r="R101" i="18"/>
  <c r="R125" i="18"/>
  <c r="R6" i="19"/>
  <c r="R14" i="19"/>
  <c r="R22" i="19"/>
  <c r="R30" i="19"/>
  <c r="R38" i="19"/>
  <c r="R46" i="19"/>
  <c r="R54" i="19"/>
  <c r="R62" i="19"/>
  <c r="R70" i="19"/>
  <c r="R78" i="19"/>
  <c r="R86" i="19"/>
  <c r="R94" i="19"/>
  <c r="R102" i="19"/>
  <c r="R110" i="19"/>
  <c r="R118" i="19"/>
  <c r="R126" i="19"/>
  <c r="R134" i="19"/>
  <c r="R55" i="19"/>
  <c r="R79" i="19"/>
  <c r="R95" i="19"/>
  <c r="R103" i="19"/>
  <c r="R119" i="19"/>
  <c r="R127" i="19"/>
  <c r="R19" i="19"/>
  <c r="R43" i="19"/>
  <c r="R67" i="19"/>
  <c r="R83" i="19"/>
  <c r="R107" i="19"/>
  <c r="R131" i="19"/>
  <c r="R28" i="19"/>
  <c r="R60" i="19"/>
  <c r="R84" i="19"/>
  <c r="R108" i="19"/>
  <c r="R132" i="19"/>
  <c r="R29" i="19"/>
  <c r="R53" i="19"/>
  <c r="R77" i="19"/>
  <c r="R101" i="19"/>
  <c r="R125" i="19"/>
  <c r="R7" i="19"/>
  <c r="R15" i="19"/>
  <c r="R23" i="19"/>
  <c r="R31" i="19"/>
  <c r="R39" i="19"/>
  <c r="R47" i="19"/>
  <c r="R63" i="19"/>
  <c r="R71" i="19"/>
  <c r="R87" i="19"/>
  <c r="R111" i="19"/>
  <c r="R135" i="19"/>
  <c r="R51" i="19"/>
  <c r="R91" i="19"/>
  <c r="R123" i="19"/>
  <c r="R20" i="19"/>
  <c r="R44" i="19"/>
  <c r="R68" i="19"/>
  <c r="R92" i="19"/>
  <c r="R116" i="19"/>
  <c r="R21" i="19"/>
  <c r="R45" i="19"/>
  <c r="R69" i="19"/>
  <c r="R93" i="19"/>
  <c r="R117" i="19"/>
  <c r="R8" i="19"/>
  <c r="R16" i="19"/>
  <c r="R24" i="19"/>
  <c r="R32" i="19"/>
  <c r="R40" i="19"/>
  <c r="R48" i="19"/>
  <c r="R56" i="19"/>
  <c r="R64" i="19"/>
  <c r="R72" i="19"/>
  <c r="R80" i="19"/>
  <c r="R88" i="19"/>
  <c r="R96" i="19"/>
  <c r="R104" i="19"/>
  <c r="R112" i="19"/>
  <c r="R120" i="19"/>
  <c r="R128" i="19"/>
  <c r="R136" i="19"/>
  <c r="R9" i="19"/>
  <c r="R17" i="19"/>
  <c r="R25" i="19"/>
  <c r="R33" i="19"/>
  <c r="R41" i="19"/>
  <c r="R49" i="19"/>
  <c r="R57" i="19"/>
  <c r="R65" i="19"/>
  <c r="R73" i="19"/>
  <c r="R81" i="19"/>
  <c r="R89" i="19"/>
  <c r="R97" i="19"/>
  <c r="R105" i="19"/>
  <c r="R113" i="19"/>
  <c r="R121" i="19"/>
  <c r="R129" i="19"/>
  <c r="R5" i="19"/>
  <c r="R10" i="19"/>
  <c r="R18" i="19"/>
  <c r="R26" i="19"/>
  <c r="R34" i="19"/>
  <c r="R42" i="19"/>
  <c r="R50" i="19"/>
  <c r="R58" i="19"/>
  <c r="R66" i="19"/>
  <c r="R74" i="19"/>
  <c r="R82" i="19"/>
  <c r="R90" i="19"/>
  <c r="R98" i="19"/>
  <c r="R106" i="19"/>
  <c r="R114" i="19"/>
  <c r="R122" i="19"/>
  <c r="R130" i="19"/>
  <c r="R11" i="19"/>
  <c r="R27" i="19"/>
  <c r="R35" i="19"/>
  <c r="R59" i="19"/>
  <c r="R75" i="19"/>
  <c r="R99" i="19"/>
  <c r="R115" i="19"/>
  <c r="R12" i="19"/>
  <c r="R36" i="19"/>
  <c r="R52" i="19"/>
  <c r="R76" i="19"/>
  <c r="R100" i="19"/>
  <c r="R124" i="19"/>
  <c r="R13" i="19"/>
  <c r="R37" i="19"/>
  <c r="R61" i="19"/>
  <c r="R85" i="19"/>
  <c r="R109" i="19"/>
  <c r="R133" i="19"/>
  <c r="BF33" i="5" l="1"/>
  <c r="BF63" i="5"/>
  <c r="M9" i="2"/>
  <c r="M5" i="2"/>
  <c r="M8" i="2"/>
  <c r="M6" i="2"/>
  <c r="M7" i="2"/>
  <c r="M10" i="2"/>
  <c r="AP86" i="5" l="1"/>
  <c r="AP85" i="5" l="1"/>
  <c r="AO85" i="5" l="1"/>
  <c r="BJ38" i="15"/>
  <c r="AN82" i="5" l="1"/>
  <c r="AN83" i="5"/>
  <c r="AN84" i="5"/>
  <c r="AO84" i="5" l="1"/>
  <c r="AP84" i="5"/>
  <c r="AO83" i="5"/>
  <c r="AP83" i="5"/>
  <c r="AO82" i="5"/>
  <c r="AP82" i="5"/>
  <c r="AN80" i="5"/>
  <c r="AP80" i="5" s="1"/>
  <c r="AN81" i="5"/>
  <c r="AP81" i="5" s="1"/>
  <c r="AN79" i="5" l="1"/>
  <c r="AP79" i="5" s="1"/>
  <c r="AN78" i="5" l="1"/>
  <c r="AP78" i="5" s="1"/>
  <c r="E7" i="13" l="1"/>
  <c r="D7" i="13"/>
  <c r="C7" i="13"/>
  <c r="D7" i="12"/>
  <c r="E7" i="12"/>
  <c r="C7" i="12"/>
  <c r="E6" i="14"/>
  <c r="E7" i="14"/>
  <c r="E5" i="14"/>
  <c r="K19" i="2" l="1"/>
  <c r="DQ6" i="2"/>
  <c r="DQ7" i="2"/>
  <c r="CS6" i="2"/>
  <c r="CS7" i="2"/>
  <c r="CM6" i="2"/>
  <c r="CM7" i="2"/>
  <c r="CM8" i="2"/>
  <c r="CG6" i="2"/>
  <c r="CG8" i="2"/>
  <c r="CA6" i="2"/>
  <c r="CA7" i="2"/>
  <c r="CA9" i="2"/>
  <c r="CA10" i="2"/>
  <c r="M11" i="2"/>
  <c r="CY5" i="2"/>
  <c r="BF29" i="5" l="1"/>
  <c r="BF30" i="5"/>
  <c r="BF31" i="5"/>
  <c r="BF32" i="5"/>
  <c r="BF62" i="5" l="1"/>
  <c r="AN77" i="5" l="1"/>
  <c r="AP77" i="5" s="1"/>
  <c r="BF59" i="5" l="1"/>
  <c r="BF60" i="5"/>
  <c r="BF61" i="5"/>
  <c r="K62" i="2" l="1"/>
  <c r="BF42" i="5" l="1"/>
  <c r="BF43" i="5"/>
  <c r="BF44" i="5"/>
  <c r="BF45" i="5"/>
  <c r="BF46" i="5"/>
  <c r="BF47" i="5"/>
  <c r="BF48" i="5"/>
  <c r="BF49" i="5"/>
  <c r="BF50" i="5"/>
  <c r="BF51" i="5"/>
  <c r="BF52" i="5"/>
  <c r="BF53" i="5"/>
  <c r="BF54" i="5"/>
  <c r="BF55" i="5"/>
  <c r="BF56" i="5"/>
  <c r="BF57" i="5"/>
  <c r="BF58" i="5"/>
  <c r="BF41" i="5"/>
  <c r="BF6" i="5"/>
  <c r="BF7" i="5"/>
  <c r="BF8" i="5"/>
  <c r="BF9" i="5"/>
  <c r="BF10" i="5"/>
  <c r="BF11" i="5"/>
  <c r="BF12" i="5"/>
  <c r="BF13" i="5"/>
  <c r="BF14" i="5"/>
  <c r="BF15" i="5"/>
  <c r="BF16" i="5"/>
  <c r="BF17" i="5"/>
  <c r="BF18" i="5"/>
  <c r="BF19" i="5"/>
  <c r="BF20" i="5"/>
  <c r="BF21" i="5"/>
  <c r="BF22" i="5"/>
  <c r="BF23" i="5"/>
  <c r="BF24" i="5"/>
  <c r="BF25" i="5"/>
  <c r="BF26" i="5"/>
  <c r="BF27" i="5"/>
  <c r="BF28" i="5"/>
  <c r="BF5" i="5"/>
  <c r="BF38" i="5" l="1"/>
  <c r="BF2" i="5" l="1"/>
  <c r="BG64" i="5"/>
  <c r="BG63" i="5"/>
  <c r="BG38" i="5"/>
  <c r="BG42" i="5"/>
  <c r="BG50" i="5"/>
  <c r="BG61" i="5"/>
  <c r="BG52" i="5"/>
  <c r="BG62" i="5"/>
  <c r="BG46" i="5"/>
  <c r="BG51" i="5"/>
  <c r="BG47" i="5"/>
  <c r="BG55" i="5"/>
  <c r="BG48" i="5"/>
  <c r="BG56" i="5"/>
  <c r="BG58" i="5"/>
  <c r="BG49" i="5"/>
  <c r="BG57" i="5"/>
  <c r="BG59" i="5"/>
  <c r="BG60" i="5"/>
  <c r="BG43" i="5"/>
  <c r="BG44" i="5"/>
  <c r="BG45" i="5"/>
  <c r="BG53" i="5"/>
  <c r="BG54" i="5"/>
  <c r="BG41" i="5"/>
  <c r="BG6" i="5" l="1"/>
  <c r="BG14" i="5"/>
  <c r="BG22" i="5"/>
  <c r="BG30" i="5"/>
  <c r="BG23" i="5"/>
  <c r="BG32" i="5"/>
  <c r="BG17" i="5"/>
  <c r="BG21" i="5"/>
  <c r="BG7" i="5"/>
  <c r="BG15" i="5"/>
  <c r="BG31" i="5"/>
  <c r="BG9" i="5"/>
  <c r="BG33" i="5"/>
  <c r="BG29" i="5"/>
  <c r="BG8" i="5"/>
  <c r="BG16" i="5"/>
  <c r="BG24" i="5"/>
  <c r="BG25" i="5"/>
  <c r="BG10" i="5"/>
  <c r="BG18" i="5"/>
  <c r="BG26" i="5"/>
  <c r="BG34" i="5"/>
  <c r="BG11" i="5"/>
  <c r="BG19" i="5"/>
  <c r="BG27" i="5"/>
  <c r="BG12" i="5"/>
  <c r="BG20" i="5"/>
  <c r="BG28" i="5"/>
  <c r="BG13" i="5"/>
  <c r="BG5" i="5"/>
  <c r="AN75" i="5"/>
  <c r="AP75" i="5" s="1"/>
  <c r="AN76" i="5"/>
  <c r="AP76" i="5" s="1"/>
  <c r="DK5" i="2" l="1"/>
  <c r="DE5" i="2"/>
  <c r="CS5" i="2"/>
  <c r="CM5" i="2"/>
  <c r="CG5" i="2"/>
  <c r="CA5" i="2"/>
  <c r="BU5" i="2"/>
  <c r="DQ5" i="2"/>
  <c r="AN73" i="5" l="1"/>
  <c r="AP73" i="5" s="1"/>
  <c r="AN74" i="5"/>
  <c r="AP74" i="5" s="1"/>
  <c r="AN72" i="5" l="1"/>
  <c r="AP72" i="5" s="1"/>
  <c r="AN71" i="5" l="1"/>
  <c r="AP71" i="5" s="1"/>
  <c r="AN69" i="5" l="1"/>
  <c r="AP69" i="5" s="1"/>
  <c r="AN70" i="5"/>
  <c r="AP70" i="5" s="1"/>
  <c r="AN5" i="5" l="1"/>
  <c r="AP5" i="5" s="1"/>
  <c r="AN6" i="5"/>
  <c r="AP6" i="5" s="1"/>
  <c r="AN7" i="5"/>
  <c r="AP7" i="5" s="1"/>
  <c r="AN8" i="5"/>
  <c r="AP8" i="5" s="1"/>
  <c r="AN9" i="5"/>
  <c r="AP9" i="5" s="1"/>
  <c r="AN10" i="5"/>
  <c r="AP10" i="5" s="1"/>
  <c r="AN11" i="5"/>
  <c r="AP11" i="5" s="1"/>
  <c r="AN12" i="5"/>
  <c r="AP12" i="5" s="1"/>
  <c r="AN13" i="5"/>
  <c r="AP13" i="5" s="1"/>
  <c r="AN14" i="5"/>
  <c r="AP14" i="5" s="1"/>
  <c r="AN15" i="5"/>
  <c r="AP15" i="5" s="1"/>
  <c r="AN16" i="5"/>
  <c r="AP16" i="5" s="1"/>
  <c r="AN17" i="5"/>
  <c r="AP17" i="5" s="1"/>
  <c r="AN18" i="5"/>
  <c r="AP18" i="5" s="1"/>
  <c r="AN19" i="5"/>
  <c r="AP19" i="5" s="1"/>
  <c r="AN20" i="5"/>
  <c r="AP20" i="5" s="1"/>
  <c r="AN21" i="5"/>
  <c r="AP21" i="5" s="1"/>
  <c r="AN22" i="5"/>
  <c r="AP22" i="5" s="1"/>
  <c r="AN23" i="5"/>
  <c r="AP23" i="5" s="1"/>
  <c r="AN24" i="5"/>
  <c r="AP24" i="5" s="1"/>
  <c r="AN25" i="5"/>
  <c r="AP25" i="5" s="1"/>
  <c r="AN26" i="5"/>
  <c r="AP26" i="5" s="1"/>
  <c r="AN27" i="5"/>
  <c r="AP27" i="5" s="1"/>
  <c r="AN28" i="5"/>
  <c r="AP28" i="5" s="1"/>
  <c r="AN29" i="5"/>
  <c r="AP29" i="5" s="1"/>
  <c r="AN30" i="5"/>
  <c r="AP30" i="5" s="1"/>
  <c r="AN31" i="5"/>
  <c r="AP31" i="5" s="1"/>
  <c r="AN32" i="5"/>
  <c r="AP32" i="5" s="1"/>
  <c r="AN33" i="5"/>
  <c r="AP33" i="5" s="1"/>
  <c r="AN34" i="5"/>
  <c r="AP34" i="5" s="1"/>
  <c r="AN35" i="5"/>
  <c r="AP35" i="5" s="1"/>
  <c r="AN36" i="5"/>
  <c r="AP36" i="5" s="1"/>
  <c r="AN37" i="5"/>
  <c r="AP37" i="5" s="1"/>
  <c r="AN38" i="5"/>
  <c r="AP38" i="5" s="1"/>
  <c r="AN39" i="5"/>
  <c r="AP39" i="5" s="1"/>
  <c r="AN40" i="5"/>
  <c r="AP40" i="5" s="1"/>
  <c r="AN41" i="5"/>
  <c r="AP41" i="5" s="1"/>
  <c r="AN42" i="5"/>
  <c r="AP42" i="5" s="1"/>
  <c r="AN43" i="5"/>
  <c r="AP43" i="5" s="1"/>
  <c r="AN44" i="5"/>
  <c r="AP44" i="5" s="1"/>
  <c r="AN45" i="5"/>
  <c r="AP45" i="5" s="1"/>
  <c r="AN46" i="5"/>
  <c r="AP46" i="5" s="1"/>
  <c r="AN47" i="5"/>
  <c r="AP47" i="5" s="1"/>
  <c r="AN48" i="5"/>
  <c r="AP48" i="5" s="1"/>
  <c r="AN49" i="5"/>
  <c r="AP49" i="5" s="1"/>
  <c r="AN50" i="5"/>
  <c r="AP50" i="5" s="1"/>
  <c r="AN51" i="5"/>
  <c r="AP51" i="5" s="1"/>
  <c r="AN52" i="5"/>
  <c r="AP52" i="5" s="1"/>
  <c r="AN53" i="5"/>
  <c r="AP53" i="5" s="1"/>
  <c r="AN54" i="5"/>
  <c r="AP54" i="5" s="1"/>
  <c r="AN55" i="5"/>
  <c r="AP55" i="5" s="1"/>
  <c r="AN56" i="5"/>
  <c r="AP56" i="5" s="1"/>
  <c r="AN57" i="5"/>
  <c r="AP57" i="5" s="1"/>
  <c r="AN58" i="5"/>
  <c r="AP58" i="5" s="1"/>
  <c r="AN59" i="5"/>
  <c r="AP59" i="5" s="1"/>
  <c r="AN60" i="5"/>
  <c r="AP60" i="5" s="1"/>
  <c r="AN61" i="5"/>
  <c r="AP61" i="5" s="1"/>
  <c r="AN62" i="5"/>
  <c r="AP62" i="5" s="1"/>
  <c r="AN63" i="5"/>
  <c r="AP63" i="5" s="1"/>
  <c r="AN64" i="5"/>
  <c r="AP64" i="5" s="1"/>
  <c r="AN65" i="5"/>
  <c r="AP65" i="5" s="1"/>
  <c r="AN66" i="5"/>
  <c r="AP66" i="5" s="1"/>
  <c r="AN67" i="5"/>
  <c r="AP67" i="5" s="1"/>
  <c r="AN68" i="5"/>
  <c r="AP68" i="5" s="1"/>
  <c r="BI5" i="2" l="1"/>
  <c r="P9" i="4"/>
  <c r="AO79" i="5" l="1"/>
  <c r="AO80" i="5"/>
  <c r="AO81" i="5"/>
  <c r="AO5" i="5"/>
  <c r="AO61" i="5"/>
  <c r="AO54" i="5"/>
  <c r="AO53" i="5"/>
  <c r="AO60" i="5"/>
  <c r="AO67" i="5"/>
  <c r="AO66" i="5"/>
  <c r="AO65" i="5"/>
  <c r="AO64" i="5"/>
  <c r="AO47" i="5"/>
  <c r="AO46" i="5"/>
  <c r="AO45" i="5"/>
  <c r="AO52" i="5"/>
  <c r="AO59" i="5"/>
  <c r="AO58" i="5"/>
  <c r="AO57" i="5"/>
  <c r="AO56" i="5"/>
  <c r="AO39" i="5"/>
  <c r="AO38" i="5"/>
  <c r="AO37" i="5"/>
  <c r="AO44" i="5"/>
  <c r="AO51" i="5"/>
  <c r="AO50" i="5"/>
  <c r="AO49" i="5"/>
  <c r="AO48" i="5"/>
  <c r="AO31" i="5"/>
  <c r="AO30" i="5"/>
  <c r="AO29" i="5"/>
  <c r="AO36" i="5"/>
  <c r="AO43" i="5"/>
  <c r="AO42" i="5"/>
  <c r="AO41" i="5"/>
  <c r="AO40" i="5"/>
  <c r="AO7" i="5"/>
  <c r="AO14" i="5"/>
  <c r="AO21" i="5"/>
  <c r="AO28" i="5"/>
  <c r="AO35" i="5"/>
  <c r="AO34" i="5"/>
  <c r="AO33" i="5"/>
  <c r="AO32" i="5"/>
  <c r="AO62" i="5"/>
  <c r="AO71" i="5"/>
  <c r="AO77" i="5"/>
  <c r="AO13" i="5"/>
  <c r="AO20" i="5"/>
  <c r="AO27" i="5"/>
  <c r="AO26" i="5"/>
  <c r="AO25" i="5"/>
  <c r="AO16" i="5"/>
  <c r="AO22" i="5"/>
  <c r="AO55" i="5"/>
  <c r="AO69" i="5"/>
  <c r="AO76" i="5"/>
  <c r="AO12" i="5"/>
  <c r="AO19" i="5"/>
  <c r="AO18" i="5"/>
  <c r="AO9" i="5"/>
  <c r="AO8" i="5"/>
  <c r="AO6" i="5"/>
  <c r="AO70" i="5"/>
  <c r="AO68" i="5"/>
  <c r="AO75" i="5"/>
  <c r="AO11" i="5"/>
  <c r="AO73" i="5"/>
  <c r="AO72" i="5"/>
  <c r="AO63" i="5"/>
  <c r="AO78" i="5"/>
  <c r="AO23" i="5"/>
  <c r="AO2" i="5"/>
  <c r="AO74" i="5"/>
  <c r="AO10" i="5"/>
  <c r="AO17" i="5"/>
  <c r="AO24" i="5"/>
  <c r="AO15" i="5"/>
  <c r="AQ9" i="2"/>
  <c r="AQ10" i="2"/>
  <c r="AQ11" i="2"/>
  <c r="AQ12" i="2"/>
  <c r="AQ13" i="2"/>
  <c r="AQ14" i="2"/>
  <c r="S9" i="4"/>
  <c r="AO1" i="5" l="1"/>
</calcChain>
</file>

<file path=xl/sharedStrings.xml><?xml version="1.0" encoding="utf-8"?>
<sst xmlns="http://schemas.openxmlformats.org/spreadsheetml/2006/main" count="19469" uniqueCount="5565">
  <si>
    <t>売上日</t>
    <rPh sb="0" eb="3">
      <t>ウリアゲビ</t>
    </rPh>
    <phoneticPr fontId="2"/>
  </si>
  <si>
    <t>顧客名</t>
    <rPh sb="0" eb="2">
      <t>コキャク</t>
    </rPh>
    <rPh sb="2" eb="3">
      <t>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</si>
  <si>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</si>
  <si>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</si>
  <si>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売上高</t>
    <rPh sb="0" eb="2">
      <t>ウリアゲ</t>
    </rPh>
    <rPh sb="2" eb="3">
      <t>ダカ</t>
    </rPh>
    <phoneticPr fontId="2"/>
  </si>
  <si>
    <t>顧客台帳</t>
    <rPh sb="0" eb="2">
      <t>コキャク</t>
    </rPh>
    <rPh sb="2" eb="4">
      <t>ダイチョウ</t>
    </rPh>
    <phoneticPr fontId="2"/>
  </si>
  <si>
    <t>部品台帳</t>
    <rPh sb="0" eb="2">
      <t>ブヒン</t>
    </rPh>
    <rPh sb="2" eb="4">
      <t>ダイチョウ</t>
    </rPh>
    <phoneticPr fontId="2"/>
  </si>
  <si>
    <t>支店名</t>
    <rPh sb="0" eb="3">
      <t>シテンメイ</t>
    </rPh>
    <phoneticPr fontId="2"/>
  </si>
  <si>
    <t>掛率</t>
    <rPh sb="0" eb="1">
      <t>カ</t>
    </rPh>
    <rPh sb="1" eb="2">
      <t>リツ</t>
    </rPh>
    <phoneticPr fontId="2"/>
  </si>
  <si>
    <t>定価</t>
    <rPh sb="0" eb="2">
      <t>テイカ</t>
    </rPh>
    <phoneticPr fontId="2"/>
  </si>
  <si>
    <t>伝票番号</t>
    <rPh sb="0" eb="2">
      <t>デンピョウ</t>
    </rPh>
    <rPh sb="2" eb="4">
      <t>バンゴウ</t>
    </rPh>
    <phoneticPr fontId="2"/>
  </si>
  <si>
    <t>請求月</t>
    <rPh sb="0" eb="2">
      <t>セイキュウ</t>
    </rPh>
    <rPh sb="2" eb="3">
      <t>ツキ</t>
    </rPh>
    <phoneticPr fontId="2"/>
  </si>
  <si>
    <t>顧客ＩＤ</t>
  </si>
  <si>
    <t>顧客ＩＤ</t>
    <rPh sb="0" eb="1">
      <t>コ</t>
    </rPh>
    <rPh sb="1" eb="2">
      <t>キャク</t>
    </rPh>
    <phoneticPr fontId="2"/>
  </si>
  <si>
    <t>店名</t>
    <rPh sb="0" eb="2">
      <t>テンメイ</t>
    </rPh>
    <phoneticPr fontId="2"/>
  </si>
  <si>
    <t>本社</t>
    <rPh sb="0" eb="2">
      <t>ホンシャ</t>
    </rPh>
    <phoneticPr fontId="2"/>
  </si>
  <si>
    <t>店ＩＤ</t>
  </si>
  <si>
    <t>店ＩＤ</t>
    <rPh sb="0" eb="1">
      <t>テン</t>
    </rPh>
    <phoneticPr fontId="2"/>
  </si>
  <si>
    <t>商品名</t>
    <rPh sb="0" eb="2">
      <t>ショウヒン</t>
    </rPh>
    <rPh sb="2" eb="3">
      <t>メイ</t>
    </rPh>
    <phoneticPr fontId="2"/>
  </si>
  <si>
    <t>ｼﾘｱﾙ番号</t>
    <rPh sb="4" eb="6">
      <t>バンゴウ</t>
    </rPh>
    <phoneticPr fontId="2"/>
  </si>
  <si>
    <t>売上日計表</t>
    <rPh sb="0" eb="2">
      <t>ウリアゲ</t>
    </rPh>
    <rPh sb="2" eb="5">
      <t>ニッケイヒョウ</t>
    </rPh>
    <phoneticPr fontId="2"/>
  </si>
  <si>
    <t>101</t>
  </si>
  <si>
    <t>得意先コード</t>
    <rPh sb="0" eb="3">
      <t>トクイサキ</t>
    </rPh>
    <phoneticPr fontId="2"/>
  </si>
  <si>
    <t>請求番号</t>
    <rPh sb="0" eb="2">
      <t>セイキュウ</t>
    </rPh>
    <rPh sb="2" eb="4">
      <t>バンゴウ</t>
    </rPh>
    <phoneticPr fontId="2"/>
  </si>
  <si>
    <t>前回請求金額</t>
    <rPh sb="0" eb="2">
      <t>ゼンカイ</t>
    </rPh>
    <rPh sb="2" eb="4">
      <t>セイキュウ</t>
    </rPh>
    <rPh sb="4" eb="6">
      <t>キンガク</t>
    </rPh>
    <phoneticPr fontId="2"/>
  </si>
  <si>
    <t>今回御入金額</t>
    <rPh sb="0" eb="2">
      <t>コンカイ</t>
    </rPh>
    <rPh sb="2" eb="5">
      <t>ゴニュウキン</t>
    </rPh>
    <rPh sb="5" eb="6">
      <t>ガク</t>
    </rPh>
    <phoneticPr fontId="2"/>
  </si>
  <si>
    <t>今回御買上金額</t>
    <rPh sb="0" eb="2">
      <t>コンカイ</t>
    </rPh>
    <rPh sb="2" eb="3">
      <t>オ</t>
    </rPh>
    <rPh sb="3" eb="5">
      <t>カイアゲ</t>
    </rPh>
    <rPh sb="5" eb="7">
      <t>キンガク</t>
    </rPh>
    <phoneticPr fontId="2"/>
  </si>
  <si>
    <t>月日</t>
    <rPh sb="0" eb="2">
      <t>ガッピ</t>
    </rPh>
    <phoneticPr fontId="2"/>
  </si>
  <si>
    <t>商品名</t>
    <rPh sb="0" eb="3">
      <t>ショウヒンメイ</t>
    </rPh>
    <phoneticPr fontId="2"/>
  </si>
  <si>
    <t>金額</t>
    <rPh sb="0" eb="2">
      <t>キンガク</t>
    </rPh>
    <phoneticPr fontId="2"/>
  </si>
  <si>
    <t>適要</t>
    <rPh sb="0" eb="1">
      <t>テキ</t>
    </rPh>
    <rPh sb="1" eb="2">
      <t>ヨウ</t>
    </rPh>
    <phoneticPr fontId="2"/>
  </si>
  <si>
    <t>下記の通り御請求申し上げます。</t>
    <rPh sb="0" eb="2">
      <t>カキ</t>
    </rPh>
    <rPh sb="3" eb="4">
      <t>トオ</t>
    </rPh>
    <rPh sb="5" eb="8">
      <t>ゴセイキュウ</t>
    </rPh>
    <rPh sb="8" eb="9">
      <t>モウ</t>
    </rPh>
    <rPh sb="10" eb="11">
      <t>ア</t>
    </rPh>
    <phoneticPr fontId="2"/>
  </si>
  <si>
    <t>今回御請求金額</t>
    <rPh sb="0" eb="2">
      <t>コンカイ</t>
    </rPh>
    <rPh sb="2" eb="5">
      <t>ゴセイキュウ</t>
    </rPh>
    <rPh sb="5" eb="7">
      <t>キンガク</t>
    </rPh>
    <phoneticPr fontId="2"/>
  </si>
  <si>
    <t>御　請　求　書</t>
    <rPh sb="0" eb="1">
      <t>オ</t>
    </rPh>
    <rPh sb="2" eb="3">
      <t>ショウ</t>
    </rPh>
    <rPh sb="4" eb="5">
      <t>モトム</t>
    </rPh>
    <rPh sb="6" eb="7">
      <t>ショ</t>
    </rPh>
    <phoneticPr fontId="2"/>
  </si>
  <si>
    <t>TEL 042-708-9691</t>
    <phoneticPr fontId="2"/>
  </si>
  <si>
    <t>締切</t>
    <rPh sb="0" eb="2">
      <t>シメキリ</t>
    </rPh>
    <phoneticPr fontId="2"/>
  </si>
  <si>
    <r>
      <t>株式会社　</t>
    </r>
    <r>
      <rPr>
        <b/>
        <sz val="16"/>
        <rFont val="ＭＳ Ｐゴシック"/>
        <family val="3"/>
        <charset val="128"/>
      </rPr>
      <t>ムーンギターズ</t>
    </r>
    <rPh sb="0" eb="2">
      <t>カブシキ</t>
    </rPh>
    <rPh sb="2" eb="4">
      <t>カイシャ</t>
    </rPh>
    <phoneticPr fontId="2"/>
  </si>
  <si>
    <t>FAX 042-708-9692</t>
    <phoneticPr fontId="2"/>
  </si>
  <si>
    <t>145</t>
    <phoneticPr fontId="2"/>
  </si>
  <si>
    <t>162</t>
    <phoneticPr fontId="2"/>
  </si>
  <si>
    <t>心斎橋店</t>
    <rPh sb="0" eb="3">
      <t>シンサイバシ</t>
    </rPh>
    <rPh sb="3" eb="4">
      <t>テン</t>
    </rPh>
    <phoneticPr fontId="2"/>
  </si>
  <si>
    <t>川越店</t>
    <rPh sb="0" eb="2">
      <t>カワゴエ</t>
    </rPh>
    <rPh sb="2" eb="3">
      <t>テン</t>
    </rPh>
    <phoneticPr fontId="2"/>
  </si>
  <si>
    <t>新宿店</t>
    <rPh sb="0" eb="2">
      <t>シンジュク</t>
    </rPh>
    <rPh sb="2" eb="3">
      <t>テン</t>
    </rPh>
    <phoneticPr fontId="2"/>
  </si>
  <si>
    <t>札幌パルコ店</t>
    <rPh sb="0" eb="2">
      <t>サッポロ</t>
    </rPh>
    <rPh sb="5" eb="6">
      <t>テン</t>
    </rPh>
    <phoneticPr fontId="2"/>
  </si>
  <si>
    <t>516</t>
    <phoneticPr fontId="2"/>
  </si>
  <si>
    <t>518</t>
    <phoneticPr fontId="2"/>
  </si>
  <si>
    <t>520</t>
    <phoneticPr fontId="2"/>
  </si>
  <si>
    <t>543</t>
    <phoneticPr fontId="2"/>
  </si>
  <si>
    <t>934</t>
    <phoneticPr fontId="2"/>
  </si>
  <si>
    <t>1102</t>
    <phoneticPr fontId="2"/>
  </si>
  <si>
    <t>（株）池部楽器</t>
  </si>
  <si>
    <t>郵便番号</t>
    <rPh sb="0" eb="2">
      <t>ユウビン</t>
    </rPh>
    <rPh sb="2" eb="4">
      <t>バンゴウ</t>
    </rPh>
    <phoneticPr fontId="2"/>
  </si>
  <si>
    <t>住所１</t>
    <rPh sb="0" eb="2">
      <t>ジュウショ</t>
    </rPh>
    <phoneticPr fontId="2"/>
  </si>
  <si>
    <t>住所２</t>
    <rPh sb="0" eb="2">
      <t>ジュウショ</t>
    </rPh>
    <phoneticPr fontId="2"/>
  </si>
  <si>
    <t>101</t>
    <phoneticPr fontId="2"/>
  </si>
  <si>
    <t>（株）池部楽器</t>
    <rPh sb="0" eb="3">
      <t>かぶ</t>
    </rPh>
    <rPh sb="3" eb="5">
      <t>いけべ</t>
    </rPh>
    <rPh sb="5" eb="7">
      <t>がっき</t>
    </rPh>
    <phoneticPr fontId="2" type="Hiragana"/>
  </si>
  <si>
    <t>102</t>
    <phoneticPr fontId="2"/>
  </si>
  <si>
    <t>（株）石橋楽器</t>
    <rPh sb="0" eb="3">
      <t>カブ</t>
    </rPh>
    <rPh sb="3" eb="5">
      <t>イシバシ</t>
    </rPh>
    <rPh sb="5" eb="7">
      <t>ガッキ</t>
    </rPh>
    <phoneticPr fontId="2"/>
  </si>
  <si>
    <t>106</t>
    <phoneticPr fontId="2"/>
  </si>
  <si>
    <t>（株）イー・エス・ピー</t>
    <rPh sb="0" eb="3">
      <t>カブ</t>
    </rPh>
    <phoneticPr fontId="2"/>
  </si>
  <si>
    <t>108</t>
    <phoneticPr fontId="2"/>
  </si>
  <si>
    <t>109</t>
    <phoneticPr fontId="2"/>
  </si>
  <si>
    <t>（株）新星堂ロックイン</t>
    <rPh sb="0" eb="3">
      <t>カブ</t>
    </rPh>
    <rPh sb="3" eb="6">
      <t>シンセイドウ</t>
    </rPh>
    <phoneticPr fontId="2"/>
  </si>
  <si>
    <t>110</t>
    <phoneticPr fontId="2"/>
  </si>
  <si>
    <t>（株）黒澤楽器</t>
    <rPh sb="0" eb="3">
      <t>カブ</t>
    </rPh>
    <rPh sb="3" eb="5">
      <t>クロサワ</t>
    </rPh>
    <rPh sb="5" eb="7">
      <t>ガッキ</t>
    </rPh>
    <phoneticPr fontId="2"/>
  </si>
  <si>
    <t>121</t>
    <phoneticPr fontId="2"/>
  </si>
  <si>
    <t>（株）下倉楽器</t>
    <rPh sb="0" eb="3">
      <t>カブ</t>
    </rPh>
    <rPh sb="3" eb="5">
      <t>シモクラ</t>
    </rPh>
    <rPh sb="5" eb="7">
      <t>ガッキ</t>
    </rPh>
    <phoneticPr fontId="2"/>
  </si>
  <si>
    <t>122</t>
    <phoneticPr fontId="2"/>
  </si>
  <si>
    <t>（株）昭和楽器</t>
    <rPh sb="0" eb="3">
      <t>カブ</t>
    </rPh>
    <rPh sb="3" eb="5">
      <t>ショウワ</t>
    </rPh>
    <rPh sb="5" eb="7">
      <t>ガッキ</t>
    </rPh>
    <phoneticPr fontId="2"/>
  </si>
  <si>
    <t>126</t>
    <phoneticPr fontId="2"/>
  </si>
  <si>
    <t>（株）ブリッジコーポレーション</t>
    <rPh sb="0" eb="3">
      <t>カブ</t>
    </rPh>
    <phoneticPr fontId="2"/>
  </si>
  <si>
    <t>129</t>
    <phoneticPr fontId="2"/>
  </si>
  <si>
    <t>（株）サウンドトゥーフォーテイト</t>
    <rPh sb="0" eb="3">
      <t>カブ</t>
    </rPh>
    <phoneticPr fontId="2"/>
  </si>
  <si>
    <t>135</t>
    <phoneticPr fontId="2"/>
  </si>
  <si>
    <t>（株）宮地商会</t>
    <rPh sb="0" eb="3">
      <t>カブ</t>
    </rPh>
    <rPh sb="3" eb="5">
      <t>ミヤジ</t>
    </rPh>
    <rPh sb="5" eb="7">
      <t>ショウカイ</t>
    </rPh>
    <phoneticPr fontId="2"/>
  </si>
  <si>
    <t>136</t>
    <phoneticPr fontId="2"/>
  </si>
  <si>
    <t>138</t>
    <phoneticPr fontId="2"/>
  </si>
  <si>
    <t>139</t>
    <phoneticPr fontId="2"/>
  </si>
  <si>
    <t>（株）ヤマハミュージック東京</t>
    <rPh sb="0" eb="3">
      <t>カブ</t>
    </rPh>
    <rPh sb="12" eb="14">
      <t>トウキョウ</t>
    </rPh>
    <phoneticPr fontId="2"/>
  </si>
  <si>
    <t>140</t>
    <phoneticPr fontId="2"/>
  </si>
  <si>
    <t>（株）ヤマハミュージック横浜</t>
    <rPh sb="0" eb="3">
      <t>カブ</t>
    </rPh>
    <rPh sb="12" eb="14">
      <t>ヨコハマ</t>
    </rPh>
    <phoneticPr fontId="2"/>
  </si>
  <si>
    <t>（有）佐藤楽器</t>
    <rPh sb="0" eb="3">
      <t>ユウ</t>
    </rPh>
    <rPh sb="3" eb="5">
      <t>サトウ</t>
    </rPh>
    <rPh sb="5" eb="7">
      <t>ガッキ</t>
    </rPh>
    <phoneticPr fontId="2"/>
  </si>
  <si>
    <t>147</t>
    <phoneticPr fontId="2"/>
  </si>
  <si>
    <t>（株）ＯＮＧ</t>
    <rPh sb="0" eb="3">
      <t>カブ</t>
    </rPh>
    <phoneticPr fontId="2"/>
  </si>
  <si>
    <t>154</t>
    <phoneticPr fontId="2"/>
  </si>
  <si>
    <t>（株）トミー商会</t>
    <rPh sb="0" eb="3">
      <t>カブ</t>
    </rPh>
    <rPh sb="6" eb="8">
      <t>ショウカイ</t>
    </rPh>
    <phoneticPr fontId="2"/>
  </si>
  <si>
    <t>159</t>
    <phoneticPr fontId="2"/>
  </si>
  <si>
    <t>楽器屋ＢＯＷ</t>
    <rPh sb="0" eb="3">
      <t>ガッキヤ</t>
    </rPh>
    <phoneticPr fontId="2"/>
  </si>
  <si>
    <t>168</t>
    <phoneticPr fontId="2"/>
  </si>
  <si>
    <t>（有）ウェーブワン</t>
    <rPh sb="0" eb="3">
      <t>ユウ</t>
    </rPh>
    <phoneticPr fontId="2"/>
  </si>
  <si>
    <t>161</t>
    <phoneticPr fontId="2"/>
  </si>
  <si>
    <t>（有）ヨネザワ楽器</t>
    <rPh sb="0" eb="3">
      <t>ユウ</t>
    </rPh>
    <rPh sb="7" eb="9">
      <t>ガッキ</t>
    </rPh>
    <phoneticPr fontId="2"/>
  </si>
  <si>
    <t>ホットラインミュージック（株）</t>
    <rPh sb="12" eb="15">
      <t>カブ</t>
    </rPh>
    <phoneticPr fontId="2"/>
  </si>
  <si>
    <t>164</t>
    <phoneticPr fontId="2"/>
  </si>
  <si>
    <t>（株）パン・プロジェクト</t>
    <rPh sb="0" eb="3">
      <t>カブ</t>
    </rPh>
    <phoneticPr fontId="2"/>
  </si>
  <si>
    <t>165</t>
    <phoneticPr fontId="2"/>
  </si>
  <si>
    <t>801</t>
    <phoneticPr fontId="2"/>
  </si>
  <si>
    <t>北海道東海楽器（株）</t>
    <rPh sb="0" eb="3">
      <t>ホッカイドウ</t>
    </rPh>
    <rPh sb="3" eb="5">
      <t>トウカイ</t>
    </rPh>
    <rPh sb="5" eb="7">
      <t>ガッキ</t>
    </rPh>
    <rPh sb="7" eb="10">
      <t>カブ</t>
    </rPh>
    <phoneticPr fontId="2"/>
  </si>
  <si>
    <t>702</t>
    <phoneticPr fontId="2"/>
  </si>
  <si>
    <t>（株）グルーヴィン</t>
    <rPh sb="0" eb="3">
      <t>カブ</t>
    </rPh>
    <phoneticPr fontId="2"/>
  </si>
  <si>
    <t>602</t>
    <phoneticPr fontId="2"/>
  </si>
  <si>
    <t>あぽろん（株）</t>
    <rPh sb="4" eb="7">
      <t>カブ</t>
    </rPh>
    <phoneticPr fontId="2"/>
  </si>
  <si>
    <t>604</t>
    <phoneticPr fontId="2"/>
  </si>
  <si>
    <t>（株）上野楽器</t>
    <rPh sb="0" eb="3">
      <t>カブ</t>
    </rPh>
    <rPh sb="3" eb="5">
      <t>ウエノ</t>
    </rPh>
    <rPh sb="5" eb="7">
      <t>ガッキ</t>
    </rPh>
    <phoneticPr fontId="2"/>
  </si>
  <si>
    <t>612</t>
    <phoneticPr fontId="2"/>
  </si>
  <si>
    <t>505</t>
    <phoneticPr fontId="2"/>
  </si>
  <si>
    <t>（株）松栄堂楽器</t>
    <rPh sb="0" eb="3">
      <t>カブ</t>
    </rPh>
    <rPh sb="3" eb="5">
      <t>ショウエイ</t>
    </rPh>
    <rPh sb="5" eb="6">
      <t>ドウ</t>
    </rPh>
    <rPh sb="6" eb="8">
      <t>ガッキ</t>
    </rPh>
    <phoneticPr fontId="2"/>
  </si>
  <si>
    <t>506</t>
    <phoneticPr fontId="2"/>
  </si>
  <si>
    <t>（有）シライミュージック</t>
    <rPh sb="0" eb="3">
      <t>ユウ</t>
    </rPh>
    <phoneticPr fontId="2"/>
  </si>
  <si>
    <t>507</t>
    <phoneticPr fontId="2"/>
  </si>
  <si>
    <t>サウンドハウスマックス</t>
    <phoneticPr fontId="2"/>
  </si>
  <si>
    <t>508</t>
    <phoneticPr fontId="2"/>
  </si>
  <si>
    <t>すみやグッディ（株）</t>
    <rPh sb="7" eb="10">
      <t>カブ</t>
    </rPh>
    <phoneticPr fontId="2"/>
  </si>
  <si>
    <t>510</t>
    <phoneticPr fontId="2"/>
  </si>
  <si>
    <t>（有）チャンプ</t>
    <rPh sb="0" eb="3">
      <t>ユウ</t>
    </rPh>
    <phoneticPr fontId="2"/>
  </si>
  <si>
    <t>511</t>
    <phoneticPr fontId="2"/>
  </si>
  <si>
    <t>DO!ミュージック</t>
    <phoneticPr fontId="2"/>
  </si>
  <si>
    <t>513</t>
    <phoneticPr fontId="2"/>
  </si>
  <si>
    <t>（株）のりき楽器</t>
    <rPh sb="0" eb="3">
      <t>カブ</t>
    </rPh>
    <rPh sb="6" eb="8">
      <t>ガッキ</t>
    </rPh>
    <phoneticPr fontId="2"/>
  </si>
  <si>
    <t>（株）兵藤楽器</t>
    <rPh sb="0" eb="3">
      <t>カブ</t>
    </rPh>
    <rPh sb="3" eb="5">
      <t>ヒョウドウ</t>
    </rPh>
    <rPh sb="5" eb="7">
      <t>ガッキ</t>
    </rPh>
    <phoneticPr fontId="2"/>
  </si>
  <si>
    <t>519</t>
    <phoneticPr fontId="2"/>
  </si>
  <si>
    <t>（株）フクロヤ楽器館</t>
    <rPh sb="0" eb="3">
      <t>カブ</t>
    </rPh>
    <rPh sb="7" eb="9">
      <t>ガッキ</t>
    </rPh>
    <rPh sb="9" eb="10">
      <t>カン</t>
    </rPh>
    <phoneticPr fontId="2"/>
  </si>
  <si>
    <t>文化屋楽器店</t>
    <rPh sb="0" eb="2">
      <t>ブンカ</t>
    </rPh>
    <rPh sb="2" eb="3">
      <t>ヤ</t>
    </rPh>
    <rPh sb="3" eb="6">
      <t>ガッキテン</t>
    </rPh>
    <phoneticPr fontId="2"/>
  </si>
  <si>
    <t>522</t>
    <phoneticPr fontId="2"/>
  </si>
  <si>
    <t>523</t>
    <phoneticPr fontId="2"/>
  </si>
  <si>
    <t>（株）松木屋</t>
    <rPh sb="0" eb="3">
      <t>カブ</t>
    </rPh>
    <rPh sb="3" eb="5">
      <t>マツキ</t>
    </rPh>
    <rPh sb="5" eb="6">
      <t>ヤ</t>
    </rPh>
    <phoneticPr fontId="2"/>
  </si>
  <si>
    <t>（有）平野楽器ロッキン</t>
    <rPh sb="0" eb="3">
      <t>ユウ</t>
    </rPh>
    <rPh sb="3" eb="5">
      <t>ヒラノ</t>
    </rPh>
    <rPh sb="5" eb="7">
      <t>ガッキ</t>
    </rPh>
    <phoneticPr fontId="2"/>
  </si>
  <si>
    <t>525</t>
    <phoneticPr fontId="2"/>
  </si>
  <si>
    <t>みどり楽器</t>
    <rPh sb="3" eb="5">
      <t>ガッキ</t>
    </rPh>
    <phoneticPr fontId="2"/>
  </si>
  <si>
    <t>544</t>
    <phoneticPr fontId="2"/>
  </si>
  <si>
    <t>（株）アヒバ</t>
    <rPh sb="0" eb="3">
      <t>カブ</t>
    </rPh>
    <phoneticPr fontId="2"/>
  </si>
  <si>
    <t>903</t>
    <phoneticPr fontId="2"/>
  </si>
  <si>
    <t>アレックス　トップザギター</t>
    <phoneticPr fontId="2"/>
  </si>
  <si>
    <t>905</t>
    <phoneticPr fontId="2"/>
  </si>
  <si>
    <t>ウエイド</t>
    <phoneticPr fontId="2"/>
  </si>
  <si>
    <t>906</t>
    <phoneticPr fontId="2"/>
  </si>
  <si>
    <t>梅田ナカイ楽器（株）</t>
    <rPh sb="0" eb="2">
      <t>ウメダ</t>
    </rPh>
    <rPh sb="5" eb="7">
      <t>ガッキ</t>
    </rPh>
    <rPh sb="7" eb="10">
      <t>カブ</t>
    </rPh>
    <phoneticPr fontId="2"/>
  </si>
  <si>
    <t>909</t>
    <phoneticPr fontId="2"/>
  </si>
  <si>
    <t>フリーク</t>
    <phoneticPr fontId="2"/>
  </si>
  <si>
    <t>910</t>
    <phoneticPr fontId="2"/>
  </si>
  <si>
    <t>（株）小阪楽器</t>
    <rPh sb="0" eb="3">
      <t>カブ</t>
    </rPh>
    <rPh sb="3" eb="5">
      <t>コサカ</t>
    </rPh>
    <rPh sb="5" eb="7">
      <t>ガッキ</t>
    </rPh>
    <phoneticPr fontId="2"/>
  </si>
  <si>
    <t>912</t>
    <phoneticPr fontId="2"/>
  </si>
  <si>
    <t>914</t>
    <phoneticPr fontId="2"/>
  </si>
  <si>
    <t>テイクオフ</t>
    <phoneticPr fontId="2"/>
  </si>
  <si>
    <t>918</t>
    <phoneticPr fontId="2"/>
  </si>
  <si>
    <t>三木楽器（株）</t>
    <rPh sb="0" eb="2">
      <t>ミキ</t>
    </rPh>
    <rPh sb="2" eb="4">
      <t>ガッキ</t>
    </rPh>
    <rPh sb="4" eb="7">
      <t>カブ</t>
    </rPh>
    <phoneticPr fontId="2"/>
  </si>
  <si>
    <t>921</t>
    <phoneticPr fontId="2"/>
  </si>
  <si>
    <t>（株）ワタナベ楽器</t>
    <rPh sb="0" eb="3">
      <t>カブ</t>
    </rPh>
    <rPh sb="7" eb="9">
      <t>ガッキ</t>
    </rPh>
    <phoneticPr fontId="2"/>
  </si>
  <si>
    <t>大東楽器（株）</t>
    <rPh sb="0" eb="2">
      <t>ダイトウ</t>
    </rPh>
    <rPh sb="2" eb="4">
      <t>ガッキ</t>
    </rPh>
    <rPh sb="4" eb="7">
      <t>カブ</t>
    </rPh>
    <phoneticPr fontId="2"/>
  </si>
  <si>
    <t>937</t>
    <phoneticPr fontId="2"/>
  </si>
  <si>
    <t>938</t>
    <phoneticPr fontId="2"/>
  </si>
  <si>
    <t>サイトゼロ</t>
    <phoneticPr fontId="2"/>
  </si>
  <si>
    <t>940</t>
    <phoneticPr fontId="2"/>
  </si>
  <si>
    <t>リバイブギターズ</t>
    <phoneticPr fontId="2"/>
  </si>
  <si>
    <t>1015</t>
    <phoneticPr fontId="2"/>
  </si>
  <si>
    <t>（有）メイビス白石</t>
    <rPh sb="0" eb="3">
      <t>ユウ</t>
    </rPh>
    <rPh sb="7" eb="9">
      <t>シライシ</t>
    </rPh>
    <phoneticPr fontId="2"/>
  </si>
  <si>
    <t>（有）クルースラット</t>
    <rPh sb="0" eb="3">
      <t>ユウ</t>
    </rPh>
    <phoneticPr fontId="2"/>
  </si>
  <si>
    <t>1206</t>
    <phoneticPr fontId="2"/>
  </si>
  <si>
    <t>101-0026</t>
    <phoneticPr fontId="2"/>
  </si>
  <si>
    <t>101-0052</t>
    <phoneticPr fontId="2"/>
  </si>
  <si>
    <t>345-0821</t>
    <phoneticPr fontId="2"/>
  </si>
  <si>
    <t>452-0814</t>
    <phoneticPr fontId="2"/>
  </si>
  <si>
    <t>577-0056</t>
    <phoneticPr fontId="2"/>
  </si>
  <si>
    <t>604-0903</t>
    <phoneticPr fontId="2"/>
  </si>
  <si>
    <t>561-0864</t>
    <phoneticPr fontId="2"/>
  </si>
  <si>
    <t>132-0035</t>
    <phoneticPr fontId="2"/>
  </si>
  <si>
    <t>167-0043</t>
    <phoneticPr fontId="2"/>
  </si>
  <si>
    <t>171-0033</t>
    <phoneticPr fontId="2"/>
  </si>
  <si>
    <t>541-0057</t>
    <phoneticPr fontId="2"/>
  </si>
  <si>
    <t>530-0012</t>
    <phoneticPr fontId="2"/>
  </si>
  <si>
    <t>283-0068</t>
    <phoneticPr fontId="2"/>
  </si>
  <si>
    <t>1-4</t>
    <phoneticPr fontId="2"/>
  </si>
  <si>
    <t>2-13-24</t>
    <phoneticPr fontId="2"/>
  </si>
  <si>
    <t>91</t>
    <phoneticPr fontId="2"/>
  </si>
  <si>
    <t>1-18-22</t>
    <phoneticPr fontId="2"/>
  </si>
  <si>
    <t>1-3-8</t>
    <phoneticPr fontId="2"/>
  </si>
  <si>
    <t>6-37-3</t>
    <phoneticPr fontId="2"/>
  </si>
  <si>
    <t>3-36-1</t>
    <phoneticPr fontId="2"/>
  </si>
  <si>
    <t>3-3-4</t>
    <phoneticPr fontId="2"/>
  </si>
  <si>
    <t>1-6-2 阪急古書の街</t>
    <rPh sb="6" eb="8">
      <t>ハンキュウ</t>
    </rPh>
    <rPh sb="8" eb="10">
      <t>コショ</t>
    </rPh>
    <rPh sb="11" eb="12">
      <t>マチ</t>
    </rPh>
    <phoneticPr fontId="2"/>
  </si>
  <si>
    <t>1-22</t>
    <phoneticPr fontId="2"/>
  </si>
  <si>
    <t>604-8036</t>
    <phoneticPr fontId="2"/>
  </si>
  <si>
    <t>951-8066</t>
    <phoneticPr fontId="2"/>
  </si>
  <si>
    <t>5-409</t>
    <phoneticPr fontId="2"/>
  </si>
  <si>
    <t>542-0086</t>
    <phoneticPr fontId="2"/>
  </si>
  <si>
    <t>2-10-29</t>
    <phoneticPr fontId="2"/>
  </si>
  <si>
    <t>533-0013</t>
    <phoneticPr fontId="2"/>
  </si>
  <si>
    <t>7-31-16メゾンアオイEX</t>
    <phoneticPr fontId="2"/>
  </si>
  <si>
    <t>448-0026</t>
    <phoneticPr fontId="2"/>
  </si>
  <si>
    <t>4-40</t>
    <phoneticPr fontId="2"/>
  </si>
  <si>
    <t>2-14</t>
    <phoneticPr fontId="2"/>
  </si>
  <si>
    <t>062-0937</t>
    <phoneticPr fontId="2"/>
  </si>
  <si>
    <t>17丁目1-11</t>
    <rPh sb="2" eb="4">
      <t>チョウメ</t>
    </rPh>
    <phoneticPr fontId="2"/>
  </si>
  <si>
    <t>津田沼店</t>
    <rPh sb="0" eb="3">
      <t>ツダヌマ</t>
    </rPh>
    <rPh sb="3" eb="4">
      <t>テン</t>
    </rPh>
    <phoneticPr fontId="2"/>
  </si>
  <si>
    <t xml:space="preserve">（株）島村楽器 </t>
    <rPh sb="0" eb="3">
      <t>かぶ</t>
    </rPh>
    <rPh sb="3" eb="5">
      <t>しまむら</t>
    </rPh>
    <rPh sb="5" eb="7">
      <t>がっき</t>
    </rPh>
    <phoneticPr fontId="2" type="Hiragana"/>
  </si>
  <si>
    <t>リボレ</t>
    <phoneticPr fontId="2"/>
  </si>
  <si>
    <t>渋谷店</t>
    <rPh sb="0" eb="2">
      <t>シブヤ</t>
    </rPh>
    <rPh sb="2" eb="3">
      <t>テン</t>
    </rPh>
    <phoneticPr fontId="2"/>
  </si>
  <si>
    <t>池袋店</t>
    <rPh sb="0" eb="2">
      <t>イケブクロ</t>
    </rPh>
    <rPh sb="2" eb="3">
      <t>テン</t>
    </rPh>
    <phoneticPr fontId="2"/>
  </si>
  <si>
    <t>町田店</t>
    <rPh sb="0" eb="2">
      <t>マチダ</t>
    </rPh>
    <rPh sb="2" eb="3">
      <t>テン</t>
    </rPh>
    <phoneticPr fontId="2"/>
  </si>
  <si>
    <t>立川店</t>
    <rPh sb="0" eb="2">
      <t>タチカワ</t>
    </rPh>
    <rPh sb="2" eb="3">
      <t>テン</t>
    </rPh>
    <phoneticPr fontId="2"/>
  </si>
  <si>
    <t>横浜店</t>
    <rPh sb="0" eb="2">
      <t>ヨコハマ</t>
    </rPh>
    <rPh sb="2" eb="3">
      <t>テン</t>
    </rPh>
    <phoneticPr fontId="2"/>
  </si>
  <si>
    <t>名古屋栄店</t>
    <rPh sb="0" eb="3">
      <t>ナゴヤ</t>
    </rPh>
    <rPh sb="3" eb="4">
      <t>サカエ</t>
    </rPh>
    <rPh sb="4" eb="5">
      <t>テン</t>
    </rPh>
    <phoneticPr fontId="2"/>
  </si>
  <si>
    <t>梅田店</t>
    <rPh sb="0" eb="2">
      <t>ウメダ</t>
    </rPh>
    <rPh sb="2" eb="3">
      <t>テン</t>
    </rPh>
    <phoneticPr fontId="2"/>
  </si>
  <si>
    <t>神戸三宮店</t>
    <rPh sb="0" eb="2">
      <t>コウベ</t>
    </rPh>
    <rPh sb="2" eb="4">
      <t>サンノミヤ</t>
    </rPh>
    <rPh sb="4" eb="5">
      <t>テン</t>
    </rPh>
    <phoneticPr fontId="2"/>
  </si>
  <si>
    <t>福岡パルコ店</t>
    <rPh sb="0" eb="2">
      <t>フクオカ</t>
    </rPh>
    <rPh sb="5" eb="6">
      <t>テン</t>
    </rPh>
    <phoneticPr fontId="2"/>
  </si>
  <si>
    <t>ビックボス札幌店</t>
    <rPh sb="5" eb="7">
      <t>サッポロ</t>
    </rPh>
    <rPh sb="7" eb="8">
      <t>テン</t>
    </rPh>
    <phoneticPr fontId="2"/>
  </si>
  <si>
    <t>ビックボス仙台店</t>
    <rPh sb="5" eb="7">
      <t>センダイ</t>
    </rPh>
    <rPh sb="7" eb="8">
      <t>テン</t>
    </rPh>
    <phoneticPr fontId="2"/>
  </si>
  <si>
    <t>ビックボス金沢店</t>
    <rPh sb="5" eb="7">
      <t>カナザワ</t>
    </rPh>
    <rPh sb="7" eb="8">
      <t>テン</t>
    </rPh>
    <phoneticPr fontId="2"/>
  </si>
  <si>
    <t>ビックボス東京店</t>
    <rPh sb="5" eb="7">
      <t>トウキョウ</t>
    </rPh>
    <rPh sb="7" eb="8">
      <t>テン</t>
    </rPh>
    <phoneticPr fontId="2"/>
  </si>
  <si>
    <t>新館・お茶の水駅前店</t>
    <rPh sb="0" eb="2">
      <t>シンカン</t>
    </rPh>
    <rPh sb="4" eb="5">
      <t>チャ</t>
    </rPh>
    <rPh sb="6" eb="7">
      <t>ミズ</t>
    </rPh>
    <rPh sb="7" eb="10">
      <t>エキマエテン</t>
    </rPh>
    <phoneticPr fontId="2"/>
  </si>
  <si>
    <t>ビックボス名古屋店</t>
    <rPh sb="5" eb="8">
      <t>ナゴヤ</t>
    </rPh>
    <rPh sb="8" eb="9">
      <t>テン</t>
    </rPh>
    <phoneticPr fontId="2"/>
  </si>
  <si>
    <t>ビックボス京都店</t>
    <rPh sb="5" eb="7">
      <t>キョウト</t>
    </rPh>
    <rPh sb="7" eb="8">
      <t>テン</t>
    </rPh>
    <phoneticPr fontId="2"/>
  </si>
  <si>
    <t>ビックボス広島店</t>
    <rPh sb="5" eb="7">
      <t>ヒロシマ</t>
    </rPh>
    <rPh sb="7" eb="8">
      <t>テン</t>
    </rPh>
    <phoneticPr fontId="2"/>
  </si>
  <si>
    <t>ビックボス福岡店</t>
    <rPh sb="5" eb="7">
      <t>フクオカ</t>
    </rPh>
    <rPh sb="7" eb="8">
      <t>テン</t>
    </rPh>
    <phoneticPr fontId="2"/>
  </si>
  <si>
    <t>フリ－クスマーケット</t>
    <phoneticPr fontId="2"/>
  </si>
  <si>
    <t>札幌ステラプレイス店</t>
    <rPh sb="0" eb="2">
      <t>サッポロ</t>
    </rPh>
    <rPh sb="9" eb="10">
      <t>テン</t>
    </rPh>
    <phoneticPr fontId="2"/>
  </si>
  <si>
    <t>イオンモール札幌平岡店</t>
    <rPh sb="6" eb="8">
      <t>サッポロ</t>
    </rPh>
    <rPh sb="8" eb="10">
      <t>ヒラオカ</t>
    </rPh>
    <rPh sb="10" eb="11">
      <t>テン</t>
    </rPh>
    <phoneticPr fontId="2"/>
  </si>
  <si>
    <t>イオンモール釧路昭和店</t>
    <rPh sb="6" eb="8">
      <t>クシロ</t>
    </rPh>
    <rPh sb="8" eb="10">
      <t>ショウワ</t>
    </rPh>
    <rPh sb="10" eb="11">
      <t>テン</t>
    </rPh>
    <phoneticPr fontId="2"/>
  </si>
  <si>
    <t>仙台イービーンズ店</t>
    <rPh sb="0" eb="2">
      <t>センダイ</t>
    </rPh>
    <rPh sb="8" eb="9">
      <t>テン</t>
    </rPh>
    <phoneticPr fontId="2"/>
  </si>
  <si>
    <t>仙台長町モール店</t>
    <rPh sb="0" eb="2">
      <t>センダイ</t>
    </rPh>
    <rPh sb="2" eb="4">
      <t>ナガマチ</t>
    </rPh>
    <rPh sb="7" eb="8">
      <t>テン</t>
    </rPh>
    <phoneticPr fontId="2"/>
  </si>
  <si>
    <t>仙台泉パークタウンタピオ店</t>
    <rPh sb="0" eb="2">
      <t>センダイ</t>
    </rPh>
    <rPh sb="2" eb="3">
      <t>イズミ</t>
    </rPh>
    <rPh sb="12" eb="13">
      <t>テン</t>
    </rPh>
    <phoneticPr fontId="2"/>
  </si>
  <si>
    <t>イオンモール名取店</t>
    <rPh sb="6" eb="8">
      <t>ナト</t>
    </rPh>
    <rPh sb="8" eb="9">
      <t>テン</t>
    </rPh>
    <phoneticPr fontId="2"/>
  </si>
  <si>
    <t>イオンモール利府店</t>
    <rPh sb="6" eb="8">
      <t>リフ</t>
    </rPh>
    <rPh sb="8" eb="9">
      <t>テン</t>
    </rPh>
    <phoneticPr fontId="2"/>
  </si>
  <si>
    <t>イオンモール秋田店</t>
    <rPh sb="6" eb="8">
      <t>アキタ</t>
    </rPh>
    <rPh sb="8" eb="9">
      <t>テン</t>
    </rPh>
    <phoneticPr fontId="2"/>
  </si>
  <si>
    <t>郡山アティ店</t>
    <rPh sb="0" eb="2">
      <t>コオリヤマ</t>
    </rPh>
    <rPh sb="5" eb="6">
      <t>テン</t>
    </rPh>
    <phoneticPr fontId="2"/>
  </si>
  <si>
    <t>新宿PePe店</t>
    <rPh sb="0" eb="2">
      <t>シンジュク</t>
    </rPh>
    <rPh sb="6" eb="7">
      <t>テン</t>
    </rPh>
    <phoneticPr fontId="2"/>
  </si>
  <si>
    <t>赤羽アピレ店</t>
    <rPh sb="0" eb="2">
      <t>アカバネ</t>
    </rPh>
    <rPh sb="5" eb="6">
      <t>テン</t>
    </rPh>
    <phoneticPr fontId="2"/>
  </si>
  <si>
    <t>二子玉川ライズ店</t>
    <rPh sb="0" eb="2">
      <t>フタゴ</t>
    </rPh>
    <rPh sb="2" eb="4">
      <t>タマガワ</t>
    </rPh>
    <rPh sb="7" eb="8">
      <t>テン</t>
    </rPh>
    <phoneticPr fontId="2"/>
  </si>
  <si>
    <t>ミーナ町田店</t>
    <rPh sb="3" eb="5">
      <t>マチダ</t>
    </rPh>
    <rPh sb="5" eb="6">
      <t>テン</t>
    </rPh>
    <phoneticPr fontId="2"/>
  </si>
  <si>
    <t>フレンテ南大沢店</t>
    <rPh sb="4" eb="5">
      <t>ミナミ</t>
    </rPh>
    <rPh sb="5" eb="7">
      <t>オオサワ</t>
    </rPh>
    <rPh sb="7" eb="8">
      <t>テン</t>
    </rPh>
    <phoneticPr fontId="2"/>
  </si>
  <si>
    <t>八王子店</t>
    <rPh sb="0" eb="3">
      <t>ハチオウジ</t>
    </rPh>
    <rPh sb="3" eb="4">
      <t>テン</t>
    </rPh>
    <phoneticPr fontId="2"/>
  </si>
  <si>
    <t>イオンモール日の出店</t>
    <rPh sb="6" eb="7">
      <t>ヒ</t>
    </rPh>
    <rPh sb="8" eb="9">
      <t>デ</t>
    </rPh>
    <rPh sb="9" eb="10">
      <t>テン</t>
    </rPh>
    <phoneticPr fontId="2"/>
  </si>
  <si>
    <t>パサージオ西新井店</t>
    <rPh sb="5" eb="8">
      <t>ニシアライ</t>
    </rPh>
    <rPh sb="8" eb="9">
      <t>テン</t>
    </rPh>
    <phoneticPr fontId="2"/>
  </si>
  <si>
    <t>南砂町スナモ店</t>
    <rPh sb="0" eb="1">
      <t>ミナミ</t>
    </rPh>
    <rPh sb="1" eb="2">
      <t>スナ</t>
    </rPh>
    <rPh sb="2" eb="3">
      <t>マチ</t>
    </rPh>
    <rPh sb="6" eb="7">
      <t>テン</t>
    </rPh>
    <phoneticPr fontId="2"/>
  </si>
  <si>
    <t>イオン葛西店</t>
    <rPh sb="3" eb="5">
      <t>カサイ</t>
    </rPh>
    <rPh sb="5" eb="6">
      <t>テン</t>
    </rPh>
    <phoneticPr fontId="2"/>
  </si>
  <si>
    <t>千葉パルコ店</t>
    <rPh sb="0" eb="2">
      <t>チバ</t>
    </rPh>
    <rPh sb="5" eb="6">
      <t>テン</t>
    </rPh>
    <phoneticPr fontId="2"/>
  </si>
  <si>
    <t>津田沼パルコ店</t>
    <rPh sb="0" eb="3">
      <t>ツダヌマ</t>
    </rPh>
    <rPh sb="6" eb="7">
      <t>テン</t>
    </rPh>
    <phoneticPr fontId="2"/>
  </si>
  <si>
    <t>イオンモール船橋店</t>
    <rPh sb="6" eb="8">
      <t>フナバシ</t>
    </rPh>
    <rPh sb="8" eb="9">
      <t>テン</t>
    </rPh>
    <phoneticPr fontId="2"/>
  </si>
  <si>
    <t>市川コルトンプラザ店</t>
    <rPh sb="0" eb="2">
      <t>イチカワ</t>
    </rPh>
    <rPh sb="9" eb="10">
      <t>テン</t>
    </rPh>
    <phoneticPr fontId="2"/>
  </si>
  <si>
    <t>イオンマリンピア店</t>
    <rPh sb="8" eb="9">
      <t>テン</t>
    </rPh>
    <phoneticPr fontId="2"/>
  </si>
  <si>
    <t>ビビット南船橋店</t>
    <rPh sb="4" eb="5">
      <t>ミナミ</t>
    </rPh>
    <rPh sb="5" eb="7">
      <t>フナバシ</t>
    </rPh>
    <rPh sb="7" eb="8">
      <t>テン</t>
    </rPh>
    <phoneticPr fontId="2"/>
  </si>
  <si>
    <t>イオンモール千葉ニュータウン店</t>
    <rPh sb="6" eb="8">
      <t>チバ</t>
    </rPh>
    <rPh sb="14" eb="15">
      <t>テン</t>
    </rPh>
    <phoneticPr fontId="2"/>
  </si>
  <si>
    <t>ユーカリが丘店</t>
    <rPh sb="5" eb="6">
      <t>オカ</t>
    </rPh>
    <rPh sb="6" eb="7">
      <t>テン</t>
    </rPh>
    <phoneticPr fontId="2"/>
  </si>
  <si>
    <t>成田ボンベルタ店</t>
    <rPh sb="0" eb="2">
      <t>ナリタ</t>
    </rPh>
    <rPh sb="7" eb="8">
      <t>テン</t>
    </rPh>
    <phoneticPr fontId="2"/>
  </si>
  <si>
    <t>イオンモール成田店</t>
    <rPh sb="6" eb="8">
      <t>ナリタ</t>
    </rPh>
    <rPh sb="8" eb="9">
      <t>テン</t>
    </rPh>
    <phoneticPr fontId="2"/>
  </si>
  <si>
    <t>ららぽーと柏の葉店</t>
    <rPh sb="5" eb="6">
      <t>カシワ</t>
    </rPh>
    <rPh sb="7" eb="8">
      <t>ハ</t>
    </rPh>
    <rPh sb="8" eb="9">
      <t>テン</t>
    </rPh>
    <phoneticPr fontId="2"/>
  </si>
  <si>
    <t>イオンノア店</t>
    <rPh sb="5" eb="6">
      <t>テン</t>
    </rPh>
    <phoneticPr fontId="2"/>
  </si>
  <si>
    <t>横浜ビブレ店</t>
    <rPh sb="0" eb="2">
      <t>ヨコハマ</t>
    </rPh>
    <rPh sb="5" eb="6">
      <t>テン</t>
    </rPh>
    <phoneticPr fontId="2"/>
  </si>
  <si>
    <t>ららぽーと横浜店</t>
    <rPh sb="5" eb="7">
      <t>ヨコハマ</t>
    </rPh>
    <rPh sb="7" eb="8">
      <t>テン</t>
    </rPh>
    <phoneticPr fontId="2"/>
  </si>
  <si>
    <t>川崎ルフロン店</t>
    <rPh sb="0" eb="2">
      <t>カワサキ</t>
    </rPh>
    <rPh sb="6" eb="7">
      <t>テン</t>
    </rPh>
    <phoneticPr fontId="2"/>
  </si>
  <si>
    <t>ラゾーナ川崎店</t>
    <rPh sb="4" eb="6">
      <t>カワサキ</t>
    </rPh>
    <rPh sb="6" eb="7">
      <t>テン</t>
    </rPh>
    <phoneticPr fontId="2"/>
  </si>
  <si>
    <t>横須賀プライム店</t>
    <rPh sb="0" eb="3">
      <t>ヨコスカ</t>
    </rPh>
    <rPh sb="7" eb="8">
      <t>テン</t>
    </rPh>
    <phoneticPr fontId="2"/>
  </si>
  <si>
    <t>アリオ橋本店</t>
    <rPh sb="3" eb="5">
      <t>ハシモト</t>
    </rPh>
    <rPh sb="5" eb="6">
      <t>テン</t>
    </rPh>
    <phoneticPr fontId="2"/>
  </si>
  <si>
    <t>浦和パルコ店</t>
    <rPh sb="0" eb="2">
      <t>ウラワ</t>
    </rPh>
    <rPh sb="5" eb="6">
      <t>テン</t>
    </rPh>
    <phoneticPr fontId="2"/>
  </si>
  <si>
    <t>イオンモール川口店</t>
    <rPh sb="6" eb="8">
      <t>カワグチ</t>
    </rPh>
    <rPh sb="8" eb="9">
      <t>テン</t>
    </rPh>
    <phoneticPr fontId="2"/>
  </si>
  <si>
    <t>イオンレイクタウン店</t>
    <rPh sb="9" eb="10">
      <t>テン</t>
    </rPh>
    <phoneticPr fontId="2"/>
  </si>
  <si>
    <t>モラージュ菖蒲店</t>
    <rPh sb="5" eb="7">
      <t>ショウブ</t>
    </rPh>
    <rPh sb="7" eb="8">
      <t>テン</t>
    </rPh>
    <phoneticPr fontId="2"/>
  </si>
  <si>
    <t>新所沢パルコ店</t>
    <rPh sb="0" eb="3">
      <t>シントコロザワ</t>
    </rPh>
    <rPh sb="6" eb="7">
      <t>テン</t>
    </rPh>
    <phoneticPr fontId="2"/>
  </si>
  <si>
    <t>機種コード</t>
    <rPh sb="0" eb="1">
      <t>キシュ</t>
    </rPh>
    <phoneticPr fontId="2"/>
  </si>
  <si>
    <t>機種名</t>
    <rPh sb="0" eb="3">
      <t>キシュメイ</t>
    </rPh>
    <phoneticPr fontId="2"/>
  </si>
  <si>
    <t>K1</t>
    <phoneticPr fontId="2"/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</si>
  <si>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</si>
  <si>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</si>
  <si>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</si>
  <si>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</si>
  <si>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</si>
  <si>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</si>
  <si>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</si>
  <si>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</si>
  <si>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</si>
  <si>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</si>
  <si>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</si>
  <si>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</si>
  <si>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</si>
  <si>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</si>
  <si>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ST</t>
    <phoneticPr fontId="2"/>
  </si>
  <si>
    <t>TE</t>
    <phoneticPr fontId="2"/>
  </si>
  <si>
    <t>RM</t>
    <phoneticPr fontId="2"/>
  </si>
  <si>
    <t>AT</t>
    <phoneticPr fontId="2"/>
  </si>
  <si>
    <t>JJ-4</t>
    <phoneticPr fontId="2"/>
  </si>
  <si>
    <t>JJ-5</t>
    <phoneticPr fontId="2"/>
  </si>
  <si>
    <t>DJB-4</t>
    <phoneticPr fontId="2"/>
  </si>
  <si>
    <t>DJB-5</t>
    <phoneticPr fontId="2"/>
  </si>
  <si>
    <t>JB-4 C</t>
    <phoneticPr fontId="2"/>
  </si>
  <si>
    <t>JB-5 C</t>
    <phoneticPr fontId="2"/>
  </si>
  <si>
    <t>JB-4 A</t>
    <phoneticPr fontId="2"/>
  </si>
  <si>
    <t>JB-5 A</t>
    <phoneticPr fontId="2"/>
  </si>
  <si>
    <t>GM</t>
    <phoneticPr fontId="2"/>
  </si>
  <si>
    <t>PB-4</t>
    <phoneticPr fontId="2"/>
  </si>
  <si>
    <t>PB-5</t>
    <phoneticPr fontId="2"/>
  </si>
  <si>
    <t>CLIMB-5</t>
    <phoneticPr fontId="2"/>
  </si>
  <si>
    <t>CLIMB-6</t>
    <phoneticPr fontId="2"/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</si>
  <si>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</si>
  <si>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</si>
  <si>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</si>
  <si>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</si>
  <si>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</si>
  <si>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</si>
  <si>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</si>
  <si>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</si>
  <si>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</si>
  <si>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K27</t>
  </si>
  <si>
    <t>K28</t>
  </si>
  <si>
    <t>AC-1B</t>
    <phoneticPr fontId="2"/>
  </si>
  <si>
    <t>CASE</t>
    <phoneticPr fontId="2"/>
  </si>
  <si>
    <t>STRAP</t>
    <phoneticPr fontId="2"/>
  </si>
  <si>
    <t>PICK</t>
    <phoneticPr fontId="2"/>
  </si>
  <si>
    <t>パーツ</t>
    <phoneticPr fontId="2"/>
  </si>
  <si>
    <t>機種コード</t>
    <rPh sb="0" eb="2">
      <t>キシュ</t>
    </rPh>
    <phoneticPr fontId="2"/>
  </si>
  <si>
    <t>リペア</t>
    <phoneticPr fontId="2"/>
  </si>
  <si>
    <t>K29</t>
  </si>
  <si>
    <t>K30</t>
  </si>
  <si>
    <t>(株）石橋楽器</t>
    <rPh sb="1" eb="2">
      <t>カブ</t>
    </rPh>
    <rPh sb="3" eb="5">
      <t>イシバシ</t>
    </rPh>
    <rPh sb="5" eb="7">
      <t>ガッキ</t>
    </rPh>
    <phoneticPr fontId="2"/>
  </si>
  <si>
    <t>10月</t>
  </si>
  <si>
    <t>11月</t>
  </si>
  <si>
    <t>12月</t>
  </si>
  <si>
    <t>2月</t>
  </si>
  <si>
    <t>3月</t>
  </si>
  <si>
    <t>4月</t>
  </si>
  <si>
    <t>5月</t>
  </si>
  <si>
    <t>6月</t>
  </si>
  <si>
    <t>7月</t>
  </si>
  <si>
    <t>サイトゼロ</t>
  </si>
  <si>
    <t>合計金額</t>
    <rPh sb="0" eb="2">
      <t>ゴウケイ</t>
    </rPh>
    <rPh sb="2" eb="4">
      <t>キンガク</t>
    </rPh>
    <phoneticPr fontId="2"/>
  </si>
  <si>
    <t>年合計</t>
    <rPh sb="0" eb="1">
      <t>ネン</t>
    </rPh>
    <rPh sb="1" eb="3">
      <t>ゴウケイ</t>
    </rPh>
    <phoneticPr fontId="2"/>
  </si>
  <si>
    <t>粗利</t>
    <rPh sb="0" eb="2">
      <t>アラリ</t>
    </rPh>
    <phoneticPr fontId="2"/>
  </si>
  <si>
    <t>連番</t>
    <rPh sb="0" eb="2">
      <t>レンバン</t>
    </rPh>
    <phoneticPr fontId="2"/>
  </si>
  <si>
    <t>466-0827</t>
    <phoneticPr fontId="2"/>
  </si>
  <si>
    <t>155　守田ビル１F</t>
    <rPh sb="4" eb="6">
      <t>モリタ</t>
    </rPh>
    <phoneticPr fontId="2"/>
  </si>
  <si>
    <t>池埜</t>
    <rPh sb="0" eb="2">
      <t>イケノ</t>
    </rPh>
    <phoneticPr fontId="2"/>
  </si>
  <si>
    <t>（株）JEUGIA</t>
    <rPh sb="0" eb="3">
      <t>カブ</t>
    </rPh>
    <phoneticPr fontId="2"/>
  </si>
  <si>
    <t>売上締開始日</t>
    <rPh sb="0" eb="2">
      <t>ウリアゲ</t>
    </rPh>
    <rPh sb="2" eb="3">
      <t>シ</t>
    </rPh>
    <rPh sb="3" eb="5">
      <t>カイシ</t>
    </rPh>
    <rPh sb="5" eb="6">
      <t>ビ</t>
    </rPh>
    <phoneticPr fontId="2"/>
  </si>
  <si>
    <t>売上締終了日</t>
    <rPh sb="0" eb="2">
      <t>ウリアゲ</t>
    </rPh>
    <rPh sb="2" eb="3">
      <t>シメ</t>
    </rPh>
    <rPh sb="3" eb="5">
      <t>シュウリョウ</t>
    </rPh>
    <rPh sb="5" eb="6">
      <t>ビ</t>
    </rPh>
    <phoneticPr fontId="2"/>
  </si>
  <si>
    <t>期間指定</t>
    <rPh sb="0" eb="2">
      <t>キカン</t>
    </rPh>
    <rPh sb="2" eb="4">
      <t>シテイ</t>
    </rPh>
    <phoneticPr fontId="2"/>
  </si>
  <si>
    <t>開始日</t>
    <rPh sb="0" eb="2">
      <t>カイシ</t>
    </rPh>
    <rPh sb="2" eb="3">
      <t>ビ</t>
    </rPh>
    <phoneticPr fontId="2"/>
  </si>
  <si>
    <t>終了日</t>
    <rPh sb="0" eb="2">
      <t>シュウリョウ</t>
    </rPh>
    <rPh sb="2" eb="3">
      <t>ビ</t>
    </rPh>
    <phoneticPr fontId="2"/>
  </si>
  <si>
    <t>期間閲覧</t>
    <rPh sb="0" eb="2">
      <t>キカン</t>
    </rPh>
    <rPh sb="2" eb="4">
      <t>エツラン</t>
    </rPh>
    <phoneticPr fontId="2"/>
  </si>
  <si>
    <t>8月</t>
  </si>
  <si>
    <t>9月</t>
  </si>
  <si>
    <t>45 早川ビル２F</t>
    <rPh sb="3" eb="5">
      <t>ハヤカワ</t>
    </rPh>
    <phoneticPr fontId="2"/>
  </si>
  <si>
    <t>171-0033</t>
    <phoneticPr fontId="2"/>
  </si>
  <si>
    <t>3-36-1</t>
    <phoneticPr fontId="2"/>
  </si>
  <si>
    <t>1207</t>
    <phoneticPr fontId="2"/>
  </si>
  <si>
    <t>000</t>
    <phoneticPr fontId="2"/>
  </si>
  <si>
    <t>直販</t>
    <rPh sb="0" eb="2">
      <t>チョクハン</t>
    </rPh>
    <phoneticPr fontId="2"/>
  </si>
  <si>
    <t>441-8107</t>
    <phoneticPr fontId="2"/>
  </si>
  <si>
    <t>空池44-7</t>
    <rPh sb="0" eb="1">
      <t>ソラ</t>
    </rPh>
    <rPh sb="1" eb="2">
      <t>イケ</t>
    </rPh>
    <phoneticPr fontId="2"/>
  </si>
  <si>
    <t>～</t>
    <phoneticPr fontId="2"/>
  </si>
  <si>
    <t>1208</t>
  </si>
  <si>
    <t>(株)サウンドスタッフ</t>
    <rPh sb="0" eb="3">
      <t>カブ</t>
    </rPh>
    <phoneticPr fontId="2"/>
  </si>
  <si>
    <t>1209</t>
  </si>
  <si>
    <t>〆日</t>
    <rPh sb="1" eb="2">
      <t>ヒ</t>
    </rPh>
    <phoneticPr fontId="2"/>
  </si>
  <si>
    <t>20日</t>
    <rPh sb="2" eb="3">
      <t>ヒ</t>
    </rPh>
    <phoneticPr fontId="2"/>
  </si>
  <si>
    <t>20日</t>
    <rPh sb="1" eb="2">
      <t>ヒ</t>
    </rPh>
    <phoneticPr fontId="2"/>
  </si>
  <si>
    <t>440-0896</t>
    <phoneticPr fontId="2"/>
  </si>
  <si>
    <t>45番地</t>
    <rPh sb="2" eb="4">
      <t>バンチ</t>
    </rPh>
    <phoneticPr fontId="2"/>
  </si>
  <si>
    <t>930-0044</t>
    <phoneticPr fontId="2"/>
  </si>
  <si>
    <t>2-5-6茶ノ樹屋ビル1階</t>
    <rPh sb="5" eb="6">
      <t>チャ</t>
    </rPh>
    <rPh sb="7" eb="8">
      <t>キ</t>
    </rPh>
    <rPh sb="8" eb="9">
      <t>ヤ</t>
    </rPh>
    <rPh sb="12" eb="13">
      <t>カイ</t>
    </rPh>
    <phoneticPr fontId="2"/>
  </si>
  <si>
    <t>末日</t>
    <rPh sb="0" eb="2">
      <t>マツジツ</t>
    </rPh>
    <phoneticPr fontId="2"/>
  </si>
  <si>
    <t>422-8043</t>
    <phoneticPr fontId="2"/>
  </si>
  <si>
    <t>56-5 2階</t>
    <rPh sb="6" eb="7">
      <t>カイ</t>
    </rPh>
    <phoneticPr fontId="2"/>
  </si>
  <si>
    <t>福岡イムズ店</t>
    <rPh sb="0" eb="2">
      <t>フクオカ</t>
    </rPh>
    <rPh sb="5" eb="6">
      <t>テン</t>
    </rPh>
    <phoneticPr fontId="2"/>
  </si>
  <si>
    <t>（株）黒澤楽器</t>
  </si>
  <si>
    <t>GM</t>
  </si>
  <si>
    <t xml:space="preserve">（株）島村楽器 </t>
  </si>
  <si>
    <t>RM</t>
  </si>
  <si>
    <t>（株）ワタナベ楽器</t>
  </si>
  <si>
    <t>（有）ウェーブワン</t>
  </si>
  <si>
    <t>（株）宮地商会</t>
  </si>
  <si>
    <t>PICK</t>
  </si>
  <si>
    <t>三木楽器（株）</t>
  </si>
  <si>
    <t>（株）石橋楽器</t>
  </si>
  <si>
    <t>（株）アヒバ</t>
  </si>
  <si>
    <t>リペア</t>
  </si>
  <si>
    <t>北海道東海楽器（株）</t>
  </si>
  <si>
    <t>津田沼パルコ店</t>
  </si>
  <si>
    <t>あぽろん（株）</t>
  </si>
  <si>
    <t>みどり楽器</t>
  </si>
  <si>
    <t>A00</t>
    <phoneticPr fontId="2"/>
  </si>
  <si>
    <t>A01</t>
  </si>
  <si>
    <t>A02</t>
  </si>
  <si>
    <t>A03</t>
  </si>
  <si>
    <t>B00</t>
    <phoneticPr fontId="2"/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</si>
  <si>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</si>
  <si>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</si>
  <si>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</si>
  <si>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</si>
  <si>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</si>
  <si>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</si>
  <si>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</si>
  <si>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</si>
  <si>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</si>
  <si>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</si>
  <si>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</si>
  <si>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</si>
  <si>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</si>
  <si>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</si>
  <si>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C00</t>
    <phoneticPr fontId="2"/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</si>
  <si>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</si>
  <si>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</si>
  <si>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</si>
  <si>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</si>
  <si>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</si>
  <si>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</si>
  <si>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</si>
  <si>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</si>
  <si>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</si>
  <si>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</si>
  <si>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</si>
  <si>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</si>
  <si>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</si>
  <si>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</si>
  <si>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</si>
  <si>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</si>
  <si>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</si>
  <si>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</si>
  <si>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</si>
  <si>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</si>
  <si>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</si>
  <si>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</si>
  <si>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</si>
  <si>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</si>
  <si>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</si>
  <si>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</si>
  <si>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</si>
  <si>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</si>
  <si>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</si>
  <si>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</si>
  <si>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</si>
  <si>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</si>
  <si>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</si>
  <si>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</si>
  <si>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</si>
  <si>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</si>
  <si>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</si>
  <si>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</si>
  <si>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</si>
  <si>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</si>
  <si>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</si>
  <si>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</si>
  <si>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</si>
  <si>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</si>
  <si>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</si>
  <si>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</si>
  <si>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</si>
  <si>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</si>
  <si>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</si>
  <si>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</si>
  <si>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</si>
  <si>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</si>
  <si>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</si>
  <si>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</si>
  <si>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</si>
  <si>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</si>
  <si>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</si>
  <si>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</si>
  <si>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</si>
  <si>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</si>
  <si>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</si>
  <si>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</si>
  <si>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</si>
  <si>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</si>
  <si>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</si>
  <si>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</si>
  <si>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</si>
  <si>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</si>
  <si>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</si>
  <si>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</si>
  <si>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</si>
  <si>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</si>
  <si>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</si>
  <si>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</si>
  <si>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</si>
  <si>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</si>
  <si>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</si>
  <si>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</si>
  <si>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</si>
  <si>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</si>
  <si>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</si>
  <si>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</si>
  <si>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</si>
  <si>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</si>
  <si>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</si>
  <si>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</si>
  <si>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</si>
  <si>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</si>
  <si>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</si>
  <si>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</si>
  <si>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</si>
  <si>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</si>
  <si>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</si>
  <si>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</si>
  <si>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</si>
  <si>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</si>
  <si>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</si>
  <si>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</si>
  <si>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</si>
  <si>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</si>
  <si>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</si>
  <si>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</si>
  <si>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</si>
  <si>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</si>
  <si>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</si>
  <si>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</si>
  <si>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</si>
  <si>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</si>
  <si>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</si>
  <si>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</si>
  <si>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</si>
  <si>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</si>
  <si>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</si>
  <si>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</si>
  <si>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</si>
  <si>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</si>
  <si>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</si>
  <si>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</si>
  <si>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</si>
  <si>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</si>
  <si>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</si>
  <si>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</si>
  <si>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</si>
  <si>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</si>
  <si>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</si>
  <si>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</si>
  <si>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</si>
  <si>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</si>
  <si>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</si>
  <si>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170-0013</t>
    <phoneticPr fontId="2"/>
  </si>
  <si>
    <t>1-36-1</t>
    <phoneticPr fontId="2"/>
  </si>
  <si>
    <t>150-0031</t>
    <phoneticPr fontId="2"/>
  </si>
  <si>
    <t>101-0026</t>
    <phoneticPr fontId="2"/>
  </si>
  <si>
    <t>55</t>
    <phoneticPr fontId="2"/>
  </si>
  <si>
    <t>OXALIS</t>
    <phoneticPr fontId="2"/>
  </si>
  <si>
    <t>〒195-0064 東京都町田市小野路町1942-2</t>
    <rPh sb="10" eb="13">
      <t>トウキョウト</t>
    </rPh>
    <rPh sb="13" eb="16">
      <t>マチダシ</t>
    </rPh>
    <rPh sb="16" eb="19">
      <t>オノジ</t>
    </rPh>
    <rPh sb="19" eb="20">
      <t>マチ</t>
    </rPh>
    <phoneticPr fontId="2"/>
  </si>
  <si>
    <t/>
  </si>
  <si>
    <t>モザイクモール港北店</t>
    <rPh sb="7" eb="9">
      <t>コウホク</t>
    </rPh>
    <rPh sb="9" eb="10">
      <t>テン</t>
    </rPh>
    <phoneticPr fontId="2"/>
  </si>
  <si>
    <t>101-0062</t>
    <phoneticPr fontId="2"/>
  </si>
  <si>
    <t>2-2</t>
    <phoneticPr fontId="2"/>
  </si>
  <si>
    <t>JJ-4</t>
  </si>
  <si>
    <t>JB-4 A</t>
  </si>
  <si>
    <t>101-0062</t>
    <phoneticPr fontId="2"/>
  </si>
  <si>
    <t>150-0042</t>
    <phoneticPr fontId="2"/>
  </si>
  <si>
    <t>101-0052</t>
    <phoneticPr fontId="2"/>
  </si>
  <si>
    <t>2-14</t>
    <phoneticPr fontId="2"/>
  </si>
  <si>
    <t>2-2</t>
    <phoneticPr fontId="2"/>
  </si>
  <si>
    <t>160-0022</t>
    <phoneticPr fontId="2"/>
  </si>
  <si>
    <t>101-0026</t>
    <phoneticPr fontId="2"/>
  </si>
  <si>
    <t>170-0013</t>
    <phoneticPr fontId="2"/>
  </si>
  <si>
    <t>1-50-35P'Parco7F</t>
    <phoneticPr fontId="2"/>
  </si>
  <si>
    <t>31-2渋谷BEAM 2F</t>
    <rPh sb="4" eb="6">
      <t>シブヤ</t>
    </rPh>
    <phoneticPr fontId="2"/>
  </si>
  <si>
    <t>3-3-2地下鉄会館ビル</t>
    <rPh sb="5" eb="8">
      <t>チカテツ</t>
    </rPh>
    <rPh sb="8" eb="10">
      <t>カイカン</t>
    </rPh>
    <phoneticPr fontId="2"/>
  </si>
  <si>
    <t>194-0013</t>
    <phoneticPr fontId="2"/>
  </si>
  <si>
    <t>6-6-4ジョルナB1F</t>
    <phoneticPr fontId="2"/>
  </si>
  <si>
    <t>220-0005</t>
    <phoneticPr fontId="2"/>
  </si>
  <si>
    <t>2-16-1ダイエー横浜西口店新館7F</t>
    <rPh sb="10" eb="12">
      <t>ヨコハマ</t>
    </rPh>
    <rPh sb="12" eb="14">
      <t>ニシグチ</t>
    </rPh>
    <rPh sb="14" eb="15">
      <t>テン</t>
    </rPh>
    <rPh sb="15" eb="17">
      <t>シンカン</t>
    </rPh>
    <phoneticPr fontId="2"/>
  </si>
  <si>
    <t>190-0012</t>
    <phoneticPr fontId="2"/>
  </si>
  <si>
    <t>2-7-17丸井、井上共同ビル7F</t>
    <rPh sb="6" eb="8">
      <t>マルイ</t>
    </rPh>
    <rPh sb="9" eb="11">
      <t>イノウエ</t>
    </rPh>
    <rPh sb="11" eb="13">
      <t>キョウドウ</t>
    </rPh>
    <phoneticPr fontId="2"/>
  </si>
  <si>
    <t>350-1122</t>
    <phoneticPr fontId="2"/>
  </si>
  <si>
    <t>4-2川越modi4F</t>
    <rPh sb="3" eb="5">
      <t>カワゴエ</t>
    </rPh>
    <phoneticPr fontId="2"/>
  </si>
  <si>
    <t>275-0026</t>
    <phoneticPr fontId="2"/>
  </si>
  <si>
    <t>7-7-1 The Block 1F</t>
    <phoneticPr fontId="2"/>
  </si>
  <si>
    <t>460-0008</t>
    <phoneticPr fontId="2"/>
  </si>
  <si>
    <t>3-4-5 スカイル9F</t>
    <phoneticPr fontId="2"/>
  </si>
  <si>
    <t>542-0086</t>
    <phoneticPr fontId="2"/>
  </si>
  <si>
    <t>1-9-13 AH御堂清水町ビル1F</t>
    <rPh sb="9" eb="11">
      <t>ミドウ</t>
    </rPh>
    <rPh sb="11" eb="14">
      <t>シミズチョウ</t>
    </rPh>
    <phoneticPr fontId="2"/>
  </si>
  <si>
    <t>530-0013</t>
    <phoneticPr fontId="2"/>
  </si>
  <si>
    <t>10-12 NU-chayamachi 5F</t>
    <phoneticPr fontId="2"/>
  </si>
  <si>
    <t>650-0021</t>
    <phoneticPr fontId="2"/>
  </si>
  <si>
    <t>1-9-1 センタープラザ3F</t>
    <phoneticPr fontId="2"/>
  </si>
  <si>
    <t>810-0001</t>
    <phoneticPr fontId="2"/>
  </si>
  <si>
    <t>2丁目11-1福岡パルコ8F</t>
    <rPh sb="1" eb="3">
      <t>チョウメ</t>
    </rPh>
    <rPh sb="7" eb="9">
      <t>フクオカ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</si>
  <si>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</si>
  <si>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</si>
  <si>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</si>
  <si>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060-0063</t>
    <phoneticPr fontId="2"/>
  </si>
  <si>
    <t>1-3-6</t>
    <phoneticPr fontId="2"/>
  </si>
  <si>
    <t>980-0811</t>
    <phoneticPr fontId="2"/>
  </si>
  <si>
    <t>2-3-33</t>
    <phoneticPr fontId="2"/>
  </si>
  <si>
    <t>920-0981</t>
    <phoneticPr fontId="2"/>
  </si>
  <si>
    <t>1-3-46</t>
    <phoneticPr fontId="2"/>
  </si>
  <si>
    <t>101-0062</t>
    <phoneticPr fontId="2"/>
  </si>
  <si>
    <t>1-8</t>
    <phoneticPr fontId="2"/>
  </si>
  <si>
    <t>2-1-9</t>
    <phoneticPr fontId="2"/>
  </si>
  <si>
    <t>460-0011</t>
    <phoneticPr fontId="2"/>
  </si>
  <si>
    <t>4-10-89トキワビル1F</t>
    <phoneticPr fontId="2"/>
  </si>
  <si>
    <t>604-8036</t>
    <phoneticPr fontId="2"/>
  </si>
  <si>
    <t>14-8</t>
    <phoneticPr fontId="2"/>
  </si>
  <si>
    <t>730-0035</t>
    <phoneticPr fontId="2"/>
  </si>
  <si>
    <t>8-2吉井ビル1F</t>
    <rPh sb="3" eb="5">
      <t>ヨシイ</t>
    </rPh>
    <phoneticPr fontId="2"/>
  </si>
  <si>
    <t>810-0004</t>
    <phoneticPr fontId="2"/>
  </si>
  <si>
    <t>5-23-8サンライトビル1F</t>
    <phoneticPr fontId="2"/>
  </si>
  <si>
    <t>101-0062</t>
    <phoneticPr fontId="2"/>
  </si>
  <si>
    <t>2-1-7</t>
    <phoneticPr fontId="2"/>
  </si>
  <si>
    <t>D00</t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</si>
  <si>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</si>
  <si>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</si>
  <si>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</si>
  <si>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132-0035</t>
    <phoneticPr fontId="2"/>
  </si>
  <si>
    <t>6-37-3</t>
    <phoneticPr fontId="2"/>
  </si>
  <si>
    <t>060-0005</t>
    <phoneticPr fontId="2"/>
  </si>
  <si>
    <t xml:space="preserve">2丁目-5JRタワー札幌ステラプレイス4F </t>
    <rPh sb="1" eb="3">
      <t>チョウメ</t>
    </rPh>
    <rPh sb="10" eb="12">
      <t>サッポロ</t>
    </rPh>
    <phoneticPr fontId="2"/>
  </si>
  <si>
    <t>060-0061</t>
    <phoneticPr fontId="2"/>
  </si>
  <si>
    <t>3-3札幌パルコ6F</t>
    <rPh sb="3" eb="5">
      <t>サッポロ</t>
    </rPh>
    <phoneticPr fontId="2"/>
  </si>
  <si>
    <t>004-0873</t>
    <phoneticPr fontId="2"/>
  </si>
  <si>
    <t>5-3-1イオンモール札幌平岡2F</t>
    <rPh sb="11" eb="13">
      <t>サッポロ</t>
    </rPh>
    <rPh sb="13" eb="15">
      <t>ヒラオカ</t>
    </rPh>
    <phoneticPr fontId="2"/>
  </si>
  <si>
    <t>084-0910</t>
    <phoneticPr fontId="2"/>
  </si>
  <si>
    <t>4-18-1イオンモール釧路昭和2F</t>
    <rPh sb="12" eb="14">
      <t>クシロ</t>
    </rPh>
    <rPh sb="14" eb="16">
      <t>ショウワ</t>
    </rPh>
    <phoneticPr fontId="2"/>
  </si>
  <si>
    <t>980-0021</t>
    <phoneticPr fontId="2"/>
  </si>
  <si>
    <t>4-1-1イービーンズ4F</t>
    <phoneticPr fontId="2"/>
  </si>
  <si>
    <t>982-0011</t>
    <phoneticPr fontId="2"/>
  </si>
  <si>
    <t>7-20-15ザ・モール仙台長町Part2 3F</t>
    <rPh sb="12" eb="14">
      <t>センダイ</t>
    </rPh>
    <rPh sb="14" eb="16">
      <t>ナガマチ</t>
    </rPh>
    <phoneticPr fontId="2"/>
  </si>
  <si>
    <t>(株)島村楽器</t>
    <rPh sb="0" eb="3">
      <t>カブ</t>
    </rPh>
    <rPh sb="3" eb="5">
      <t>シマムラ</t>
    </rPh>
    <rPh sb="5" eb="7">
      <t>ガッキ</t>
    </rPh>
    <phoneticPr fontId="2"/>
  </si>
  <si>
    <t>981-3204</t>
    <phoneticPr fontId="2"/>
  </si>
  <si>
    <t>6-5-1泉パークタウン　タピオ　2F</t>
    <rPh sb="5" eb="6">
      <t>イズミ</t>
    </rPh>
    <phoneticPr fontId="2"/>
  </si>
  <si>
    <t>981-1227</t>
    <phoneticPr fontId="2"/>
  </si>
  <si>
    <t>5丁目3-1イオンモール名取3F</t>
    <rPh sb="1" eb="3">
      <t>チョウメ</t>
    </rPh>
    <rPh sb="12" eb="14">
      <t>ナト</t>
    </rPh>
    <phoneticPr fontId="2"/>
  </si>
  <si>
    <t>981-0112</t>
    <phoneticPr fontId="2"/>
  </si>
  <si>
    <t>新屋前22イオンモール利府2F</t>
    <rPh sb="0" eb="2">
      <t>アラヤ</t>
    </rPh>
    <rPh sb="2" eb="3">
      <t>マエ</t>
    </rPh>
    <rPh sb="11" eb="13">
      <t>リフ</t>
    </rPh>
    <phoneticPr fontId="2"/>
  </si>
  <si>
    <t>010-1413</t>
    <phoneticPr fontId="2"/>
  </si>
  <si>
    <t>1-1-1イオンモール秋田3F</t>
    <rPh sb="11" eb="13">
      <t>アキタ</t>
    </rPh>
    <phoneticPr fontId="2"/>
  </si>
  <si>
    <t>963-8002</t>
    <phoneticPr fontId="2"/>
  </si>
  <si>
    <t>1-16-7アティ郡山6F</t>
    <rPh sb="9" eb="11">
      <t>コオリヤマ</t>
    </rPh>
    <phoneticPr fontId="2"/>
  </si>
  <si>
    <t>160-0021</t>
    <phoneticPr fontId="2"/>
  </si>
  <si>
    <t>1-30-1西武新宿ペペ6F</t>
    <rPh sb="6" eb="8">
      <t>セイブ</t>
    </rPh>
    <rPh sb="8" eb="10">
      <t>シンジュク</t>
    </rPh>
    <phoneticPr fontId="2"/>
  </si>
  <si>
    <t>115-0055</t>
    <phoneticPr fontId="2"/>
  </si>
  <si>
    <t>1-5-1アピレ赤羽3F</t>
    <rPh sb="8" eb="10">
      <t>アカバネ</t>
    </rPh>
    <phoneticPr fontId="2"/>
  </si>
  <si>
    <t>158-0094</t>
    <phoneticPr fontId="2"/>
  </si>
  <si>
    <t>2-21-1二子玉川ライズ・ショッピングセンターリバーフロント4F</t>
    <rPh sb="6" eb="8">
      <t>フタゴ</t>
    </rPh>
    <rPh sb="8" eb="10">
      <t>タマガワ</t>
    </rPh>
    <phoneticPr fontId="2"/>
  </si>
  <si>
    <t>194-0013</t>
    <phoneticPr fontId="2"/>
  </si>
  <si>
    <t>4-1-17ミーナ町田　B1F</t>
    <rPh sb="9" eb="11">
      <t>マチダ</t>
    </rPh>
    <phoneticPr fontId="2"/>
  </si>
  <si>
    <t>192-0364</t>
    <phoneticPr fontId="2"/>
  </si>
  <si>
    <t>192-0046</t>
    <phoneticPr fontId="2"/>
  </si>
  <si>
    <t>3-27-1京王八王子ショッピングセンター6F</t>
    <rPh sb="6" eb="8">
      <t>ケイオウ</t>
    </rPh>
    <rPh sb="8" eb="11">
      <t>ハチオウジ</t>
    </rPh>
    <phoneticPr fontId="2"/>
  </si>
  <si>
    <t>190-0182</t>
    <phoneticPr fontId="2"/>
  </si>
  <si>
    <t>三吉野桜木237番地3イオンモール日の出　3F</t>
    <rPh sb="0" eb="1">
      <t>サン</t>
    </rPh>
    <rPh sb="1" eb="3">
      <t>ヨシノ</t>
    </rPh>
    <rPh sb="3" eb="5">
      <t>サクラギ</t>
    </rPh>
    <rPh sb="8" eb="10">
      <t>バンチ</t>
    </rPh>
    <rPh sb="17" eb="18">
      <t>ヒ</t>
    </rPh>
    <rPh sb="19" eb="20">
      <t>デ</t>
    </rPh>
    <phoneticPr fontId="2"/>
  </si>
  <si>
    <t>123-0843</t>
    <phoneticPr fontId="2"/>
  </si>
  <si>
    <t>1丁目17-1パサージオ3F</t>
    <rPh sb="1" eb="3">
      <t>チョウメ</t>
    </rPh>
    <phoneticPr fontId="2"/>
  </si>
  <si>
    <t>136-0075</t>
    <phoneticPr fontId="2"/>
  </si>
  <si>
    <t>3-4-31南砂町ショッピングセンターSUNAMO 3F</t>
    <rPh sb="6" eb="9">
      <t>ミナミスナマチ</t>
    </rPh>
    <phoneticPr fontId="2"/>
  </si>
  <si>
    <t>134-0088</t>
    <phoneticPr fontId="2"/>
  </si>
  <si>
    <t>3-9-19イオン葛西店4F</t>
    <rPh sb="9" eb="11">
      <t>カサイ</t>
    </rPh>
    <rPh sb="11" eb="12">
      <t>テン</t>
    </rPh>
    <phoneticPr fontId="2"/>
  </si>
  <si>
    <t>220-0005</t>
    <phoneticPr fontId="2"/>
  </si>
  <si>
    <t>2-15-13ビブレ6F</t>
    <phoneticPr fontId="2"/>
  </si>
  <si>
    <t>224-0053</t>
    <phoneticPr fontId="2"/>
  </si>
  <si>
    <t>4035-1ららぽーと横浜3F</t>
    <rPh sb="11" eb="13">
      <t>ヨコハマ</t>
    </rPh>
    <phoneticPr fontId="2"/>
  </si>
  <si>
    <t>224-0003</t>
    <phoneticPr fontId="2"/>
  </si>
  <si>
    <t>1-31-1モザイクモール港北3F</t>
    <rPh sb="13" eb="15">
      <t>コウホク</t>
    </rPh>
    <phoneticPr fontId="2"/>
  </si>
  <si>
    <t>210-0024</t>
    <phoneticPr fontId="2"/>
  </si>
  <si>
    <t>1-11川崎ルフロン7F</t>
    <rPh sb="4" eb="6">
      <t>カワサキ</t>
    </rPh>
    <phoneticPr fontId="2"/>
  </si>
  <si>
    <t>212-0013</t>
    <phoneticPr fontId="2"/>
  </si>
  <si>
    <t>72-1ラゾーナ川崎プラザ4FC</t>
    <rPh sb="8" eb="10">
      <t>カワサキ</t>
    </rPh>
    <phoneticPr fontId="2"/>
  </si>
  <si>
    <t>238-0007</t>
    <phoneticPr fontId="2"/>
  </si>
  <si>
    <t>1-5横須賀プライム5F</t>
    <rPh sb="3" eb="6">
      <t>ヨコスカ</t>
    </rPh>
    <phoneticPr fontId="2"/>
  </si>
  <si>
    <t>252-0146</t>
    <phoneticPr fontId="2"/>
  </si>
  <si>
    <t>1-22アリオ橋本1F</t>
    <rPh sb="7" eb="9">
      <t>ハシモト</t>
    </rPh>
    <phoneticPr fontId="2"/>
  </si>
  <si>
    <t>イオンモール春日部店</t>
    <rPh sb="6" eb="9">
      <t>カスカベ</t>
    </rPh>
    <rPh sb="9" eb="10">
      <t>テン</t>
    </rPh>
    <phoneticPr fontId="2"/>
  </si>
  <si>
    <t>水戸マイム店</t>
    <rPh sb="0" eb="2">
      <t>ミト</t>
    </rPh>
    <rPh sb="5" eb="6">
      <t>テン</t>
    </rPh>
    <phoneticPr fontId="2"/>
  </si>
  <si>
    <t>イオンモール土浦店</t>
    <rPh sb="6" eb="8">
      <t>ツチウラ</t>
    </rPh>
    <rPh sb="8" eb="9">
      <t>テン</t>
    </rPh>
    <phoneticPr fontId="2"/>
  </si>
  <si>
    <t>ボックスヒル取手店</t>
    <rPh sb="6" eb="8">
      <t>トリデ</t>
    </rPh>
    <rPh sb="8" eb="9">
      <t>テン</t>
    </rPh>
    <phoneticPr fontId="2"/>
  </si>
  <si>
    <t>宇都宮パルコ店</t>
    <rPh sb="0" eb="3">
      <t>ウツノミヤ</t>
    </rPh>
    <rPh sb="6" eb="7">
      <t>テン</t>
    </rPh>
    <phoneticPr fontId="2"/>
  </si>
  <si>
    <t>320-0026</t>
    <phoneticPr fontId="2"/>
  </si>
  <si>
    <t>3-1-1宇都宮パルコ9F</t>
    <rPh sb="5" eb="8">
      <t>ウツノミヤ</t>
    </rPh>
    <phoneticPr fontId="2"/>
  </si>
  <si>
    <t>けやきウォーク前橋店</t>
    <rPh sb="7" eb="9">
      <t>マエバシ</t>
    </rPh>
    <rPh sb="9" eb="10">
      <t>テン</t>
    </rPh>
    <phoneticPr fontId="2"/>
  </si>
  <si>
    <t>イオンモール太田店</t>
    <rPh sb="6" eb="8">
      <t>オオタ</t>
    </rPh>
    <rPh sb="8" eb="9">
      <t>テン</t>
    </rPh>
    <phoneticPr fontId="2"/>
  </si>
  <si>
    <t>イオンモール甲府昭和店</t>
    <rPh sb="6" eb="8">
      <t>コウフ</t>
    </rPh>
    <rPh sb="8" eb="10">
      <t>ショウワ</t>
    </rPh>
    <rPh sb="10" eb="11">
      <t>テン</t>
    </rPh>
    <phoneticPr fontId="2"/>
  </si>
  <si>
    <t>新潟ビルボードプレイス店</t>
    <rPh sb="0" eb="2">
      <t>ニイガタ</t>
    </rPh>
    <rPh sb="11" eb="12">
      <t>テン</t>
    </rPh>
    <phoneticPr fontId="2"/>
  </si>
  <si>
    <t>イオン長岡店</t>
    <rPh sb="3" eb="5">
      <t>ナガオカ</t>
    </rPh>
    <rPh sb="5" eb="6">
      <t>テン</t>
    </rPh>
    <phoneticPr fontId="2"/>
  </si>
  <si>
    <t>イオンモール佐久平店</t>
    <rPh sb="6" eb="9">
      <t>サクダイラ</t>
    </rPh>
    <rPh sb="9" eb="10">
      <t>テン</t>
    </rPh>
    <phoneticPr fontId="2"/>
  </si>
  <si>
    <t>松本パルコ店</t>
    <rPh sb="0" eb="2">
      <t>マツモト</t>
    </rPh>
    <rPh sb="5" eb="6">
      <t>テン</t>
    </rPh>
    <phoneticPr fontId="2"/>
  </si>
  <si>
    <t>金沢フォーラス店</t>
    <rPh sb="0" eb="2">
      <t>カナザワ</t>
    </rPh>
    <rPh sb="7" eb="8">
      <t>テン</t>
    </rPh>
    <phoneticPr fontId="2"/>
  </si>
  <si>
    <t>イオンモールかほく店</t>
    <rPh sb="9" eb="10">
      <t>テン</t>
    </rPh>
    <phoneticPr fontId="2"/>
  </si>
  <si>
    <t>名古屋パルコ店</t>
    <rPh sb="0" eb="3">
      <t>ナゴヤ</t>
    </rPh>
    <rPh sb="6" eb="7">
      <t>テン</t>
    </rPh>
    <phoneticPr fontId="2"/>
  </si>
  <si>
    <t>460-0008</t>
    <phoneticPr fontId="2"/>
  </si>
  <si>
    <t>3-29-1名古屋パルコ東館5F</t>
    <rPh sb="6" eb="9">
      <t>ナゴヤ</t>
    </rPh>
    <rPh sb="12" eb="13">
      <t>ヒガシ</t>
    </rPh>
    <rPh sb="13" eb="14">
      <t>カン</t>
    </rPh>
    <phoneticPr fontId="2"/>
  </si>
  <si>
    <t>イオンモール名古屋みなと店</t>
    <rPh sb="6" eb="9">
      <t>ナゴヤ</t>
    </rPh>
    <rPh sb="12" eb="13">
      <t>テン</t>
    </rPh>
    <phoneticPr fontId="2"/>
  </si>
  <si>
    <t>455-0055</t>
    <phoneticPr fontId="2"/>
  </si>
  <si>
    <t>2-1-6イオンモール名古屋みなと店3F</t>
    <rPh sb="11" eb="14">
      <t>ナゴヤ</t>
    </rPh>
    <rPh sb="17" eb="18">
      <t>テン</t>
    </rPh>
    <phoneticPr fontId="2"/>
  </si>
  <si>
    <t>イオンモール大高店</t>
    <rPh sb="6" eb="8">
      <t>オオタカ</t>
    </rPh>
    <rPh sb="8" eb="9">
      <t>テン</t>
    </rPh>
    <phoneticPr fontId="2"/>
  </si>
  <si>
    <t>459-8001</t>
    <phoneticPr fontId="2"/>
  </si>
  <si>
    <t>1-1イオンモール大高3F</t>
    <rPh sb="9" eb="11">
      <t>オオタカ</t>
    </rPh>
    <phoneticPr fontId="2"/>
  </si>
  <si>
    <t>イオンモール岡崎店</t>
    <rPh sb="6" eb="8">
      <t>オカザキ</t>
    </rPh>
    <rPh sb="8" eb="9">
      <t>テン</t>
    </rPh>
    <phoneticPr fontId="2"/>
  </si>
  <si>
    <t>444-0840</t>
    <phoneticPr fontId="2"/>
  </si>
  <si>
    <t>外山38-5イオンモール岡崎3F</t>
    <rPh sb="0" eb="2">
      <t>ソトヤマ</t>
    </rPh>
    <rPh sb="12" eb="14">
      <t>オカザキ</t>
    </rPh>
    <phoneticPr fontId="2"/>
  </si>
  <si>
    <t>店ID</t>
    <rPh sb="0" eb="1">
      <t>ミセ</t>
    </rPh>
    <phoneticPr fontId="2"/>
  </si>
  <si>
    <t>店名</t>
    <rPh sb="0" eb="2">
      <t>テンメイ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</si>
  <si>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</si>
  <si>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</si>
  <si>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</si>
  <si>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(株)黒澤楽器</t>
    <rPh sb="0" eb="3">
      <t>カブ</t>
    </rPh>
    <rPh sb="3" eb="5">
      <t>クロサワ</t>
    </rPh>
    <rPh sb="5" eb="7">
      <t>ガッキ</t>
    </rPh>
    <phoneticPr fontId="2"/>
  </si>
  <si>
    <t>E02</t>
  </si>
  <si>
    <t>E03</t>
  </si>
  <si>
    <t>E04</t>
  </si>
  <si>
    <t>E05</t>
  </si>
  <si>
    <t>E06</t>
  </si>
  <si>
    <t>E07</t>
  </si>
  <si>
    <t>E08</t>
  </si>
  <si>
    <t>本社</t>
    <rPh sb="0" eb="2">
      <t>ホンシャ</t>
    </rPh>
    <phoneticPr fontId="2"/>
  </si>
  <si>
    <t>171-0033</t>
    <phoneticPr fontId="2"/>
  </si>
  <si>
    <t>3-36-1</t>
    <phoneticPr fontId="2"/>
  </si>
  <si>
    <t>169-0073</t>
    <phoneticPr fontId="2"/>
  </si>
  <si>
    <t>1-10-8</t>
    <phoneticPr fontId="2"/>
  </si>
  <si>
    <t>101-0062</t>
    <phoneticPr fontId="2"/>
  </si>
  <si>
    <t>2-2</t>
    <phoneticPr fontId="2"/>
  </si>
  <si>
    <t>ベースセンター店</t>
    <rPh sb="7" eb="8">
      <t>テン</t>
    </rPh>
    <phoneticPr fontId="2"/>
  </si>
  <si>
    <t>お茶の水駅前店</t>
    <rPh sb="1" eb="2">
      <t>チャ</t>
    </rPh>
    <rPh sb="3" eb="4">
      <t>ミズ</t>
    </rPh>
    <rPh sb="4" eb="6">
      <t>エキマエ</t>
    </rPh>
    <rPh sb="6" eb="7">
      <t>テン</t>
    </rPh>
    <phoneticPr fontId="2"/>
  </si>
  <si>
    <t>101-0052</t>
    <phoneticPr fontId="2"/>
  </si>
  <si>
    <t>3-8</t>
    <phoneticPr fontId="2"/>
  </si>
  <si>
    <t>101-0052</t>
    <phoneticPr fontId="2"/>
  </si>
  <si>
    <t>3-22</t>
    <phoneticPr fontId="2"/>
  </si>
  <si>
    <t>G-CLUB 渋谷店</t>
    <rPh sb="7" eb="9">
      <t>シブヤ</t>
    </rPh>
    <rPh sb="9" eb="10">
      <t>テン</t>
    </rPh>
    <phoneticPr fontId="2"/>
  </si>
  <si>
    <t>G-CLUB TOKYO店</t>
    <rPh sb="12" eb="13">
      <t>テン</t>
    </rPh>
    <phoneticPr fontId="2"/>
  </si>
  <si>
    <t>Dr.Sound店</t>
    <rPh sb="8" eb="9">
      <t>テン</t>
    </rPh>
    <phoneticPr fontId="2"/>
  </si>
  <si>
    <t>150-0043</t>
    <phoneticPr fontId="2"/>
  </si>
  <si>
    <t>2-29-17</t>
    <phoneticPr fontId="2"/>
  </si>
  <si>
    <t>G-CLUB池袋店</t>
    <rPh sb="6" eb="8">
      <t>イケブクロ</t>
    </rPh>
    <rPh sb="8" eb="9">
      <t>テン</t>
    </rPh>
    <phoneticPr fontId="2"/>
  </si>
  <si>
    <t>170-0013</t>
    <phoneticPr fontId="2"/>
  </si>
  <si>
    <t>1-4-4</t>
    <phoneticPr fontId="2"/>
  </si>
  <si>
    <t>横浜店</t>
    <rPh sb="0" eb="2">
      <t>ヨコハマ</t>
    </rPh>
    <rPh sb="2" eb="3">
      <t>テン</t>
    </rPh>
    <phoneticPr fontId="2"/>
  </si>
  <si>
    <t>220-0005</t>
    <phoneticPr fontId="2"/>
  </si>
  <si>
    <t>横浜モアーズ5F</t>
    <rPh sb="0" eb="2">
      <t>ヨコハマ</t>
    </rPh>
    <phoneticPr fontId="2"/>
  </si>
  <si>
    <t>町田店</t>
    <rPh sb="0" eb="2">
      <t>マチダ</t>
    </rPh>
    <rPh sb="2" eb="3">
      <t>テン</t>
    </rPh>
    <phoneticPr fontId="2"/>
  </si>
  <si>
    <t>194-0013</t>
    <phoneticPr fontId="2"/>
  </si>
  <si>
    <t>6-2-6町田modi7F</t>
    <rPh sb="5" eb="7">
      <t>マチダ</t>
    </rPh>
    <phoneticPr fontId="2"/>
  </si>
  <si>
    <t>本社</t>
    <rPh sb="0" eb="2">
      <t>ホンシャ</t>
    </rPh>
    <phoneticPr fontId="2"/>
  </si>
  <si>
    <t>101-0062</t>
    <phoneticPr fontId="2"/>
  </si>
  <si>
    <t>2-2</t>
    <phoneticPr fontId="2"/>
  </si>
  <si>
    <t>お茶の水本店</t>
    <rPh sb="1" eb="2">
      <t>チャ</t>
    </rPh>
    <rPh sb="3" eb="4">
      <t>ミズ</t>
    </rPh>
    <rPh sb="4" eb="6">
      <t>ホンテン</t>
    </rPh>
    <phoneticPr fontId="2"/>
  </si>
  <si>
    <t>大宮店</t>
    <rPh sb="0" eb="2">
      <t>オオミヤ</t>
    </rPh>
    <rPh sb="2" eb="3">
      <t>テン</t>
    </rPh>
    <phoneticPr fontId="2"/>
  </si>
  <si>
    <t>八王子店</t>
    <rPh sb="0" eb="3">
      <t>ハチオウジ</t>
    </rPh>
    <rPh sb="3" eb="4">
      <t>テン</t>
    </rPh>
    <phoneticPr fontId="2"/>
  </si>
  <si>
    <t>192-0046</t>
    <phoneticPr fontId="2"/>
  </si>
  <si>
    <t>4丁目7-2</t>
    <rPh sb="1" eb="3">
      <t>チョウメ</t>
    </rPh>
    <phoneticPr fontId="2"/>
  </si>
  <si>
    <t>春日部店</t>
    <rPh sb="0" eb="3">
      <t>カスカベ</t>
    </rPh>
    <rPh sb="3" eb="4">
      <t>テン</t>
    </rPh>
    <phoneticPr fontId="2"/>
  </si>
  <si>
    <t>岩槻店</t>
    <rPh sb="0" eb="2">
      <t>イワツキ</t>
    </rPh>
    <rPh sb="2" eb="3">
      <t>テン</t>
    </rPh>
    <phoneticPr fontId="2"/>
  </si>
  <si>
    <t>本社</t>
    <rPh sb="0" eb="2">
      <t>ホンシャ</t>
    </rPh>
    <phoneticPr fontId="2"/>
  </si>
  <si>
    <t>101-0052</t>
    <phoneticPr fontId="2"/>
  </si>
  <si>
    <t>神田店</t>
    <rPh sb="0" eb="2">
      <t>カンダ</t>
    </rPh>
    <rPh sb="2" eb="3">
      <t>テン</t>
    </rPh>
    <phoneticPr fontId="2"/>
  </si>
  <si>
    <t>1-4</t>
    <phoneticPr fontId="2"/>
  </si>
  <si>
    <t>(株)ミュージックランド</t>
    <rPh sb="0" eb="3">
      <t>カブ</t>
    </rPh>
    <phoneticPr fontId="2"/>
  </si>
  <si>
    <t>渋谷店</t>
    <rPh sb="0" eb="2">
      <t>シブヤ</t>
    </rPh>
    <rPh sb="2" eb="3">
      <t>テン</t>
    </rPh>
    <phoneticPr fontId="2"/>
  </si>
  <si>
    <t>150-0031</t>
    <phoneticPr fontId="2"/>
  </si>
  <si>
    <t>高崎店</t>
    <rPh sb="0" eb="2">
      <t>タカサキ</t>
    </rPh>
    <rPh sb="2" eb="3">
      <t>テン</t>
    </rPh>
    <phoneticPr fontId="2"/>
  </si>
  <si>
    <t>池袋店</t>
    <rPh sb="0" eb="2">
      <t>イケブクロ</t>
    </rPh>
    <rPh sb="2" eb="3">
      <t>テン</t>
    </rPh>
    <phoneticPr fontId="2"/>
  </si>
  <si>
    <t>170-0013</t>
    <phoneticPr fontId="2"/>
  </si>
  <si>
    <t>16-12</t>
    <phoneticPr fontId="2"/>
  </si>
  <si>
    <t>1-17-8</t>
    <phoneticPr fontId="2"/>
  </si>
  <si>
    <t>新宿店</t>
    <rPh sb="0" eb="2">
      <t>シンジュク</t>
    </rPh>
    <rPh sb="2" eb="3">
      <t>テン</t>
    </rPh>
    <phoneticPr fontId="2"/>
  </si>
  <si>
    <t>160-0022</t>
    <phoneticPr fontId="2"/>
  </si>
  <si>
    <t>5-8-2</t>
    <phoneticPr fontId="2"/>
  </si>
  <si>
    <t>横浜店</t>
    <rPh sb="0" eb="2">
      <t>ヨコハマ</t>
    </rPh>
    <rPh sb="2" eb="3">
      <t>テン</t>
    </rPh>
    <phoneticPr fontId="2"/>
  </si>
  <si>
    <t>231-0001</t>
    <phoneticPr fontId="2"/>
  </si>
  <si>
    <t>2丁目2-1横浜ワールドボーダーズ3階</t>
    <rPh sb="1" eb="3">
      <t>チョウメ</t>
    </rPh>
    <rPh sb="6" eb="8">
      <t>ヨコハマ</t>
    </rPh>
    <rPh sb="18" eb="19">
      <t>カイ</t>
    </rPh>
    <phoneticPr fontId="2"/>
  </si>
  <si>
    <t>心斎橋店</t>
    <rPh sb="0" eb="3">
      <t>シンサイバシ</t>
    </rPh>
    <rPh sb="3" eb="4">
      <t>テン</t>
    </rPh>
    <phoneticPr fontId="2"/>
  </si>
  <si>
    <t>京都店</t>
    <rPh sb="0" eb="2">
      <t>キョウト</t>
    </rPh>
    <rPh sb="2" eb="3">
      <t>テン</t>
    </rPh>
    <phoneticPr fontId="2"/>
  </si>
  <si>
    <t>福岡店</t>
    <rPh sb="0" eb="2">
      <t>フクオカ</t>
    </rPh>
    <rPh sb="2" eb="3">
      <t>テン</t>
    </rPh>
    <phoneticPr fontId="2"/>
  </si>
  <si>
    <t>195-0064</t>
    <phoneticPr fontId="2"/>
  </si>
  <si>
    <t>件</t>
    <rPh sb="0" eb="1">
      <t>ケン</t>
    </rPh>
    <phoneticPr fontId="2"/>
  </si>
  <si>
    <t>20日</t>
    <rPh sb="1" eb="2">
      <t>ヒ</t>
    </rPh>
    <phoneticPr fontId="2"/>
  </si>
  <si>
    <t>574-0026</t>
    <phoneticPr fontId="2"/>
  </si>
  <si>
    <t>2-2-23大東サンメイツ2番館3F</t>
    <rPh sb="6" eb="8">
      <t>ダイトウ</t>
    </rPh>
    <rPh sb="14" eb="16">
      <t>バンカン</t>
    </rPh>
    <phoneticPr fontId="2"/>
  </si>
  <si>
    <t>木實金型工作所</t>
    <rPh sb="0" eb="1">
      <t>キ</t>
    </rPh>
    <rPh sb="1" eb="2">
      <t>ジツ</t>
    </rPh>
    <rPh sb="2" eb="4">
      <t>カナガタ</t>
    </rPh>
    <rPh sb="4" eb="7">
      <t>コウサクショ</t>
    </rPh>
    <phoneticPr fontId="2"/>
  </si>
  <si>
    <t>581-0885</t>
    <phoneticPr fontId="2"/>
  </si>
  <si>
    <t>5-118-5</t>
    <phoneticPr fontId="2"/>
  </si>
  <si>
    <t>末日</t>
    <rPh sb="0" eb="2">
      <t>マツジツ</t>
    </rPh>
    <phoneticPr fontId="2"/>
  </si>
  <si>
    <t>321-0945</t>
    <phoneticPr fontId="2"/>
  </si>
  <si>
    <t>1-20-10</t>
    <phoneticPr fontId="2"/>
  </si>
  <si>
    <t>プレミアムギターズ</t>
    <phoneticPr fontId="2"/>
  </si>
  <si>
    <t>1月</t>
    <phoneticPr fontId="2"/>
  </si>
  <si>
    <t>1210</t>
    <phoneticPr fontId="2"/>
  </si>
  <si>
    <t>加茂ブラザーミュージック</t>
    <rPh sb="0" eb="2">
      <t>カモ</t>
    </rPh>
    <phoneticPr fontId="2"/>
  </si>
  <si>
    <t>505-0041</t>
    <phoneticPr fontId="2"/>
  </si>
  <si>
    <t>3528-7</t>
    <phoneticPr fontId="2"/>
  </si>
  <si>
    <t>160-0022</t>
    <phoneticPr fontId="2"/>
  </si>
  <si>
    <t>5-7-14</t>
    <phoneticPr fontId="2"/>
  </si>
  <si>
    <t>326</t>
    <phoneticPr fontId="2"/>
  </si>
  <si>
    <t>111-0052</t>
    <phoneticPr fontId="2"/>
  </si>
  <si>
    <t>2-1-4</t>
    <phoneticPr fontId="2"/>
  </si>
  <si>
    <t>（株）山野楽器 経理部</t>
    <rPh sb="1" eb="4">
      <t>カブ</t>
    </rPh>
    <rPh sb="4" eb="6">
      <t>ヤマノ</t>
    </rPh>
    <rPh sb="6" eb="8">
      <t>ガッキケイリブ</t>
    </rPh>
    <phoneticPr fontId="2"/>
  </si>
  <si>
    <t>E00</t>
    <phoneticPr fontId="2"/>
  </si>
  <si>
    <t>E01</t>
  </si>
  <si>
    <t>F00</t>
    <phoneticPr fontId="2"/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</si>
  <si>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</si>
  <si>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</si>
  <si>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</si>
  <si>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</si>
  <si>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</si>
  <si>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</si>
  <si>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</si>
  <si>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</si>
  <si>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</si>
  <si>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G00</t>
    <phoneticPr fontId="2"/>
  </si>
  <si>
    <t>G01</t>
  </si>
  <si>
    <t>J00</t>
    <phoneticPr fontId="2"/>
  </si>
  <si>
    <t>J01</t>
  </si>
  <si>
    <t>J02</t>
  </si>
  <si>
    <t>J03</t>
  </si>
  <si>
    <t>K00</t>
    <phoneticPr fontId="2"/>
  </si>
  <si>
    <t>K01</t>
  </si>
  <si>
    <t>K02</t>
  </si>
  <si>
    <t>K03</t>
  </si>
  <si>
    <t>K04</t>
  </si>
  <si>
    <t>K05</t>
  </si>
  <si>
    <t>K06</t>
  </si>
  <si>
    <t>K07</t>
  </si>
  <si>
    <t>K08</t>
  </si>
  <si>
    <t>A04</t>
    <phoneticPr fontId="2"/>
  </si>
  <si>
    <t>542-0086</t>
    <phoneticPr fontId="2"/>
  </si>
  <si>
    <t>1211</t>
  </si>
  <si>
    <t>スリークエリート</t>
  </si>
  <si>
    <t>スリークエリート</t>
    <phoneticPr fontId="2"/>
  </si>
  <si>
    <t>(株)ミュージックプラザオグチ</t>
    <rPh sb="0" eb="3">
      <t>カブ</t>
    </rPh>
    <phoneticPr fontId="2"/>
  </si>
  <si>
    <t>390-0851</t>
    <phoneticPr fontId="2"/>
  </si>
  <si>
    <t>1212</t>
  </si>
  <si>
    <t>売上</t>
    <rPh sb="0" eb="2">
      <t>ウリアゲ</t>
    </rPh>
    <phoneticPr fontId="2"/>
  </si>
  <si>
    <t>率</t>
    <rPh sb="0" eb="1">
      <t>リリツ</t>
    </rPh>
    <phoneticPr fontId="2"/>
  </si>
  <si>
    <t>A本数</t>
    <rPh sb="1" eb="3">
      <t>ホンスウ</t>
    </rPh>
    <phoneticPr fontId="2"/>
  </si>
  <si>
    <t>B本数</t>
    <rPh sb="1" eb="3">
      <t>ホンスウ</t>
    </rPh>
    <phoneticPr fontId="2"/>
  </si>
  <si>
    <t>総本数</t>
    <rPh sb="0" eb="2">
      <t>ホンスウ</t>
    </rPh>
    <phoneticPr fontId="2"/>
  </si>
  <si>
    <t>20日</t>
    <phoneticPr fontId="2"/>
  </si>
  <si>
    <t>260-0013</t>
    <phoneticPr fontId="2"/>
  </si>
  <si>
    <t>2-2-2千葉パルコ7F</t>
    <rPh sb="5" eb="7">
      <t>チバ</t>
    </rPh>
    <phoneticPr fontId="2"/>
  </si>
  <si>
    <t>274-0825</t>
    <phoneticPr fontId="2"/>
  </si>
  <si>
    <t>2-18-1津田沼パルコA館5F</t>
    <rPh sb="6" eb="9">
      <t>ツダヌマ</t>
    </rPh>
    <rPh sb="13" eb="14">
      <t>カン</t>
    </rPh>
    <phoneticPr fontId="2"/>
  </si>
  <si>
    <t>273-0045</t>
    <phoneticPr fontId="2"/>
  </si>
  <si>
    <t>1-1-8イオンモール船橋2F</t>
    <rPh sb="11" eb="13">
      <t>フナバシ</t>
    </rPh>
    <phoneticPr fontId="2"/>
  </si>
  <si>
    <t>272-0015</t>
    <phoneticPr fontId="2"/>
  </si>
  <si>
    <t>1-1-1ニッケ・コルトンプラザ3F</t>
    <phoneticPr fontId="2"/>
  </si>
  <si>
    <t>261-0004</t>
    <phoneticPr fontId="2"/>
  </si>
  <si>
    <t>3-13-1マリンピア3F</t>
    <phoneticPr fontId="2"/>
  </si>
  <si>
    <t>273-0012</t>
    <phoneticPr fontId="2"/>
  </si>
  <si>
    <t>2-2-7ビビット南船橋4F</t>
    <rPh sb="9" eb="12">
      <t>ミナミフナバシ</t>
    </rPh>
    <phoneticPr fontId="2"/>
  </si>
  <si>
    <t>279-0012</t>
    <phoneticPr fontId="2"/>
  </si>
  <si>
    <t>2-1-6フレンテ南大沢4F</t>
    <rPh sb="9" eb="10">
      <t>ミナミ</t>
    </rPh>
    <rPh sb="10" eb="12">
      <t>オオサワ</t>
    </rPh>
    <phoneticPr fontId="2"/>
  </si>
  <si>
    <t>285-0858</t>
    <phoneticPr fontId="2"/>
  </si>
  <si>
    <t>3-2イオンモール千葉ニュータウンSCモール棟3F</t>
    <phoneticPr fontId="2"/>
  </si>
  <si>
    <t>4-1-1スカイプラザサウスタワー2F</t>
    <phoneticPr fontId="2"/>
  </si>
  <si>
    <t>286-0017</t>
    <phoneticPr fontId="2"/>
  </si>
  <si>
    <t>2-1-10ボンベルタ成田5F</t>
    <rPh sb="11" eb="13">
      <t>ナリタ</t>
    </rPh>
    <phoneticPr fontId="2"/>
  </si>
  <si>
    <t>286-0021</t>
    <phoneticPr fontId="2"/>
  </si>
  <si>
    <t>24イオンモール成田2F</t>
    <rPh sb="8" eb="10">
      <t>ナリタ</t>
    </rPh>
    <phoneticPr fontId="2"/>
  </si>
  <si>
    <t>175ららぽーと柏の葉3F</t>
    <rPh sb="8" eb="9">
      <t>カシワ</t>
    </rPh>
    <rPh sb="10" eb="11">
      <t>ハ</t>
    </rPh>
    <phoneticPr fontId="2"/>
  </si>
  <si>
    <t>278-0031</t>
    <phoneticPr fontId="2"/>
  </si>
  <si>
    <t>36-1イオンノア店3F</t>
    <rPh sb="9" eb="10">
      <t>テン</t>
    </rPh>
    <phoneticPr fontId="2"/>
  </si>
  <si>
    <t>330-0055</t>
    <phoneticPr fontId="2"/>
  </si>
  <si>
    <t>11-1浦和パルコ4F</t>
    <rPh sb="4" eb="6">
      <t>ウラワ</t>
    </rPh>
    <phoneticPr fontId="2"/>
  </si>
  <si>
    <t>330-0802</t>
    <phoneticPr fontId="2"/>
  </si>
  <si>
    <t>1丁目24GSビル4F</t>
    <rPh sb="1" eb="3">
      <t>チョウメ</t>
    </rPh>
    <phoneticPr fontId="2"/>
  </si>
  <si>
    <t>344-0122</t>
    <phoneticPr fontId="2"/>
  </si>
  <si>
    <t>420-1イオンモール春日部3F</t>
    <rPh sb="11" eb="14">
      <t>カスカベ</t>
    </rPh>
    <phoneticPr fontId="2"/>
  </si>
  <si>
    <t>イオンモール幕張新都心店</t>
    <rPh sb="6" eb="8">
      <t>マクハリ</t>
    </rPh>
    <rPh sb="8" eb="11">
      <t>シントシン</t>
    </rPh>
    <rPh sb="11" eb="12">
      <t>テン</t>
    </rPh>
    <phoneticPr fontId="2"/>
  </si>
  <si>
    <t>1-1イオンモール幕張新都心グランドモール1F</t>
    <rPh sb="9" eb="11">
      <t>マクハリ</t>
    </rPh>
    <rPh sb="11" eb="14">
      <t>シントシン</t>
    </rPh>
    <phoneticPr fontId="2"/>
  </si>
  <si>
    <t>333-0834</t>
    <phoneticPr fontId="2"/>
  </si>
  <si>
    <t>3180イオンモール川口3F</t>
    <rPh sb="10" eb="12">
      <t>カワグチ</t>
    </rPh>
    <phoneticPr fontId="2"/>
  </si>
  <si>
    <t>343-0826</t>
    <phoneticPr fontId="2"/>
  </si>
  <si>
    <t>2-8イオンレイクタウンMori3F・Mori2F</t>
    <phoneticPr fontId="2"/>
  </si>
  <si>
    <t>6005番1モラージュ菖蒲店3F</t>
    <rPh sb="4" eb="5">
      <t>バン</t>
    </rPh>
    <rPh sb="11" eb="13">
      <t>ショウブ</t>
    </rPh>
    <rPh sb="13" eb="14">
      <t>テン</t>
    </rPh>
    <phoneticPr fontId="2"/>
  </si>
  <si>
    <t>359-1111</t>
    <phoneticPr fontId="2"/>
  </si>
  <si>
    <t>1-2-1新所沢パルコレッツB1F</t>
    <rPh sb="5" eb="8">
      <t>シントコロザワ</t>
    </rPh>
    <phoneticPr fontId="2"/>
  </si>
  <si>
    <t>171-0033</t>
    <phoneticPr fontId="2"/>
  </si>
  <si>
    <t>310-0015</t>
    <phoneticPr fontId="2"/>
  </si>
  <si>
    <t>1-2-4マイムビルB1</t>
    <phoneticPr fontId="2"/>
  </si>
  <si>
    <t>300-0811</t>
    <phoneticPr fontId="2"/>
  </si>
  <si>
    <t>367イオンモール土浦3F</t>
    <rPh sb="9" eb="11">
      <t>ツチウラ</t>
    </rPh>
    <phoneticPr fontId="2"/>
  </si>
  <si>
    <t>302-0014</t>
    <phoneticPr fontId="2"/>
  </si>
  <si>
    <t>2-5ボックスヒル取手4F</t>
    <rPh sb="9" eb="11">
      <t>トリデ</t>
    </rPh>
    <phoneticPr fontId="2"/>
  </si>
  <si>
    <t>370-3521</t>
    <phoneticPr fontId="2"/>
  </si>
  <si>
    <t>1400番地イオンモール高崎店3F</t>
    <rPh sb="4" eb="6">
      <t>バンチ</t>
    </rPh>
    <rPh sb="12" eb="14">
      <t>タカサキ</t>
    </rPh>
    <rPh sb="14" eb="15">
      <t>テン</t>
    </rPh>
    <phoneticPr fontId="2"/>
  </si>
  <si>
    <t>371-0801</t>
    <phoneticPr fontId="2"/>
  </si>
  <si>
    <t>2-1-1けやきウォーク前橋1F</t>
    <rPh sb="12" eb="14">
      <t>マエバシ</t>
    </rPh>
    <phoneticPr fontId="2"/>
  </si>
  <si>
    <t>373-0808</t>
    <phoneticPr fontId="2"/>
  </si>
  <si>
    <t>81番地イオンモール太田2F</t>
    <rPh sb="2" eb="4">
      <t>バンチ</t>
    </rPh>
    <rPh sb="10" eb="12">
      <t>オオタ</t>
    </rPh>
    <phoneticPr fontId="2"/>
  </si>
  <si>
    <t>409-3852</t>
    <phoneticPr fontId="2"/>
  </si>
  <si>
    <t>整理地区内1街区イオンモール甲府昭和2F</t>
    <rPh sb="0" eb="2">
      <t>セイリ</t>
    </rPh>
    <rPh sb="2" eb="5">
      <t>チクナイ</t>
    </rPh>
    <rPh sb="6" eb="8">
      <t>ガイク</t>
    </rPh>
    <rPh sb="14" eb="16">
      <t>コウフ</t>
    </rPh>
    <rPh sb="16" eb="18">
      <t>ショウワ</t>
    </rPh>
    <phoneticPr fontId="2"/>
  </si>
  <si>
    <t>950-0909</t>
    <phoneticPr fontId="2"/>
  </si>
  <si>
    <t>2-1-2ビルボードプレイス4F</t>
    <phoneticPr fontId="2"/>
  </si>
  <si>
    <t>940-2106</t>
    <phoneticPr fontId="2"/>
  </si>
  <si>
    <t>1丁目249-1イオン長岡店3F</t>
    <rPh sb="1" eb="3">
      <t>チョウメ</t>
    </rPh>
    <rPh sb="11" eb="13">
      <t>ナガオカ</t>
    </rPh>
    <rPh sb="13" eb="14">
      <t>テン</t>
    </rPh>
    <phoneticPr fontId="2"/>
  </si>
  <si>
    <t>380-0823</t>
    <phoneticPr fontId="2"/>
  </si>
  <si>
    <t>1-3-6K'sスクエア　3F</t>
    <phoneticPr fontId="2"/>
  </si>
  <si>
    <t>385-0029</t>
    <phoneticPr fontId="2"/>
  </si>
  <si>
    <t>11-10イオンモール佐久平2F</t>
    <rPh sb="11" eb="14">
      <t>サクダイラ</t>
    </rPh>
    <phoneticPr fontId="2"/>
  </si>
  <si>
    <t>390-0811</t>
    <phoneticPr fontId="2"/>
  </si>
  <si>
    <t>1-10-30松本パルコ</t>
    <rPh sb="7" eb="9">
      <t>マツモト</t>
    </rPh>
    <phoneticPr fontId="2"/>
  </si>
  <si>
    <t>920-0849</t>
    <phoneticPr fontId="2"/>
  </si>
  <si>
    <t>3-1金沢フォーラス5F</t>
    <rPh sb="3" eb="5">
      <t>カナザワ</t>
    </rPh>
    <phoneticPr fontId="2"/>
  </si>
  <si>
    <t>929-1126</t>
    <phoneticPr fontId="2"/>
  </si>
  <si>
    <t>25番イオンモールかほく2F</t>
    <rPh sb="2" eb="3">
      <t>バン</t>
    </rPh>
    <phoneticPr fontId="2"/>
  </si>
  <si>
    <t>モレラ岐阜店</t>
    <rPh sb="3" eb="5">
      <t>ギフ</t>
    </rPh>
    <rPh sb="5" eb="6">
      <t>テン</t>
    </rPh>
    <phoneticPr fontId="2"/>
  </si>
  <si>
    <t>501-0406</t>
    <phoneticPr fontId="2"/>
  </si>
  <si>
    <t>1100番モレラ岐阜2F</t>
    <rPh sb="4" eb="5">
      <t>バン</t>
    </rPh>
    <rPh sb="8" eb="10">
      <t>ギフ</t>
    </rPh>
    <phoneticPr fontId="2"/>
  </si>
  <si>
    <t>アクアウォーク大垣店</t>
    <rPh sb="7" eb="9">
      <t>オオガキ</t>
    </rPh>
    <rPh sb="9" eb="10">
      <t>テン</t>
    </rPh>
    <phoneticPr fontId="2"/>
  </si>
  <si>
    <t>503-0015</t>
    <phoneticPr fontId="2"/>
  </si>
  <si>
    <t>6-80-21アクアウォーク大垣2F</t>
    <rPh sb="14" eb="16">
      <t>オオガキ</t>
    </rPh>
    <phoneticPr fontId="2"/>
  </si>
  <si>
    <t>2-10-11 2F</t>
    <phoneticPr fontId="2"/>
  </si>
  <si>
    <t>プレミアムベース</t>
    <phoneticPr fontId="2"/>
  </si>
  <si>
    <t>各合計</t>
    <rPh sb="0" eb="1">
      <t>カク</t>
    </rPh>
    <rPh sb="1" eb="3">
      <t>ゴウケイ</t>
    </rPh>
    <phoneticPr fontId="2"/>
  </si>
  <si>
    <t>1213</t>
  </si>
  <si>
    <t>リッツ楽器</t>
    <rPh sb="3" eb="5">
      <t>ガッキ</t>
    </rPh>
    <phoneticPr fontId="2"/>
  </si>
  <si>
    <t>1214</t>
  </si>
  <si>
    <t>サカイ楽器</t>
    <rPh sb="3" eb="5">
      <t>ガッキ</t>
    </rPh>
    <phoneticPr fontId="2"/>
  </si>
  <si>
    <t>名前</t>
    <rPh sb="0" eb="2">
      <t>ナマエ</t>
    </rPh>
    <phoneticPr fontId="2"/>
  </si>
  <si>
    <t>池部楽器</t>
    <rPh sb="0" eb="2">
      <t>イケベ</t>
    </rPh>
    <rPh sb="2" eb="4">
      <t>ガッキ</t>
    </rPh>
    <phoneticPr fontId="2"/>
  </si>
  <si>
    <t>石橋楽器</t>
    <rPh sb="0" eb="2">
      <t>イシバシ</t>
    </rPh>
    <rPh sb="2" eb="4">
      <t>ガッキ</t>
    </rPh>
    <phoneticPr fontId="2"/>
  </si>
  <si>
    <t>島村楽器</t>
    <rPh sb="0" eb="2">
      <t>シマムラ</t>
    </rPh>
    <rPh sb="2" eb="4">
      <t>ガッキ</t>
    </rPh>
    <phoneticPr fontId="2"/>
  </si>
  <si>
    <t>黒澤楽器</t>
    <rPh sb="0" eb="2">
      <t>クロサワ</t>
    </rPh>
    <rPh sb="2" eb="4">
      <t>ガッキ</t>
    </rPh>
    <phoneticPr fontId="2"/>
  </si>
  <si>
    <t>20日</t>
    <rPh sb="2" eb="3">
      <t>ヒ</t>
    </rPh>
    <phoneticPr fontId="2"/>
  </si>
  <si>
    <t>870-0035</t>
    <phoneticPr fontId="2"/>
  </si>
  <si>
    <t>2丁目3-10</t>
    <rPh sb="1" eb="3">
      <t>チョウメ</t>
    </rPh>
    <phoneticPr fontId="2"/>
  </si>
  <si>
    <t>末日</t>
    <rPh sb="0" eb="2">
      <t>マツジツ</t>
    </rPh>
    <phoneticPr fontId="2"/>
  </si>
  <si>
    <t>1215</t>
  </si>
  <si>
    <t>1216</t>
  </si>
  <si>
    <t>1217</t>
  </si>
  <si>
    <t>1218</t>
  </si>
  <si>
    <t>1219</t>
  </si>
  <si>
    <t>1220</t>
  </si>
  <si>
    <t>静岡パルコ店</t>
    <rPh sb="0" eb="2">
      <t>シズオカ</t>
    </rPh>
    <rPh sb="5" eb="6">
      <t>テン</t>
    </rPh>
    <phoneticPr fontId="2"/>
  </si>
  <si>
    <t>420-0852</t>
    <phoneticPr fontId="2"/>
  </si>
  <si>
    <t>6-7静岡パルコ7F</t>
    <rPh sb="3" eb="5">
      <t>シズオカ</t>
    </rPh>
    <phoneticPr fontId="2"/>
  </si>
  <si>
    <t>ららぽーと磐田店</t>
    <rPh sb="5" eb="7">
      <t>イワタ</t>
    </rPh>
    <rPh sb="7" eb="8">
      <t>テン</t>
    </rPh>
    <phoneticPr fontId="2"/>
  </si>
  <si>
    <t>438-0801</t>
    <phoneticPr fontId="2"/>
  </si>
  <si>
    <t>1200番地ららぽーと磐田店1F</t>
    <rPh sb="4" eb="6">
      <t>バンチ</t>
    </rPh>
    <rPh sb="11" eb="13">
      <t>イワタ</t>
    </rPh>
    <rPh sb="13" eb="14">
      <t>テン</t>
    </rPh>
    <phoneticPr fontId="2"/>
  </si>
  <si>
    <t>イオンモール浜松市野店</t>
    <rPh sb="6" eb="8">
      <t>ハママツ</t>
    </rPh>
    <rPh sb="8" eb="9">
      <t>イチ</t>
    </rPh>
    <rPh sb="9" eb="10">
      <t>ノ</t>
    </rPh>
    <rPh sb="10" eb="11">
      <t>テン</t>
    </rPh>
    <phoneticPr fontId="2"/>
  </si>
  <si>
    <t>435-0052</t>
    <phoneticPr fontId="2"/>
  </si>
  <si>
    <t>字諏訪1981-3イオンモール浜松市野2F</t>
    <rPh sb="0" eb="1">
      <t>アザ</t>
    </rPh>
    <rPh sb="1" eb="3">
      <t>スワ</t>
    </rPh>
    <rPh sb="15" eb="17">
      <t>ハママツ</t>
    </rPh>
    <rPh sb="17" eb="18">
      <t>イチ</t>
    </rPh>
    <rPh sb="18" eb="19">
      <t>ノ</t>
    </rPh>
    <phoneticPr fontId="2"/>
  </si>
  <si>
    <t>プレ葉ウォーク浜北店</t>
    <rPh sb="2" eb="3">
      <t>ハ</t>
    </rPh>
    <rPh sb="7" eb="9">
      <t>ハマキタ</t>
    </rPh>
    <rPh sb="9" eb="10">
      <t>テン</t>
    </rPh>
    <phoneticPr fontId="2"/>
  </si>
  <si>
    <t>434-0038</t>
    <phoneticPr fontId="2"/>
  </si>
  <si>
    <t>1200プレ葉ウォーク浜北1F</t>
    <rPh sb="6" eb="7">
      <t>ハ</t>
    </rPh>
    <rPh sb="11" eb="13">
      <t>ハマキタ</t>
    </rPh>
    <phoneticPr fontId="2"/>
  </si>
  <si>
    <t>イオンモール鈴鹿店</t>
    <rPh sb="6" eb="8">
      <t>スズカ</t>
    </rPh>
    <rPh sb="8" eb="9">
      <t>テン</t>
    </rPh>
    <phoneticPr fontId="2"/>
  </si>
  <si>
    <t>513-0834</t>
    <phoneticPr fontId="2"/>
  </si>
  <si>
    <t>4-1-2イオンモール鈴鹿2F</t>
    <rPh sb="11" eb="13">
      <t>スズカ</t>
    </rPh>
    <phoneticPr fontId="2"/>
  </si>
  <si>
    <t>イオン四日市尾平店</t>
    <rPh sb="3" eb="6">
      <t>ヨッカイチ</t>
    </rPh>
    <rPh sb="6" eb="8">
      <t>オビラ</t>
    </rPh>
    <rPh sb="8" eb="9">
      <t>テン</t>
    </rPh>
    <phoneticPr fontId="2"/>
  </si>
  <si>
    <t>512-0921</t>
    <phoneticPr fontId="2"/>
  </si>
  <si>
    <t>天王川原1805イオン四日市尾平店1F</t>
    <rPh sb="0" eb="2">
      <t>テンノウ</t>
    </rPh>
    <rPh sb="2" eb="3">
      <t>カワ</t>
    </rPh>
    <rPh sb="3" eb="4">
      <t>ハラ</t>
    </rPh>
    <rPh sb="11" eb="14">
      <t>ヨッカイチ</t>
    </rPh>
    <rPh sb="14" eb="16">
      <t>オビラ</t>
    </rPh>
    <rPh sb="16" eb="17">
      <t>テン</t>
    </rPh>
    <phoneticPr fontId="2"/>
  </si>
  <si>
    <t>梅田ロフト店</t>
    <rPh sb="0" eb="2">
      <t>ウメダ</t>
    </rPh>
    <rPh sb="5" eb="6">
      <t>テン</t>
    </rPh>
    <phoneticPr fontId="2"/>
  </si>
  <si>
    <t>530-0013</t>
    <phoneticPr fontId="2"/>
  </si>
  <si>
    <t>16-7梅田ロフト8F</t>
    <rPh sb="4" eb="6">
      <t>ウメダ</t>
    </rPh>
    <phoneticPr fontId="2"/>
  </si>
  <si>
    <t>1-6-1キューズモールQ-337</t>
    <phoneticPr fontId="2"/>
  </si>
  <si>
    <t>イオンモール大日店</t>
    <rPh sb="6" eb="8">
      <t>ダイニチ</t>
    </rPh>
    <rPh sb="8" eb="9">
      <t>テン</t>
    </rPh>
    <phoneticPr fontId="2"/>
  </si>
  <si>
    <t>570-0016</t>
    <phoneticPr fontId="2"/>
  </si>
  <si>
    <t>1-18イオンモール大日3F</t>
    <rPh sb="10" eb="12">
      <t>ダイニチ</t>
    </rPh>
    <phoneticPr fontId="2"/>
  </si>
  <si>
    <t>くずはモール店</t>
    <rPh sb="6" eb="7">
      <t>テン</t>
    </rPh>
    <phoneticPr fontId="2"/>
  </si>
  <si>
    <t>573-1121</t>
    <phoneticPr fontId="2"/>
  </si>
  <si>
    <t>10-85くずはモール南館2階</t>
    <rPh sb="11" eb="12">
      <t>ミナミ</t>
    </rPh>
    <rPh sb="12" eb="13">
      <t>カン</t>
    </rPh>
    <rPh sb="14" eb="15">
      <t>カイ</t>
    </rPh>
    <phoneticPr fontId="2"/>
  </si>
  <si>
    <t>TSK</t>
    <phoneticPr fontId="2"/>
  </si>
  <si>
    <t>179-0076</t>
    <phoneticPr fontId="2"/>
  </si>
  <si>
    <t>3-27-16</t>
    <phoneticPr fontId="2"/>
  </si>
  <si>
    <t>りんくうプレミアム・アウトレット店</t>
    <rPh sb="16" eb="17">
      <t>テン</t>
    </rPh>
    <phoneticPr fontId="2"/>
  </si>
  <si>
    <t>598-0047</t>
    <phoneticPr fontId="2"/>
  </si>
  <si>
    <t>3-28りんくうプレミアム・アウトレット2150</t>
    <phoneticPr fontId="2"/>
  </si>
  <si>
    <t>イオンモールりんくう泉南店</t>
    <rPh sb="10" eb="12">
      <t>センナン</t>
    </rPh>
    <rPh sb="12" eb="13">
      <t>テン</t>
    </rPh>
    <phoneticPr fontId="2"/>
  </si>
  <si>
    <t>590-0535</t>
    <phoneticPr fontId="2"/>
  </si>
  <si>
    <t>イオンモールりんくう泉南2F</t>
    <rPh sb="10" eb="12">
      <t>センナン</t>
    </rPh>
    <phoneticPr fontId="2"/>
  </si>
  <si>
    <t>650-0021</t>
    <phoneticPr fontId="2"/>
  </si>
  <si>
    <t>1-5-26ビブレ三宮店5F</t>
    <rPh sb="9" eb="11">
      <t>サンノミヤ</t>
    </rPh>
    <rPh sb="11" eb="12">
      <t>テン</t>
    </rPh>
    <phoneticPr fontId="2"/>
  </si>
  <si>
    <t>663-8178</t>
    <phoneticPr fontId="2"/>
  </si>
  <si>
    <t>1-100ららぽーと甲子園2F</t>
    <rPh sb="10" eb="13">
      <t>コウシエン</t>
    </rPh>
    <phoneticPr fontId="2"/>
  </si>
  <si>
    <t>664-0027</t>
    <phoneticPr fontId="2"/>
  </si>
  <si>
    <t>4-1-1イオンモール伊丹昆陽1F</t>
    <rPh sb="11" eb="13">
      <t>イタミ</t>
    </rPh>
    <rPh sb="13" eb="15">
      <t>コンヨウ</t>
    </rPh>
    <phoneticPr fontId="2"/>
  </si>
  <si>
    <t>651-1515</t>
    <phoneticPr fontId="2"/>
  </si>
  <si>
    <t>8-1-1イオンモール神戸北3F</t>
    <rPh sb="11" eb="13">
      <t>コウベ</t>
    </rPh>
    <rPh sb="13" eb="14">
      <t>キタ</t>
    </rPh>
    <phoneticPr fontId="2"/>
  </si>
  <si>
    <t>672-8064</t>
    <phoneticPr fontId="2"/>
  </si>
  <si>
    <t>520イオンモール姫路リバーシティ3F</t>
    <rPh sb="9" eb="11">
      <t>ヒメジ</t>
    </rPh>
    <phoneticPr fontId="2"/>
  </si>
  <si>
    <t>606-8103</t>
    <phoneticPr fontId="2"/>
  </si>
  <si>
    <t>36カナート洛北2F</t>
    <rPh sb="6" eb="8">
      <t>ラクホク</t>
    </rPh>
    <phoneticPr fontId="2"/>
  </si>
  <si>
    <t>520-0806</t>
    <phoneticPr fontId="2"/>
  </si>
  <si>
    <t>14-30大津パルコ5F</t>
    <rPh sb="5" eb="7">
      <t>オオツ</t>
    </rPh>
    <phoneticPr fontId="2"/>
  </si>
  <si>
    <t>大津パルコ店</t>
    <rPh sb="0" eb="2">
      <t>オオツ</t>
    </rPh>
    <rPh sb="5" eb="6">
      <t>テン</t>
    </rPh>
    <phoneticPr fontId="2"/>
  </si>
  <si>
    <t>京都カナート店</t>
    <rPh sb="0" eb="2">
      <t>キョウト</t>
    </rPh>
    <rPh sb="6" eb="7">
      <t>テン</t>
    </rPh>
    <phoneticPr fontId="2"/>
  </si>
  <si>
    <t>イオンモール姫路リバーシティ店</t>
    <rPh sb="6" eb="8">
      <t>ヒメジ</t>
    </rPh>
    <rPh sb="14" eb="15">
      <t>テン</t>
    </rPh>
    <phoneticPr fontId="2"/>
  </si>
  <si>
    <t>イオンモール神戸北店</t>
    <rPh sb="6" eb="8">
      <t>コウベ</t>
    </rPh>
    <rPh sb="8" eb="9">
      <t>キタ</t>
    </rPh>
    <rPh sb="9" eb="10">
      <t>テン</t>
    </rPh>
    <phoneticPr fontId="2"/>
  </si>
  <si>
    <t>イオンモール伊丹昆陽店</t>
    <rPh sb="6" eb="8">
      <t>イタミ</t>
    </rPh>
    <rPh sb="8" eb="10">
      <t>コンヨウ</t>
    </rPh>
    <rPh sb="10" eb="11">
      <t>テン</t>
    </rPh>
    <phoneticPr fontId="2"/>
  </si>
  <si>
    <t>ららぽーと甲子園店</t>
    <rPh sb="5" eb="8">
      <t>コウシエン</t>
    </rPh>
    <rPh sb="8" eb="9">
      <t>テン</t>
    </rPh>
    <phoneticPr fontId="2"/>
  </si>
  <si>
    <t>神戸三宮店</t>
    <rPh sb="0" eb="2">
      <t>コウベ</t>
    </rPh>
    <rPh sb="2" eb="4">
      <t>サンノミヤ</t>
    </rPh>
    <rPh sb="4" eb="5">
      <t>テン</t>
    </rPh>
    <phoneticPr fontId="2"/>
  </si>
  <si>
    <t>イオンモール草津店</t>
    <rPh sb="6" eb="8">
      <t>クサツ</t>
    </rPh>
    <rPh sb="8" eb="9">
      <t>テン</t>
    </rPh>
    <phoneticPr fontId="2"/>
  </si>
  <si>
    <t>525-0067</t>
    <phoneticPr fontId="2"/>
  </si>
  <si>
    <t>300イオンモール草津3F</t>
    <rPh sb="9" eb="11">
      <t>クサツ</t>
    </rPh>
    <phoneticPr fontId="2"/>
  </si>
  <si>
    <t>奈良店</t>
    <rPh sb="0" eb="2">
      <t>ナラ</t>
    </rPh>
    <rPh sb="2" eb="3">
      <t>テン</t>
    </rPh>
    <phoneticPr fontId="2"/>
  </si>
  <si>
    <t>630-8012</t>
    <phoneticPr fontId="2"/>
  </si>
  <si>
    <t>1-3-1イトーヨーカ堂奈良店4F</t>
    <rPh sb="11" eb="12">
      <t>ドウ</t>
    </rPh>
    <rPh sb="12" eb="14">
      <t>ナラ</t>
    </rPh>
    <rPh sb="14" eb="15">
      <t>テン</t>
    </rPh>
    <phoneticPr fontId="2"/>
  </si>
  <si>
    <t>イオンモール橿原店</t>
    <rPh sb="6" eb="8">
      <t>カシハラ</t>
    </rPh>
    <rPh sb="8" eb="9">
      <t>テン</t>
    </rPh>
    <phoneticPr fontId="2"/>
  </si>
  <si>
    <t>634-0837</t>
    <phoneticPr fontId="2"/>
  </si>
  <si>
    <t>7-20-1イオンモール橿原3F</t>
    <rPh sb="13" eb="15">
      <t>カシハラ</t>
    </rPh>
    <phoneticPr fontId="2"/>
  </si>
  <si>
    <t>イオンモール和歌山店</t>
    <rPh sb="6" eb="9">
      <t>ワカヤマ</t>
    </rPh>
    <rPh sb="9" eb="10">
      <t>テン</t>
    </rPh>
    <phoneticPr fontId="2"/>
  </si>
  <si>
    <t>640-8451</t>
    <phoneticPr fontId="2"/>
  </si>
  <si>
    <t>字楠谷573番地イオンモール和歌山2F</t>
    <rPh sb="0" eb="1">
      <t>アザ</t>
    </rPh>
    <rPh sb="1" eb="2">
      <t>クス</t>
    </rPh>
    <rPh sb="2" eb="3">
      <t>タニ</t>
    </rPh>
    <rPh sb="6" eb="8">
      <t>バンチ</t>
    </rPh>
    <rPh sb="14" eb="17">
      <t>ワカヤマ</t>
    </rPh>
    <phoneticPr fontId="2"/>
  </si>
  <si>
    <t>イオンモール日吉津店</t>
    <rPh sb="7" eb="8">
      <t>ヒ</t>
    </rPh>
    <rPh sb="8" eb="9">
      <t>ヨシ</t>
    </rPh>
    <rPh sb="9" eb="10">
      <t>ツテン</t>
    </rPh>
    <phoneticPr fontId="2"/>
  </si>
  <si>
    <t>689-3553</t>
    <phoneticPr fontId="2"/>
  </si>
  <si>
    <t>1160-1イオンモール日吉津　西館1F</t>
    <rPh sb="12" eb="13">
      <t>ヒ</t>
    </rPh>
    <rPh sb="13" eb="14">
      <t>ヨシ</t>
    </rPh>
    <rPh sb="14" eb="15">
      <t>ツ</t>
    </rPh>
    <rPh sb="16" eb="18">
      <t>ニシカン</t>
    </rPh>
    <phoneticPr fontId="2"/>
  </si>
  <si>
    <t>イオンモール倉敷店</t>
    <rPh sb="6" eb="8">
      <t>クラシキ</t>
    </rPh>
    <rPh sb="8" eb="9">
      <t>テン</t>
    </rPh>
    <phoneticPr fontId="2"/>
  </si>
  <si>
    <t>710-0802</t>
    <phoneticPr fontId="2"/>
  </si>
  <si>
    <t>1番地イオンモール倉敷2F</t>
    <rPh sb="1" eb="3">
      <t>バンチ</t>
    </rPh>
    <rPh sb="9" eb="11">
      <t>クラシキ</t>
    </rPh>
    <phoneticPr fontId="2"/>
  </si>
  <si>
    <t>広島パルコ店</t>
    <rPh sb="0" eb="2">
      <t>ヒロシマ</t>
    </rPh>
    <rPh sb="5" eb="6">
      <t>テン</t>
    </rPh>
    <phoneticPr fontId="2"/>
  </si>
  <si>
    <t>730-0035</t>
    <phoneticPr fontId="2"/>
  </si>
  <si>
    <t>10-1広島パルコ本店9F</t>
    <rPh sb="4" eb="6">
      <t>ヒロシマ</t>
    </rPh>
    <rPh sb="9" eb="11">
      <t>ホンテン</t>
    </rPh>
    <phoneticPr fontId="2"/>
  </si>
  <si>
    <t>イオンモール広島府中店</t>
    <rPh sb="6" eb="8">
      <t>ヒロシマ</t>
    </rPh>
    <rPh sb="8" eb="10">
      <t>フチュウ</t>
    </rPh>
    <rPh sb="10" eb="11">
      <t>テン</t>
    </rPh>
    <phoneticPr fontId="2"/>
  </si>
  <si>
    <t>735-0021</t>
    <phoneticPr fontId="2"/>
  </si>
  <si>
    <t>2丁目1-1イオンモール広島府中1F</t>
    <rPh sb="1" eb="3">
      <t>チョウメ</t>
    </rPh>
    <rPh sb="12" eb="14">
      <t>ヒロシマ</t>
    </rPh>
    <rPh sb="14" eb="16">
      <t>フチュウ</t>
    </rPh>
    <phoneticPr fontId="2"/>
  </si>
  <si>
    <t>イオンモール広島祇園店</t>
    <rPh sb="6" eb="8">
      <t>ヒロシマ</t>
    </rPh>
    <rPh sb="8" eb="10">
      <t>ギオン</t>
    </rPh>
    <rPh sb="10" eb="11">
      <t>テン</t>
    </rPh>
    <phoneticPr fontId="2"/>
  </si>
  <si>
    <t>731-0138</t>
    <phoneticPr fontId="2"/>
  </si>
  <si>
    <t>3-2-1-230イオンモール広島祇園2F</t>
    <rPh sb="15" eb="17">
      <t>ヒロシマ</t>
    </rPh>
    <rPh sb="17" eb="19">
      <t>ギオン</t>
    </rPh>
    <phoneticPr fontId="2"/>
  </si>
  <si>
    <t>イオンモール綾川店</t>
    <rPh sb="7" eb="9">
      <t>アヤカワテン</t>
    </rPh>
    <phoneticPr fontId="2"/>
  </si>
  <si>
    <t>761-2304</t>
    <phoneticPr fontId="2"/>
  </si>
  <si>
    <t>822-1イオンモール綾川2F</t>
    <rPh sb="11" eb="13">
      <t>アヤカワ</t>
    </rPh>
    <phoneticPr fontId="2"/>
  </si>
  <si>
    <t>エミフルMASAKI店</t>
    <rPh sb="10" eb="11">
      <t>テン</t>
    </rPh>
    <phoneticPr fontId="2"/>
  </si>
  <si>
    <t>791-3120</t>
    <phoneticPr fontId="2"/>
  </si>
  <si>
    <t>850エミフルMASAKI1F</t>
    <phoneticPr fontId="2"/>
  </si>
  <si>
    <t>アミュプラザ博多店</t>
    <rPh sb="6" eb="8">
      <t>ハカタ</t>
    </rPh>
    <rPh sb="8" eb="9">
      <t>テン</t>
    </rPh>
    <phoneticPr fontId="2"/>
  </si>
  <si>
    <t>812-0012</t>
    <phoneticPr fontId="2"/>
  </si>
  <si>
    <t>1-1JR博多シティ　アミュプラザ7F</t>
    <rPh sb="5" eb="7">
      <t>ハカタ</t>
    </rPh>
    <phoneticPr fontId="2"/>
  </si>
  <si>
    <t>810-0001</t>
    <phoneticPr fontId="2"/>
  </si>
  <si>
    <t>1-7-11福岡イムズ5F</t>
    <rPh sb="7" eb="9">
      <t>フクオカ</t>
    </rPh>
    <phoneticPr fontId="2"/>
  </si>
  <si>
    <t>イオンモール福岡店</t>
    <rPh sb="6" eb="8">
      <t>フクオカ</t>
    </rPh>
    <rPh sb="8" eb="9">
      <t>テン</t>
    </rPh>
    <phoneticPr fontId="2"/>
  </si>
  <si>
    <t>811-2303</t>
    <phoneticPr fontId="2"/>
  </si>
  <si>
    <t>字老ノ気192-1イオンモール福岡　2F</t>
    <rPh sb="0" eb="1">
      <t>アザ</t>
    </rPh>
    <rPh sb="1" eb="2">
      <t>オ</t>
    </rPh>
    <rPh sb="3" eb="4">
      <t>キ</t>
    </rPh>
    <rPh sb="15" eb="17">
      <t>フクオカ</t>
    </rPh>
    <phoneticPr fontId="2"/>
  </si>
  <si>
    <t>小倉リバーウォーク店</t>
    <rPh sb="0" eb="2">
      <t>コクラ</t>
    </rPh>
    <rPh sb="9" eb="10">
      <t>テン</t>
    </rPh>
    <phoneticPr fontId="2"/>
  </si>
  <si>
    <t>803-0812</t>
    <phoneticPr fontId="2"/>
  </si>
  <si>
    <t>1-1-1リバーウォーク北九州3F</t>
    <rPh sb="12" eb="15">
      <t>キタキュウシュウ</t>
    </rPh>
    <phoneticPr fontId="2"/>
  </si>
  <si>
    <t>イオンモール直方店</t>
    <rPh sb="6" eb="7">
      <t>ナオ</t>
    </rPh>
    <rPh sb="7" eb="8">
      <t>カタ</t>
    </rPh>
    <rPh sb="8" eb="9">
      <t>テン</t>
    </rPh>
    <phoneticPr fontId="2"/>
  </si>
  <si>
    <t>822-0008</t>
    <phoneticPr fontId="2"/>
  </si>
  <si>
    <t>2-1-1イオンモール直方2F</t>
    <rPh sb="11" eb="12">
      <t>ナオ</t>
    </rPh>
    <rPh sb="12" eb="13">
      <t>カタ</t>
    </rPh>
    <phoneticPr fontId="2"/>
  </si>
  <si>
    <t>久留米ゆめタウン店</t>
    <rPh sb="0" eb="3">
      <t>クルメ</t>
    </rPh>
    <rPh sb="8" eb="9">
      <t>テン</t>
    </rPh>
    <phoneticPr fontId="2"/>
  </si>
  <si>
    <t>839-0865</t>
    <phoneticPr fontId="2"/>
  </si>
  <si>
    <t>1-2-1ゆめタウン久留米2F</t>
    <rPh sb="10" eb="13">
      <t>クルメ</t>
    </rPh>
    <phoneticPr fontId="2"/>
  </si>
  <si>
    <t>イオンモール佐賀大和店</t>
    <rPh sb="6" eb="8">
      <t>サガ</t>
    </rPh>
    <rPh sb="8" eb="10">
      <t>ヤマト</t>
    </rPh>
    <rPh sb="10" eb="11">
      <t>テン</t>
    </rPh>
    <phoneticPr fontId="2"/>
  </si>
  <si>
    <t>840-0201</t>
    <phoneticPr fontId="2"/>
  </si>
  <si>
    <t>3535イオンモール佐賀大和2F</t>
    <rPh sb="10" eb="12">
      <t>サガ</t>
    </rPh>
    <rPh sb="12" eb="14">
      <t>ヤマト</t>
    </rPh>
    <phoneticPr fontId="2"/>
  </si>
  <si>
    <t>長崎アミュプラザ店</t>
    <rPh sb="1" eb="3">
      <t>ナガサキテン</t>
    </rPh>
    <phoneticPr fontId="2"/>
  </si>
  <si>
    <t>850-0058</t>
    <phoneticPr fontId="2"/>
  </si>
  <si>
    <t>1-1アミュプラザ長崎4F</t>
    <rPh sb="9" eb="11">
      <t>ナガサキ</t>
    </rPh>
    <phoneticPr fontId="2"/>
  </si>
  <si>
    <t>熊本パルコ店</t>
    <rPh sb="0" eb="2">
      <t>クマモト</t>
    </rPh>
    <rPh sb="5" eb="6">
      <t>テン</t>
    </rPh>
    <phoneticPr fontId="2"/>
  </si>
  <si>
    <t>860-0808</t>
    <phoneticPr fontId="2"/>
  </si>
  <si>
    <t>5-1熊本パルコ8F</t>
    <rPh sb="3" eb="5">
      <t>クマモト</t>
    </rPh>
    <phoneticPr fontId="2"/>
  </si>
  <si>
    <t>イオンモール熊本店</t>
    <rPh sb="6" eb="8">
      <t>クマモト</t>
    </rPh>
    <rPh sb="8" eb="9">
      <t>テン</t>
    </rPh>
    <phoneticPr fontId="2"/>
  </si>
  <si>
    <t>861-3106</t>
    <phoneticPr fontId="2"/>
  </si>
  <si>
    <t>字長池2232イオンモール熊本　1F</t>
    <rPh sb="0" eb="1">
      <t>アザ</t>
    </rPh>
    <rPh sb="1" eb="2">
      <t>ナガ</t>
    </rPh>
    <rPh sb="2" eb="3">
      <t>イケ</t>
    </rPh>
    <rPh sb="13" eb="15">
      <t>クマモト</t>
    </rPh>
    <phoneticPr fontId="2"/>
  </si>
  <si>
    <t>イオンモール宇城店</t>
    <rPh sb="6" eb="7">
      <t>ウ</t>
    </rPh>
    <rPh sb="7" eb="8">
      <t>シロ</t>
    </rPh>
    <rPh sb="8" eb="9">
      <t>テン</t>
    </rPh>
    <phoneticPr fontId="2"/>
  </si>
  <si>
    <t>869-0606</t>
    <phoneticPr fontId="2"/>
  </si>
  <si>
    <t>1-1イオンモール宇城1F</t>
    <rPh sb="9" eb="10">
      <t>ウ</t>
    </rPh>
    <rPh sb="10" eb="11">
      <t>シロ</t>
    </rPh>
    <phoneticPr fontId="2"/>
  </si>
  <si>
    <t>大分フォーラス店</t>
    <rPh sb="0" eb="2">
      <t>オオイタ</t>
    </rPh>
    <rPh sb="7" eb="8">
      <t>テン</t>
    </rPh>
    <phoneticPr fontId="2"/>
  </si>
  <si>
    <t>870-0035</t>
    <phoneticPr fontId="2"/>
  </si>
  <si>
    <t>1-2-7大分フォーラスB1F</t>
    <rPh sb="5" eb="7">
      <t>オオイタ</t>
    </rPh>
    <phoneticPr fontId="2"/>
  </si>
  <si>
    <t>イオンモール宮崎店</t>
    <rPh sb="6" eb="8">
      <t>ミヤザキ</t>
    </rPh>
    <rPh sb="8" eb="9">
      <t>テン</t>
    </rPh>
    <phoneticPr fontId="2"/>
  </si>
  <si>
    <t>880-0834</t>
    <phoneticPr fontId="2"/>
  </si>
  <si>
    <t>江口862-1イオンモール宮崎2F</t>
    <rPh sb="0" eb="2">
      <t>エグチ</t>
    </rPh>
    <rPh sb="13" eb="15">
      <t>ミヤザキ</t>
    </rPh>
    <phoneticPr fontId="2"/>
  </si>
  <si>
    <t>イオンモール都城駅前店</t>
    <rPh sb="6" eb="8">
      <t>ミヤコノジョウ</t>
    </rPh>
    <rPh sb="8" eb="10">
      <t>エキマエ</t>
    </rPh>
    <rPh sb="10" eb="11">
      <t>テン</t>
    </rPh>
    <phoneticPr fontId="2"/>
  </si>
  <si>
    <t>885-0023</t>
    <phoneticPr fontId="2"/>
  </si>
  <si>
    <t>4672-5イオンモール都城駅前店</t>
    <rPh sb="12" eb="14">
      <t>ミヤコノジョウ</t>
    </rPh>
    <rPh sb="14" eb="16">
      <t>エキマエ</t>
    </rPh>
    <rPh sb="16" eb="17">
      <t>テン</t>
    </rPh>
    <phoneticPr fontId="2"/>
  </si>
  <si>
    <t>鹿児島アミュプラザ店</t>
    <rPh sb="0" eb="3">
      <t>カゴシマ</t>
    </rPh>
    <rPh sb="9" eb="10">
      <t>テン</t>
    </rPh>
    <phoneticPr fontId="2"/>
  </si>
  <si>
    <t>890-0053</t>
    <phoneticPr fontId="2"/>
  </si>
  <si>
    <t>1-1アミュプラザ鹿児島4F</t>
    <rPh sb="9" eb="12">
      <t>カゴシマ</t>
    </rPh>
    <phoneticPr fontId="2"/>
  </si>
  <si>
    <t>店ID</t>
    <rPh sb="0" eb="1">
      <t>ミセ</t>
    </rPh>
    <phoneticPr fontId="2"/>
  </si>
  <si>
    <t>店名</t>
    <rPh sb="0" eb="2">
      <t>テンメイ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</si>
  <si>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</si>
  <si>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</si>
  <si>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</si>
  <si>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山野楽器</t>
    <rPh sb="0" eb="2">
      <t>ヤマノ</t>
    </rPh>
    <rPh sb="2" eb="4">
      <t>ガッキ</t>
    </rPh>
    <phoneticPr fontId="2"/>
  </si>
  <si>
    <t>L00</t>
    <phoneticPr fontId="2"/>
  </si>
  <si>
    <t>経理部</t>
    <rPh sb="0" eb="3">
      <t>ケイリブ</t>
    </rPh>
    <phoneticPr fontId="2"/>
  </si>
  <si>
    <t>L01</t>
    <phoneticPr fontId="2"/>
  </si>
  <si>
    <t>ロックイン新宿A館</t>
    <rPh sb="5" eb="7">
      <t>シンジュク</t>
    </rPh>
    <rPh sb="8" eb="9">
      <t>カン</t>
    </rPh>
    <phoneticPr fontId="2"/>
  </si>
  <si>
    <t>店ID</t>
    <rPh sb="0" eb="1">
      <t>ミセ</t>
    </rPh>
    <phoneticPr fontId="2"/>
  </si>
  <si>
    <t>店名</t>
    <rPh sb="0" eb="2">
      <t>テンメイ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</si>
  <si>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</si>
  <si>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</si>
  <si>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</si>
  <si>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パン・プロジェクト</t>
    <phoneticPr fontId="2"/>
  </si>
  <si>
    <t>M00</t>
    <phoneticPr fontId="2"/>
  </si>
  <si>
    <t>本社</t>
    <rPh sb="0" eb="2">
      <t>ホンシャ</t>
    </rPh>
    <phoneticPr fontId="2"/>
  </si>
  <si>
    <t>あぽろん</t>
    <phoneticPr fontId="2"/>
  </si>
  <si>
    <t>N00</t>
    <phoneticPr fontId="2"/>
  </si>
  <si>
    <t>　住所2</t>
    <rPh sb="1" eb="3">
      <t>ジュウショ</t>
    </rPh>
    <phoneticPr fontId="2"/>
  </si>
  <si>
    <t>すみやグッディ</t>
    <phoneticPr fontId="2"/>
  </si>
  <si>
    <t>O00</t>
    <phoneticPr fontId="2"/>
  </si>
  <si>
    <t>平野楽器ロッキン</t>
    <rPh sb="0" eb="2">
      <t>ヒラノ</t>
    </rPh>
    <rPh sb="2" eb="4">
      <t>ガッキ</t>
    </rPh>
    <phoneticPr fontId="2"/>
  </si>
  <si>
    <t>P00</t>
    <phoneticPr fontId="2"/>
  </si>
  <si>
    <t>店ID</t>
    <rPh sb="0" eb="1">
      <t>ミセ</t>
    </rPh>
    <phoneticPr fontId="2"/>
  </si>
  <si>
    <t>店名</t>
    <rPh sb="0" eb="2">
      <t>テンメイ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</si>
  <si>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</si>
  <si>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</si>
  <si>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</si>
  <si>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Q00</t>
    <phoneticPr fontId="2"/>
  </si>
  <si>
    <t xml:space="preserve">JEUGIA </t>
    <phoneticPr fontId="2"/>
  </si>
  <si>
    <t>店ID</t>
    <rPh sb="0" eb="1">
      <t>テン</t>
    </rPh>
    <phoneticPr fontId="2"/>
  </si>
  <si>
    <t>三木楽器</t>
    <rPh sb="0" eb="2">
      <t>ミキ</t>
    </rPh>
    <rPh sb="2" eb="4">
      <t>ガッキ</t>
    </rPh>
    <phoneticPr fontId="2"/>
  </si>
  <si>
    <t>R00</t>
    <phoneticPr fontId="2"/>
  </si>
  <si>
    <t>S00</t>
    <phoneticPr fontId="2"/>
  </si>
  <si>
    <t>T00</t>
    <phoneticPr fontId="2"/>
  </si>
  <si>
    <t>ワタナベ楽器</t>
    <rPh sb="4" eb="6">
      <t>ガッキ</t>
    </rPh>
    <phoneticPr fontId="2"/>
  </si>
  <si>
    <t>店ID</t>
    <rPh sb="1" eb="2">
      <t>テン</t>
    </rPh>
    <phoneticPr fontId="2"/>
  </si>
  <si>
    <t>U00</t>
    <phoneticPr fontId="2"/>
  </si>
  <si>
    <t>330-0846</t>
    <phoneticPr fontId="2"/>
  </si>
  <si>
    <t>2-92</t>
    <phoneticPr fontId="2"/>
  </si>
  <si>
    <t>344-0067</t>
    <phoneticPr fontId="2"/>
  </si>
  <si>
    <t>1丁目44-10</t>
    <rPh sb="1" eb="3">
      <t>チョウメ</t>
    </rPh>
    <phoneticPr fontId="2"/>
  </si>
  <si>
    <t>339-0057</t>
    <phoneticPr fontId="2"/>
  </si>
  <si>
    <t>3-2-5 岩槻ワッツ東館2F</t>
    <rPh sb="7" eb="9">
      <t>イワツキ</t>
    </rPh>
    <rPh sb="12" eb="13">
      <t>ヒガシ</t>
    </rPh>
    <rPh sb="13" eb="14">
      <t>カン</t>
    </rPh>
    <phoneticPr fontId="2"/>
  </si>
  <si>
    <t>(株)下倉楽器</t>
    <rPh sb="1" eb="4">
      <t>カブ</t>
    </rPh>
    <rPh sb="4" eb="6">
      <t>シモクラガッキ</t>
    </rPh>
    <phoneticPr fontId="2"/>
  </si>
  <si>
    <t>下倉楽器</t>
  </si>
  <si>
    <t>(株)PGM</t>
    <rPh sb="0" eb="3">
      <t>カブ</t>
    </rPh>
    <phoneticPr fontId="2"/>
  </si>
  <si>
    <t>355-0332</t>
    <phoneticPr fontId="2"/>
  </si>
  <si>
    <t>64-1</t>
    <phoneticPr fontId="2"/>
  </si>
  <si>
    <t>(株)昭和楽器</t>
    <rPh sb="1" eb="4">
      <t>カブ</t>
    </rPh>
    <rPh sb="4" eb="6">
      <t>ショウワガッキ</t>
    </rPh>
    <phoneticPr fontId="2"/>
  </si>
  <si>
    <t>昭和楽器</t>
  </si>
  <si>
    <t>(株)宮地商会</t>
    <rPh sb="1" eb="4">
      <t>カブ</t>
    </rPh>
    <rPh sb="4" eb="6">
      <t>ミヤジショウカイ</t>
    </rPh>
    <phoneticPr fontId="2"/>
  </si>
  <si>
    <t>RK</t>
    <phoneticPr fontId="2"/>
  </si>
  <si>
    <t>山野楽器</t>
    <rPh sb="0" eb="2">
      <t>ヤマノ</t>
    </rPh>
    <rPh sb="2" eb="4">
      <t>ガッキ</t>
    </rPh>
    <phoneticPr fontId="2"/>
  </si>
  <si>
    <t>あぽろん</t>
    <phoneticPr fontId="2"/>
  </si>
  <si>
    <t>小阪楽器</t>
    <rPh sb="1" eb="3">
      <t>コサカガッキ</t>
    </rPh>
    <phoneticPr fontId="2"/>
  </si>
  <si>
    <t>JEUGIA</t>
    <phoneticPr fontId="2"/>
  </si>
  <si>
    <t>三木楽器</t>
    <rPh sb="0" eb="2">
      <t>ミキ</t>
    </rPh>
    <rPh sb="2" eb="4">
      <t>ガッキ</t>
    </rPh>
    <phoneticPr fontId="2"/>
  </si>
  <si>
    <t>ワタナベ楽器</t>
    <rPh sb="4" eb="6">
      <t>ガッキ</t>
    </rPh>
    <phoneticPr fontId="2"/>
  </si>
  <si>
    <t>（株）ミュージックランド</t>
  </si>
  <si>
    <t>（株）山野楽器 経理部</t>
  </si>
  <si>
    <t>神田商会</t>
    <rPh sb="0" eb="2">
      <t>カンダ</t>
    </rPh>
    <rPh sb="2" eb="4">
      <t>ショウカイ</t>
    </rPh>
    <phoneticPr fontId="2"/>
  </si>
  <si>
    <t>(株)PGM</t>
  </si>
  <si>
    <t>代引</t>
    <rPh sb="0" eb="2">
      <t>ダイビ</t>
    </rPh>
    <phoneticPr fontId="2"/>
  </si>
  <si>
    <t>M01</t>
    <phoneticPr fontId="2"/>
  </si>
  <si>
    <t>M02</t>
    <phoneticPr fontId="2"/>
  </si>
  <si>
    <t>N01</t>
  </si>
  <si>
    <t>N02</t>
  </si>
  <si>
    <t>N03</t>
  </si>
  <si>
    <t>N04</t>
  </si>
  <si>
    <t>N05</t>
  </si>
  <si>
    <t>O01</t>
  </si>
  <si>
    <t>O02</t>
  </si>
  <si>
    <t>O03</t>
  </si>
  <si>
    <t>P01</t>
  </si>
  <si>
    <t>P02</t>
  </si>
  <si>
    <t>P03</t>
  </si>
  <si>
    <t>Q01</t>
  </si>
  <si>
    <t>Q02</t>
  </si>
  <si>
    <t>R01</t>
  </si>
  <si>
    <t>R02</t>
  </si>
  <si>
    <t>R03</t>
  </si>
  <si>
    <t>S01</t>
  </si>
  <si>
    <t>S02</t>
  </si>
  <si>
    <t>S03</t>
  </si>
  <si>
    <t>T01</t>
  </si>
  <si>
    <t>T02</t>
  </si>
  <si>
    <t>U01</t>
  </si>
  <si>
    <t>U02</t>
  </si>
  <si>
    <t>大阪店</t>
    <rPh sb="0" eb="2">
      <t>オオサカ</t>
    </rPh>
    <rPh sb="2" eb="3">
      <t>テン</t>
    </rPh>
    <phoneticPr fontId="2"/>
  </si>
  <si>
    <t>心斎橋店</t>
    <rPh sb="0" eb="3">
      <t>シンサイバシ</t>
    </rPh>
    <rPh sb="3" eb="4">
      <t>テン</t>
    </rPh>
    <phoneticPr fontId="2"/>
  </si>
  <si>
    <t>アメリカ村店</t>
    <rPh sb="4" eb="5">
      <t>ムラ</t>
    </rPh>
    <rPh sb="5" eb="6">
      <t>テン</t>
    </rPh>
    <phoneticPr fontId="2"/>
  </si>
  <si>
    <t>三条ステージ店</t>
    <rPh sb="0" eb="2">
      <t>サンジョウ</t>
    </rPh>
    <rPh sb="6" eb="7">
      <t>テン</t>
    </rPh>
    <phoneticPr fontId="2"/>
  </si>
  <si>
    <t>京都本店</t>
    <rPh sb="0" eb="2">
      <t>キョウト</t>
    </rPh>
    <rPh sb="2" eb="4">
      <t>ホンテン</t>
    </rPh>
    <phoneticPr fontId="2"/>
  </si>
  <si>
    <t>八尾店</t>
    <rPh sb="0" eb="2">
      <t>ヤオ</t>
    </rPh>
    <rPh sb="2" eb="3">
      <t>テン</t>
    </rPh>
    <phoneticPr fontId="2"/>
  </si>
  <si>
    <t>本社</t>
    <rPh sb="0" eb="2">
      <t>ホンシャ</t>
    </rPh>
    <phoneticPr fontId="2"/>
  </si>
  <si>
    <t>新潟店</t>
    <rPh sb="0" eb="2">
      <t>ニイガタ</t>
    </rPh>
    <rPh sb="2" eb="3">
      <t>テン</t>
    </rPh>
    <phoneticPr fontId="2"/>
  </si>
  <si>
    <t>新潟西店</t>
    <rPh sb="0" eb="2">
      <t>ニイガタ</t>
    </rPh>
    <rPh sb="2" eb="3">
      <t>ニシ</t>
    </rPh>
    <rPh sb="3" eb="4">
      <t>テン</t>
    </rPh>
    <phoneticPr fontId="2"/>
  </si>
  <si>
    <t>小金井店</t>
    <rPh sb="0" eb="3">
      <t>コガネイ</t>
    </rPh>
    <rPh sb="3" eb="4">
      <t>テン</t>
    </rPh>
    <phoneticPr fontId="2"/>
  </si>
  <si>
    <t>イオンモール高崎店</t>
    <rPh sb="7" eb="9">
      <t>タカサキテン</t>
    </rPh>
    <phoneticPr fontId="2"/>
  </si>
  <si>
    <t>機種名</t>
    <rPh sb="0" eb="3">
      <t>キシュメイ</t>
    </rPh>
    <phoneticPr fontId="2"/>
  </si>
  <si>
    <t>1月</t>
    <rPh sb="1" eb="2">
      <t>ガツ</t>
    </rPh>
    <phoneticPr fontId="2"/>
  </si>
  <si>
    <t>TE</t>
  </si>
  <si>
    <t>AT</t>
  </si>
  <si>
    <t>JJ-5</t>
  </si>
  <si>
    <t>DJB-4</t>
  </si>
  <si>
    <t>DJB-5</t>
  </si>
  <si>
    <t>JB-4 C</t>
  </si>
  <si>
    <t>JB-5 C</t>
  </si>
  <si>
    <t>JB-5 A</t>
  </si>
  <si>
    <t>PB-4</t>
  </si>
  <si>
    <t>PB-5</t>
  </si>
  <si>
    <t>CLIMB-5</t>
  </si>
  <si>
    <t>CLIMB-6</t>
  </si>
  <si>
    <t>AC-1B</t>
  </si>
  <si>
    <t>CASE</t>
  </si>
  <si>
    <t>STRAP</t>
  </si>
  <si>
    <t>パーツ</t>
  </si>
  <si>
    <t>RK</t>
  </si>
  <si>
    <t>年合計</t>
    <rPh sb="0" eb="1">
      <t>ネン</t>
    </rPh>
    <rPh sb="1" eb="3">
      <t>ゴウケイ</t>
    </rPh>
    <phoneticPr fontId="2"/>
  </si>
  <si>
    <t>月合計</t>
    <rPh sb="0" eb="1">
      <t>ツキ</t>
    </rPh>
    <rPh sb="1" eb="3">
      <t>ゴウケイ</t>
    </rPh>
    <phoneticPr fontId="2"/>
  </si>
  <si>
    <t>L02</t>
    <phoneticPr fontId="2"/>
  </si>
  <si>
    <t>浦和美園店</t>
    <rPh sb="0" eb="2">
      <t>ウラワ</t>
    </rPh>
    <rPh sb="2" eb="4">
      <t>ミソノ</t>
    </rPh>
    <rPh sb="4" eb="5">
      <t>テン</t>
    </rPh>
    <phoneticPr fontId="2"/>
  </si>
  <si>
    <t>S04</t>
    <phoneticPr fontId="2"/>
  </si>
  <si>
    <t>MS稲毛海岸</t>
    <rPh sb="2" eb="4">
      <t>イナゲ</t>
    </rPh>
    <rPh sb="4" eb="6">
      <t>カイガン</t>
    </rPh>
    <phoneticPr fontId="2"/>
  </si>
  <si>
    <t>K25</t>
    <phoneticPr fontId="2"/>
  </si>
  <si>
    <t>VD</t>
    <phoneticPr fontId="2"/>
  </si>
  <si>
    <t>K26</t>
    <phoneticPr fontId="2"/>
  </si>
  <si>
    <t>DST</t>
    <phoneticPr fontId="2"/>
  </si>
  <si>
    <t>大東楽器</t>
    <rPh sb="0" eb="2">
      <t>ダイトウ</t>
    </rPh>
    <rPh sb="2" eb="4">
      <t>ガッキ</t>
    </rPh>
    <phoneticPr fontId="2"/>
  </si>
  <si>
    <t>(株)イー・エス・ピー</t>
    <rPh sb="1" eb="4">
      <t>カブ</t>
    </rPh>
    <phoneticPr fontId="2"/>
  </si>
  <si>
    <t>イー・エス・ピー</t>
    <phoneticPr fontId="2"/>
  </si>
  <si>
    <t>パン・プロジェクト</t>
  </si>
  <si>
    <t>平野楽器ロッキン</t>
    <rPh sb="0" eb="1">
      <t>ヒラノ</t>
    </rPh>
    <rPh sb="1" eb="3">
      <t>ガッキ</t>
    </rPh>
    <phoneticPr fontId="2"/>
  </si>
  <si>
    <t>小阪楽器</t>
    <rPh sb="1" eb="3">
      <t>コサカガッキ</t>
    </rPh>
    <phoneticPr fontId="2"/>
  </si>
  <si>
    <t>大東楽器</t>
    <rPh sb="1" eb="3">
      <t>ダイトウガッキ</t>
    </rPh>
    <phoneticPr fontId="2"/>
  </si>
  <si>
    <t>1207</t>
    <phoneticPr fontId="2"/>
  </si>
  <si>
    <t>宮地楽器</t>
    <rPh sb="2" eb="4">
      <t>ガッキ</t>
    </rPh>
    <phoneticPr fontId="2"/>
  </si>
  <si>
    <t>（株）ミュージックランド</t>
    <rPh sb="1" eb="4">
      <t>カブ</t>
    </rPh>
    <phoneticPr fontId="2"/>
  </si>
  <si>
    <t>ミュージックランド</t>
  </si>
  <si>
    <t>160-0022</t>
    <phoneticPr fontId="2"/>
  </si>
  <si>
    <t>L03</t>
    <phoneticPr fontId="2"/>
  </si>
  <si>
    <t>サウンドクルー柏店</t>
    <rPh sb="7" eb="8">
      <t>カシワ</t>
    </rPh>
    <rPh sb="8" eb="9">
      <t>テン</t>
    </rPh>
    <phoneticPr fontId="2"/>
  </si>
  <si>
    <t>D121</t>
    <phoneticPr fontId="2"/>
  </si>
  <si>
    <t>幕張店</t>
    <rPh sb="0" eb="2">
      <t>マクハリ</t>
    </rPh>
    <rPh sb="2" eb="3">
      <t>テン</t>
    </rPh>
    <phoneticPr fontId="2"/>
  </si>
  <si>
    <t>JM</t>
    <phoneticPr fontId="2"/>
  </si>
  <si>
    <t>本店</t>
    <rPh sb="0" eb="2">
      <t>ホンテン</t>
    </rPh>
    <phoneticPr fontId="2"/>
  </si>
  <si>
    <t>A05</t>
    <phoneticPr fontId="2"/>
  </si>
  <si>
    <t>1-9-17田万ビル1F</t>
    <rPh sb="7" eb="8">
      <t>タ</t>
    </rPh>
    <rPh sb="8" eb="9">
      <t>マン</t>
    </rPh>
    <phoneticPr fontId="2"/>
  </si>
  <si>
    <t>542-0086</t>
    <phoneticPr fontId="2"/>
  </si>
  <si>
    <t>1-9-17田万ビル3F</t>
    <rPh sb="8" eb="9">
      <t>タ</t>
    </rPh>
    <rPh sb="9" eb="10">
      <t>マン</t>
    </rPh>
    <phoneticPr fontId="2"/>
  </si>
  <si>
    <t>ギタープラネット</t>
    <phoneticPr fontId="2"/>
  </si>
  <si>
    <t>L04</t>
  </si>
  <si>
    <t>ギタースポット</t>
    <phoneticPr fontId="2"/>
  </si>
  <si>
    <t>梅田店</t>
    <rPh sb="0" eb="2">
      <t>ウメダ</t>
    </rPh>
    <rPh sb="2" eb="3">
      <t>テン</t>
    </rPh>
    <phoneticPr fontId="2"/>
  </si>
  <si>
    <t>L05</t>
    <phoneticPr fontId="2"/>
  </si>
  <si>
    <t>銀座本店</t>
    <rPh sb="0" eb="2">
      <t>ギンザ</t>
    </rPh>
    <rPh sb="2" eb="4">
      <t>ホンテン</t>
    </rPh>
    <phoneticPr fontId="2"/>
  </si>
  <si>
    <t>A06</t>
    <phoneticPr fontId="2"/>
  </si>
  <si>
    <t>ハートマンギターズ</t>
    <phoneticPr fontId="2"/>
  </si>
  <si>
    <t>L06</t>
    <phoneticPr fontId="2"/>
  </si>
  <si>
    <t>多摩プラーザ店</t>
    <rPh sb="0" eb="2">
      <t>タマ</t>
    </rPh>
    <rPh sb="6" eb="7">
      <t>テン</t>
    </rPh>
    <phoneticPr fontId="2"/>
  </si>
  <si>
    <t>VD</t>
  </si>
  <si>
    <t>DST</t>
  </si>
  <si>
    <t>JM</t>
  </si>
  <si>
    <t>1221</t>
  </si>
  <si>
    <t>1222</t>
  </si>
  <si>
    <t>1223</t>
  </si>
  <si>
    <t>1224</t>
  </si>
  <si>
    <t>1225</t>
  </si>
  <si>
    <t>D122</t>
    <phoneticPr fontId="2"/>
  </si>
  <si>
    <t>オンラインストア</t>
    <phoneticPr fontId="2"/>
  </si>
  <si>
    <t>261-0023</t>
    <phoneticPr fontId="2"/>
  </si>
  <si>
    <t>1-9-1スターツ幕張ビル12F</t>
    <rPh sb="9" eb="11">
      <t>マクハリ</t>
    </rPh>
    <phoneticPr fontId="2"/>
  </si>
  <si>
    <t>沼津バイパス店</t>
    <rPh sb="0" eb="2">
      <t>ヌマヅ</t>
    </rPh>
    <rPh sb="6" eb="7">
      <t>テン</t>
    </rPh>
    <phoneticPr fontId="2"/>
  </si>
  <si>
    <t>CTE</t>
    <phoneticPr fontId="2"/>
  </si>
  <si>
    <t>A</t>
    <phoneticPr fontId="2"/>
  </si>
  <si>
    <t>(株)エムジーズ</t>
    <rPh sb="0" eb="3">
      <t>カブ</t>
    </rPh>
    <phoneticPr fontId="2"/>
  </si>
  <si>
    <t>20日</t>
    <rPh sb="2" eb="3">
      <t>ヒ</t>
    </rPh>
    <phoneticPr fontId="2"/>
  </si>
  <si>
    <t>担当</t>
    <rPh sb="0" eb="2">
      <t>タントウ</t>
    </rPh>
    <phoneticPr fontId="2"/>
  </si>
  <si>
    <t>422-8001</t>
    <phoneticPr fontId="2"/>
  </si>
  <si>
    <t>19-21</t>
    <phoneticPr fontId="2"/>
  </si>
  <si>
    <t>年比率</t>
    <rPh sb="0" eb="1">
      <t>ネン</t>
    </rPh>
    <rPh sb="1" eb="3">
      <t>ヒリツ</t>
    </rPh>
    <phoneticPr fontId="2"/>
  </si>
  <si>
    <t>年比率台数</t>
    <rPh sb="0" eb="1">
      <t>ネン</t>
    </rPh>
    <rPh sb="1" eb="3">
      <t>ヒリツ</t>
    </rPh>
    <rPh sb="3" eb="5">
      <t>ダイスウ</t>
    </rPh>
    <phoneticPr fontId="2"/>
  </si>
  <si>
    <t>年比率</t>
    <rPh sb="0" eb="1">
      <t>ネン</t>
    </rPh>
    <rPh sb="1" eb="3">
      <t>ヒリツ</t>
    </rPh>
    <phoneticPr fontId="2"/>
  </si>
  <si>
    <t>東京都千代田区神田駿河台</t>
    <rPh sb="1" eb="4">
      <t>トウキョウト</t>
    </rPh>
    <rPh sb="4" eb="8">
      <t>チヨダク</t>
    </rPh>
    <rPh sb="8" eb="10">
      <t>カンダスルガダイ</t>
    </rPh>
    <phoneticPr fontId="2"/>
  </si>
  <si>
    <t>2丁目1-12</t>
    <rPh sb="1" eb="3">
      <t>チョウメ</t>
    </rPh>
    <phoneticPr fontId="2"/>
  </si>
  <si>
    <t>525-0055</t>
    <phoneticPr fontId="2"/>
  </si>
  <si>
    <t>久御山店</t>
    <rPh sb="0" eb="3">
      <t>クミヤマ</t>
    </rPh>
    <rPh sb="3" eb="4">
      <t>テン</t>
    </rPh>
    <phoneticPr fontId="2"/>
  </si>
  <si>
    <t>613-0024</t>
    <phoneticPr fontId="2"/>
  </si>
  <si>
    <t>156-1</t>
    <phoneticPr fontId="2"/>
  </si>
  <si>
    <t>604-0903</t>
    <phoneticPr fontId="2"/>
  </si>
  <si>
    <t>3-35-16ジュラクツインA棟</t>
    <rPh sb="0" eb="16">
      <t>トウ</t>
    </rPh>
    <phoneticPr fontId="2"/>
  </si>
  <si>
    <t>410-0063</t>
    <phoneticPr fontId="2"/>
  </si>
  <si>
    <t>210-0023</t>
    <phoneticPr fontId="2"/>
  </si>
  <si>
    <t>4-1ラ　チッタデッラ　マジョーレ棟1F</t>
    <rPh sb="18" eb="19">
      <t>トウ</t>
    </rPh>
    <phoneticPr fontId="2"/>
  </si>
  <si>
    <t>542-0085</t>
    <phoneticPr fontId="2"/>
  </si>
  <si>
    <t>1丁目9-4</t>
    <rPh sb="1" eb="3">
      <t>チョウメ</t>
    </rPh>
    <phoneticPr fontId="2"/>
  </si>
  <si>
    <t>D123</t>
    <phoneticPr fontId="2"/>
  </si>
  <si>
    <t>名古屋茶屋店</t>
    <rPh sb="0" eb="3">
      <t>ナゴヤ</t>
    </rPh>
    <rPh sb="3" eb="5">
      <t>チャヤ</t>
    </rPh>
    <rPh sb="5" eb="6">
      <t>テン</t>
    </rPh>
    <phoneticPr fontId="2"/>
  </si>
  <si>
    <t>455-0858</t>
    <phoneticPr fontId="2"/>
  </si>
  <si>
    <t>2-11イオンモール名古屋茶屋3F</t>
    <rPh sb="10" eb="13">
      <t>ナゴヤ</t>
    </rPh>
    <rPh sb="13" eb="15">
      <t>チャヤ</t>
    </rPh>
    <phoneticPr fontId="2"/>
  </si>
  <si>
    <t>530-0012</t>
    <phoneticPr fontId="2"/>
  </si>
  <si>
    <t>1丁目12-7</t>
    <rPh sb="1" eb="3">
      <t>チョウメ</t>
    </rPh>
    <phoneticPr fontId="2"/>
  </si>
  <si>
    <t>C11</t>
    <phoneticPr fontId="2"/>
  </si>
  <si>
    <t>テクニカルハウス</t>
    <phoneticPr fontId="2"/>
  </si>
  <si>
    <t>101-0054</t>
    <phoneticPr fontId="2"/>
  </si>
  <si>
    <t>1-14-2</t>
    <phoneticPr fontId="2"/>
  </si>
  <si>
    <t>604-8035</t>
    <phoneticPr fontId="2"/>
  </si>
  <si>
    <t>407-1詩の小路</t>
    <rPh sb="5" eb="6">
      <t>ウタ</t>
    </rPh>
    <rPh sb="7" eb="9">
      <t>コウジ</t>
    </rPh>
    <phoneticPr fontId="2"/>
  </si>
  <si>
    <t>530-0017</t>
    <phoneticPr fontId="2"/>
  </si>
  <si>
    <t>イオンモール天童</t>
    <rPh sb="6" eb="8">
      <t>テンドウ</t>
    </rPh>
    <phoneticPr fontId="2"/>
  </si>
  <si>
    <t>994-0000</t>
    <phoneticPr fontId="2"/>
  </si>
  <si>
    <t>184-0004</t>
    <phoneticPr fontId="2"/>
  </si>
  <si>
    <t>5丁目14-10</t>
    <rPh sb="1" eb="3">
      <t>チョウメ</t>
    </rPh>
    <phoneticPr fontId="2"/>
  </si>
  <si>
    <t>長岡店</t>
    <rPh sb="0" eb="2">
      <t>ナガオカ</t>
    </rPh>
    <rPh sb="2" eb="3">
      <t>テン</t>
    </rPh>
    <phoneticPr fontId="2"/>
  </si>
  <si>
    <t>940-0061</t>
    <phoneticPr fontId="2"/>
  </si>
  <si>
    <t>イオンモール岡山店</t>
    <rPh sb="6" eb="8">
      <t>オカヤマ</t>
    </rPh>
    <rPh sb="8" eb="9">
      <t>テン</t>
    </rPh>
    <phoneticPr fontId="2"/>
  </si>
  <si>
    <t>700-0907</t>
    <phoneticPr fontId="2"/>
  </si>
  <si>
    <t>1-2-1イオンモール岡山店5F</t>
    <rPh sb="11" eb="13">
      <t>オカヤマ</t>
    </rPh>
    <rPh sb="13" eb="14">
      <t>テン</t>
    </rPh>
    <phoneticPr fontId="2"/>
  </si>
  <si>
    <t>542-0086</t>
    <phoneticPr fontId="2"/>
  </si>
  <si>
    <t>1丁目7-18</t>
    <rPh sb="1" eb="3">
      <t>チョウメ</t>
    </rPh>
    <phoneticPr fontId="2"/>
  </si>
  <si>
    <t>1-15</t>
    <phoneticPr fontId="2"/>
  </si>
  <si>
    <t>2-5</t>
    <phoneticPr fontId="2"/>
  </si>
  <si>
    <t>３丁目２−３</t>
    <phoneticPr fontId="2"/>
  </si>
  <si>
    <t>担当名</t>
    <rPh sb="0" eb="2">
      <t>タントウ</t>
    </rPh>
    <rPh sb="2" eb="3">
      <t>メイ</t>
    </rPh>
    <phoneticPr fontId="2"/>
  </si>
  <si>
    <t>月目標</t>
    <rPh sb="0" eb="1">
      <t>ツキ</t>
    </rPh>
    <rPh sb="1" eb="3">
      <t>モクヒョウ</t>
    </rPh>
    <phoneticPr fontId="2"/>
  </si>
  <si>
    <t>達成額</t>
    <rPh sb="0" eb="3">
      <t>タッセイガク</t>
    </rPh>
    <phoneticPr fontId="2"/>
  </si>
  <si>
    <t>比率</t>
    <rPh sb="0" eb="2">
      <t>ヒリツ</t>
    </rPh>
    <phoneticPr fontId="2"/>
  </si>
  <si>
    <t>B</t>
    <phoneticPr fontId="2"/>
  </si>
  <si>
    <t>C</t>
    <phoneticPr fontId="2"/>
  </si>
  <si>
    <t>5月達成額</t>
    <phoneticPr fontId="2"/>
  </si>
  <si>
    <t>達成比</t>
    <rPh sb="0" eb="2">
      <t>タッセイ</t>
    </rPh>
    <rPh sb="2" eb="3">
      <t>ヒ</t>
    </rPh>
    <phoneticPr fontId="2"/>
  </si>
  <si>
    <t>びっくりギターズ</t>
    <phoneticPr fontId="2"/>
  </si>
  <si>
    <t>567-0865</t>
    <phoneticPr fontId="2"/>
  </si>
  <si>
    <t>2丁目20-25</t>
  </si>
  <si>
    <t>びっくりギターズ</t>
  </si>
  <si>
    <t>フルアップ</t>
    <phoneticPr fontId="2"/>
  </si>
  <si>
    <t>20日</t>
    <rPh sb="2" eb="3">
      <t>ヒ</t>
    </rPh>
    <phoneticPr fontId="2"/>
  </si>
  <si>
    <t>フルアップ</t>
  </si>
  <si>
    <t>WEB SHOP</t>
    <phoneticPr fontId="2"/>
  </si>
  <si>
    <t>606-8105</t>
    <phoneticPr fontId="2"/>
  </si>
  <si>
    <t>ドーレ1F</t>
    <phoneticPr fontId="2"/>
  </si>
  <si>
    <t>L07</t>
    <phoneticPr fontId="2"/>
  </si>
  <si>
    <t>調布パルコ店</t>
    <rPh sb="0" eb="2">
      <t>チョウフ</t>
    </rPh>
    <rPh sb="5" eb="6">
      <t>テン</t>
    </rPh>
    <phoneticPr fontId="2"/>
  </si>
  <si>
    <t>D101</t>
    <phoneticPr fontId="2"/>
  </si>
  <si>
    <t>ララポート海老名</t>
    <rPh sb="5" eb="8">
      <t>エビナ</t>
    </rPh>
    <phoneticPr fontId="2"/>
  </si>
  <si>
    <t>13-1ららぽーと海老名4F</t>
    <rPh sb="9" eb="12">
      <t>エビナ</t>
    </rPh>
    <phoneticPr fontId="2"/>
  </si>
  <si>
    <t>D124</t>
    <phoneticPr fontId="2"/>
  </si>
  <si>
    <t>D125</t>
    <phoneticPr fontId="2"/>
  </si>
  <si>
    <t>520-2141</t>
    <phoneticPr fontId="2"/>
  </si>
  <si>
    <t>4丁目4-1アベール大江2F</t>
    <rPh sb="1" eb="3">
      <t>チョウメ</t>
    </rPh>
    <rPh sb="10" eb="12">
      <t>オオエ</t>
    </rPh>
    <phoneticPr fontId="2"/>
  </si>
  <si>
    <t>L08</t>
    <phoneticPr fontId="2"/>
  </si>
  <si>
    <t>吉祥寺店</t>
    <rPh sb="0" eb="3">
      <t>キチジョウジ</t>
    </rPh>
    <rPh sb="3" eb="4">
      <t>テン</t>
    </rPh>
    <phoneticPr fontId="2"/>
  </si>
  <si>
    <t>558-0055</t>
    <phoneticPr fontId="2"/>
  </si>
  <si>
    <t>5-13-17</t>
    <phoneticPr fontId="2"/>
  </si>
  <si>
    <t>イオンモール太田店</t>
  </si>
  <si>
    <t>イオンモールりんくう泉南店</t>
  </si>
  <si>
    <t>（株）ジョイエンドクリエイション</t>
    <rPh sb="0" eb="3">
      <t>カブ</t>
    </rPh>
    <phoneticPr fontId="2"/>
  </si>
  <si>
    <t>150-0011</t>
    <phoneticPr fontId="2"/>
  </si>
  <si>
    <t>1-27-7渋谷KMビル8F</t>
    <rPh sb="7" eb="9">
      <t>シブヤ</t>
    </rPh>
    <phoneticPr fontId="2"/>
  </si>
  <si>
    <t>（株）青江楽器</t>
    <rPh sb="0" eb="3">
      <t>カブ</t>
    </rPh>
    <rPh sb="3" eb="5">
      <t>アオエ</t>
    </rPh>
    <rPh sb="5" eb="7">
      <t>ガッキ</t>
    </rPh>
    <phoneticPr fontId="2"/>
  </si>
  <si>
    <t>190-0011</t>
    <phoneticPr fontId="2"/>
  </si>
  <si>
    <t>3丁目13-22</t>
    <rPh sb="1" eb="3">
      <t>チョウメ</t>
    </rPh>
    <phoneticPr fontId="2"/>
  </si>
  <si>
    <t>20日</t>
    <rPh sb="2" eb="3">
      <t>ヒ</t>
    </rPh>
    <phoneticPr fontId="2"/>
  </si>
  <si>
    <t>ららぽーと立川立飛店</t>
    <rPh sb="6" eb="8">
      <t>タチカワ</t>
    </rPh>
    <rPh sb="8" eb="9">
      <t>タ</t>
    </rPh>
    <rPh sb="9" eb="10">
      <t>トテン</t>
    </rPh>
    <phoneticPr fontId="2"/>
  </si>
  <si>
    <t>190-0015</t>
    <phoneticPr fontId="2"/>
  </si>
  <si>
    <t>935-1 3F 30500</t>
    <phoneticPr fontId="2"/>
  </si>
  <si>
    <t>251-0052</t>
    <phoneticPr fontId="2"/>
  </si>
  <si>
    <t>973 相模プラザ第3ビル1F</t>
    <rPh sb="4" eb="6">
      <t>サガミ</t>
    </rPh>
    <rPh sb="9" eb="11">
      <t>ダイサン</t>
    </rPh>
    <phoneticPr fontId="2"/>
  </si>
  <si>
    <t>山﨑</t>
    <rPh sb="0" eb="2">
      <t>ヤマサキ</t>
    </rPh>
    <phoneticPr fontId="2"/>
  </si>
  <si>
    <t>OXALIS</t>
  </si>
  <si>
    <t>ヤマハパルス米子楽器社</t>
    <rPh sb="6" eb="8">
      <t>ヨナゴ</t>
    </rPh>
    <rPh sb="8" eb="10">
      <t>ガッキ</t>
    </rPh>
    <rPh sb="10" eb="11">
      <t>シャ</t>
    </rPh>
    <phoneticPr fontId="2"/>
  </si>
  <si>
    <t>20日</t>
    <rPh sb="2" eb="3">
      <t>ヒ</t>
    </rPh>
    <phoneticPr fontId="2"/>
  </si>
  <si>
    <t>690-0053</t>
    <phoneticPr fontId="2"/>
  </si>
  <si>
    <t>1-27</t>
    <phoneticPr fontId="2"/>
  </si>
  <si>
    <t>米子楽器社</t>
    <rPh sb="0" eb="2">
      <t>ヨナゴ</t>
    </rPh>
    <rPh sb="2" eb="4">
      <t>ガッキ</t>
    </rPh>
    <rPh sb="4" eb="5">
      <t>シャ</t>
    </rPh>
    <phoneticPr fontId="2"/>
  </si>
  <si>
    <t>W01</t>
    <phoneticPr fontId="2"/>
  </si>
  <si>
    <t>松江店</t>
    <rPh sb="0" eb="2">
      <t>マツエ</t>
    </rPh>
    <rPh sb="2" eb="3">
      <t>テン</t>
    </rPh>
    <phoneticPr fontId="2"/>
  </si>
  <si>
    <t>20日</t>
    <rPh sb="2" eb="3">
      <t>ヒ</t>
    </rPh>
    <phoneticPr fontId="2"/>
  </si>
  <si>
    <t>（株）ラストギター</t>
    <rPh sb="0" eb="3">
      <t>カブ</t>
    </rPh>
    <phoneticPr fontId="2"/>
  </si>
  <si>
    <t>ザ・ギターラウンジ</t>
    <phoneticPr fontId="2"/>
  </si>
  <si>
    <t>155-0032</t>
    <phoneticPr fontId="2"/>
  </si>
  <si>
    <t>2-42-11NHビルディング1F</t>
    <phoneticPr fontId="2"/>
  </si>
  <si>
    <t>ザ・ギターラウンジ</t>
  </si>
  <si>
    <t>W00</t>
    <phoneticPr fontId="2"/>
  </si>
  <si>
    <t>X00</t>
    <phoneticPr fontId="2"/>
  </si>
  <si>
    <t>X01</t>
    <phoneticPr fontId="2"/>
  </si>
  <si>
    <t>X02</t>
    <phoneticPr fontId="2"/>
  </si>
  <si>
    <t>W02</t>
  </si>
  <si>
    <t>（株）ヤマハミュージックリテイリング</t>
    <rPh sb="0" eb="3">
      <t>カブ</t>
    </rPh>
    <phoneticPr fontId="2"/>
  </si>
  <si>
    <t>ヤマハミュージックリテイリング</t>
  </si>
  <si>
    <t>Y00</t>
    <phoneticPr fontId="2"/>
  </si>
  <si>
    <t>Y01</t>
  </si>
  <si>
    <t>Y02</t>
  </si>
  <si>
    <t>本社</t>
    <rPh sb="0" eb="2">
      <t>ホンシャ</t>
    </rPh>
    <phoneticPr fontId="2"/>
  </si>
  <si>
    <t>ヤマハ広島店</t>
    <rPh sb="3" eb="5">
      <t>ヒロシマ</t>
    </rPh>
    <rPh sb="5" eb="6">
      <t>テン</t>
    </rPh>
    <phoneticPr fontId="2"/>
  </si>
  <si>
    <t>ベルベットサウンド</t>
    <phoneticPr fontId="2"/>
  </si>
  <si>
    <t>ザ・ギターラウンジ</t>
    <phoneticPr fontId="2"/>
  </si>
  <si>
    <t>サウンドハウスマックス</t>
  </si>
  <si>
    <t>DO!ミュージック</t>
  </si>
  <si>
    <t>アレックス　トップザギター</t>
  </si>
  <si>
    <t>ウエイド</t>
  </si>
  <si>
    <t>フリーク</t>
  </si>
  <si>
    <t>テイクオフ</t>
  </si>
  <si>
    <t>リバイブギターズ</t>
  </si>
  <si>
    <t>TSK</t>
  </si>
  <si>
    <t>20日</t>
    <rPh sb="2" eb="3">
      <t>ヒ</t>
    </rPh>
    <phoneticPr fontId="2"/>
  </si>
  <si>
    <t>ダストボウル</t>
    <phoneticPr fontId="2"/>
  </si>
  <si>
    <t>オーパス</t>
    <phoneticPr fontId="2"/>
  </si>
  <si>
    <t>780-0047</t>
    <phoneticPr fontId="2"/>
  </si>
  <si>
    <t>17-21-2F</t>
    <phoneticPr fontId="2"/>
  </si>
  <si>
    <r>
      <rPr>
        <sz val="12"/>
        <rFont val="ＭＳ Ｐゴシック"/>
        <family val="3"/>
        <charset val="128"/>
      </rPr>
      <t xml:space="preserve">株式会社 </t>
    </r>
    <r>
      <rPr>
        <sz val="14"/>
        <rFont val="ＭＳ Ｐゴシック"/>
        <family val="3"/>
        <charset val="128"/>
      </rPr>
      <t>ムーンギターズ</t>
    </r>
    <rPh sb="0" eb="2">
      <t>カブシキ</t>
    </rPh>
    <rPh sb="2" eb="4">
      <t>カイシャ</t>
    </rPh>
    <phoneticPr fontId="2"/>
  </si>
  <si>
    <t>B26</t>
    <phoneticPr fontId="2"/>
  </si>
  <si>
    <t>B28</t>
    <phoneticPr fontId="2"/>
  </si>
  <si>
    <t>B30</t>
    <phoneticPr fontId="2"/>
  </si>
  <si>
    <t>B32</t>
    <phoneticPr fontId="2"/>
  </si>
  <si>
    <t>B34</t>
    <phoneticPr fontId="2"/>
  </si>
  <si>
    <t>B36</t>
    <phoneticPr fontId="2"/>
  </si>
  <si>
    <t>B38</t>
    <phoneticPr fontId="2"/>
  </si>
  <si>
    <t>BJ38</t>
    <phoneticPr fontId="2"/>
  </si>
  <si>
    <t>K26</t>
    <phoneticPr fontId="2"/>
  </si>
  <si>
    <t>W26</t>
    <phoneticPr fontId="2"/>
  </si>
  <si>
    <t>AU26</t>
    <phoneticPr fontId="2"/>
  </si>
  <si>
    <t>発注No</t>
    <rPh sb="0" eb="2">
      <t>ハッチュウ</t>
    </rPh>
    <phoneticPr fontId="2"/>
  </si>
  <si>
    <t>商品コード</t>
    <rPh sb="0" eb="2">
      <t>ショウヒン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</si>
  <si>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</si>
  <si>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</si>
  <si>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</si>
  <si>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</si>
  <si>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AZ26</t>
    <phoneticPr fontId="2"/>
  </si>
  <si>
    <t>BJ26</t>
    <phoneticPr fontId="2"/>
  </si>
  <si>
    <t>率</t>
    <rPh sb="0" eb="1">
      <t>リツ</t>
    </rPh>
    <phoneticPr fontId="2"/>
  </si>
  <si>
    <t>備考</t>
    <rPh sb="0" eb="2">
      <t>ビコウ</t>
    </rPh>
    <phoneticPr fontId="2"/>
  </si>
  <si>
    <t>BT26</t>
    <phoneticPr fontId="2"/>
  </si>
  <si>
    <t>AR13</t>
    <phoneticPr fontId="2"/>
  </si>
  <si>
    <t>AU13</t>
    <phoneticPr fontId="2"/>
  </si>
  <si>
    <t>AX13</t>
    <phoneticPr fontId="2"/>
  </si>
  <si>
    <t>AR20</t>
    <phoneticPr fontId="2"/>
  </si>
  <si>
    <t>BA20</t>
    <phoneticPr fontId="2"/>
  </si>
  <si>
    <t>BX26</t>
    <phoneticPr fontId="2"/>
  </si>
  <si>
    <t>末日</t>
  </si>
  <si>
    <t>B</t>
  </si>
  <si>
    <t>梅田店</t>
  </si>
  <si>
    <t>お茶の水駅前店</t>
  </si>
  <si>
    <t>A</t>
  </si>
  <si>
    <t>20日</t>
  </si>
  <si>
    <t>G-CLUB 渋谷店</t>
  </si>
  <si>
    <t>G-CLUB池袋店</t>
  </si>
  <si>
    <t>新宿店</t>
  </si>
  <si>
    <t>名古屋パルコ店</t>
  </si>
  <si>
    <t>JAZZ PICK</t>
  </si>
  <si>
    <t>K1</t>
  </si>
  <si>
    <t>ST</t>
  </si>
  <si>
    <t>モラージュ菖蒲店</t>
  </si>
  <si>
    <t>イオンモール岡崎店</t>
  </si>
  <si>
    <t>梅田ロフト店</t>
  </si>
  <si>
    <t>池袋店</t>
  </si>
  <si>
    <t>リボレ</t>
  </si>
  <si>
    <t>AC-1B(XTCT)</t>
  </si>
  <si>
    <t>グランディ東京</t>
  </si>
  <si>
    <t>JB-5-306M SWH/E CR</t>
  </si>
  <si>
    <t>ウッドフィンガーレスト</t>
  </si>
  <si>
    <t>神田店</t>
  </si>
  <si>
    <t>A06</t>
  </si>
  <si>
    <t>ハートマンギターズ</t>
  </si>
  <si>
    <t>イオンモール神戸北店</t>
  </si>
  <si>
    <t>京都店</t>
  </si>
  <si>
    <t>BPMロイヤリティ</t>
  </si>
  <si>
    <t>JJ-300B SWH/M GO</t>
  </si>
  <si>
    <t>大阪店</t>
  </si>
  <si>
    <t>（株）パン・プロジェクト</t>
  </si>
  <si>
    <t>M01</t>
  </si>
  <si>
    <t>ギタープラネット</t>
  </si>
  <si>
    <t>CTE</t>
  </si>
  <si>
    <t>L01</t>
  </si>
  <si>
    <t>ロックイン新宿A館</t>
  </si>
  <si>
    <t>アメリカ村店</t>
  </si>
  <si>
    <t>渋谷店</t>
  </si>
  <si>
    <t>モレラ岐阜店</t>
  </si>
  <si>
    <t>XTCT</t>
  </si>
  <si>
    <t>神戸三宮店</t>
  </si>
  <si>
    <t>イオンモール大日店</t>
  </si>
  <si>
    <t>広島パルコ店</t>
  </si>
  <si>
    <t>A05</t>
  </si>
  <si>
    <t>プレミアムベース</t>
  </si>
  <si>
    <t>イオンモール岡山店</t>
  </si>
  <si>
    <t>SWポット</t>
  </si>
  <si>
    <t>お茶の水本店</t>
  </si>
  <si>
    <t>ミーナ町田店</t>
  </si>
  <si>
    <t>横浜ビブレ店</t>
  </si>
  <si>
    <t>ベースセンター店</t>
  </si>
  <si>
    <t>WEB SHOP</t>
  </si>
  <si>
    <t>イオンモール秋田店</t>
  </si>
  <si>
    <t>アミュプラザ博多店</t>
  </si>
  <si>
    <t>JJ-LIMITED PAD/E GO</t>
  </si>
  <si>
    <t>新潟ビルボードプレイス店</t>
  </si>
  <si>
    <t>D123</t>
  </si>
  <si>
    <t>名古屋茶屋店</t>
  </si>
  <si>
    <t>ムーンTシャツ　ネイビーL</t>
  </si>
  <si>
    <t>金沢フォーラス店</t>
  </si>
  <si>
    <t>イオンモール大高店</t>
  </si>
  <si>
    <t>ギタースポット</t>
  </si>
  <si>
    <t>（株）ラストギター</t>
  </si>
  <si>
    <t>BB</t>
    <phoneticPr fontId="2"/>
  </si>
  <si>
    <t>CC</t>
    <phoneticPr fontId="2"/>
  </si>
  <si>
    <t>A</t>
    <phoneticPr fontId="2"/>
  </si>
  <si>
    <t>B</t>
    <phoneticPr fontId="2"/>
  </si>
  <si>
    <t>C</t>
    <phoneticPr fontId="2"/>
  </si>
  <si>
    <t>TEL：042-708-9691     FAX：042-708-9692</t>
    <phoneticPr fontId="2"/>
  </si>
  <si>
    <t>記</t>
    <rPh sb="0" eb="1">
      <t>キ</t>
    </rPh>
    <phoneticPr fontId="2"/>
  </si>
  <si>
    <t>028013</t>
  </si>
  <si>
    <t>028011</t>
  </si>
  <si>
    <t>028012</t>
  </si>
  <si>
    <t>バッテリーBOX</t>
  </si>
  <si>
    <t>028015</t>
  </si>
  <si>
    <t>鹿児島アミュプラザ店</t>
  </si>
  <si>
    <t>（株）上野楽器</t>
  </si>
  <si>
    <t>MS-350</t>
  </si>
  <si>
    <t>イオンモール鈴鹿店</t>
  </si>
  <si>
    <t>RM-LIMITED PHB/R CR</t>
  </si>
  <si>
    <t>#56744</t>
  </si>
  <si>
    <t>店ID</t>
    <rPh sb="0" eb="1">
      <t>ミセ</t>
    </rPh>
    <phoneticPr fontId="2"/>
  </si>
  <si>
    <t>店名</t>
    <rPh sb="0" eb="2">
      <t>テンメイ</t>
    </rPh>
    <phoneticPr fontId="2"/>
  </si>
  <si>
    <t>郵便番号</t>
    <rPh sb="0" eb="2">
      <t>ユウビン</t>
    </rPh>
    <rPh sb="2" eb="4">
      <t>バンゴウ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</si>
  <si>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</si>
  <si>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</si>
  <si>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伊勢崎店</t>
    <rPh sb="0" eb="3">
      <t>イセザキ</t>
    </rPh>
    <rPh sb="3" eb="4">
      <t>テン</t>
    </rPh>
    <phoneticPr fontId="2"/>
  </si>
  <si>
    <t>ダストボウル</t>
    <phoneticPr fontId="2"/>
  </si>
  <si>
    <t>Z00</t>
    <phoneticPr fontId="2"/>
  </si>
  <si>
    <t>Z01</t>
    <phoneticPr fontId="2"/>
  </si>
  <si>
    <t>C本数</t>
    <rPh sb="0" eb="2">
      <t>ホンスウ</t>
    </rPh>
    <phoneticPr fontId="2"/>
  </si>
  <si>
    <t>STネック交換</t>
  </si>
  <si>
    <t>G用ハードケース</t>
  </si>
  <si>
    <t>B用ピック　WH</t>
  </si>
  <si>
    <t>*</t>
  </si>
  <si>
    <t>B5～CE44</t>
    <phoneticPr fontId="2"/>
  </si>
  <si>
    <t>BR9</t>
    <phoneticPr fontId="2"/>
  </si>
  <si>
    <t>アメリカ村店ANNEX ベース専門店MIKI BASS SIDE</t>
    <rPh sb="4" eb="5">
      <t>ムラ</t>
    </rPh>
    <rPh sb="5" eb="6">
      <t>テン</t>
    </rPh>
    <rPh sb="15" eb="18">
      <t>センモンテン</t>
    </rPh>
    <phoneticPr fontId="2"/>
  </si>
  <si>
    <t>542-0086</t>
    <phoneticPr fontId="2"/>
  </si>
  <si>
    <t>1丁目15-15ヴィアイン心斎橋ビル2F</t>
    <rPh sb="1" eb="3">
      <t>チョウメ</t>
    </rPh>
    <rPh sb="13" eb="16">
      <t>シンサイバシ</t>
    </rPh>
    <phoneticPr fontId="2"/>
  </si>
  <si>
    <t>S04</t>
  </si>
  <si>
    <t>アメリカ村店ANNEX ベース専門店MIKI BASS SIDE</t>
  </si>
  <si>
    <t>パーツ交換</t>
  </si>
  <si>
    <t>372-0025</t>
    <phoneticPr fontId="2"/>
  </si>
  <si>
    <t>39-2</t>
    <phoneticPr fontId="2"/>
  </si>
  <si>
    <t>（有）ダストボウル</t>
  </si>
  <si>
    <t>（有）ダストボウル</t>
    <phoneticPr fontId="2"/>
  </si>
  <si>
    <t>B用ギグケース</t>
  </si>
  <si>
    <t>#KO0051</t>
  </si>
  <si>
    <t>JB-5 SUTO MODEL LPB</t>
  </si>
  <si>
    <t>イオンモール倉敷店</t>
  </si>
  <si>
    <t>PX-535F Series(ネットワーク) on Ne01:</t>
    <phoneticPr fontId="2"/>
  </si>
  <si>
    <t>JB-5 FUJISAKI MODEL</t>
  </si>
  <si>
    <t>Z02</t>
    <phoneticPr fontId="2"/>
  </si>
  <si>
    <t>前橋店</t>
    <rPh sb="0" eb="2">
      <t>マエバシ</t>
    </rPh>
    <rPh sb="2" eb="3">
      <t>テン</t>
    </rPh>
    <phoneticPr fontId="2"/>
  </si>
  <si>
    <t>町田店</t>
  </si>
  <si>
    <t>JJ-4リペア</t>
  </si>
  <si>
    <t>イオンモール船橋店</t>
  </si>
  <si>
    <t>B用ピック　BK</t>
  </si>
  <si>
    <t>長野K'sスクエア店</t>
  </si>
  <si>
    <t>TD-Mピック</t>
  </si>
  <si>
    <t>B用ハードケース</t>
  </si>
  <si>
    <t>（有）シライミュージック</t>
  </si>
  <si>
    <t>1226</t>
  </si>
  <si>
    <t>491-0922</t>
    <phoneticPr fontId="2"/>
  </si>
  <si>
    <t>730-0031</t>
    <phoneticPr fontId="2"/>
  </si>
  <si>
    <t>字伊勢田36-102</t>
    <rPh sb="0" eb="1">
      <t>アザ</t>
    </rPh>
    <rPh sb="1" eb="4">
      <t>イセダ</t>
    </rPh>
    <phoneticPr fontId="2"/>
  </si>
  <si>
    <t>（株）イーアンドエルコーポレーション</t>
    <rPh sb="0" eb="3">
      <t>カブ</t>
    </rPh>
    <phoneticPr fontId="2"/>
  </si>
  <si>
    <t>MBC-5TN</t>
    <phoneticPr fontId="2"/>
  </si>
  <si>
    <t>送料</t>
  </si>
  <si>
    <t>D124</t>
  </si>
  <si>
    <t>イオンモール天童</t>
  </si>
  <si>
    <t>島村船橋リペア</t>
  </si>
  <si>
    <t>PJ-313DN BK/R CR</t>
  </si>
  <si>
    <t>#56855</t>
  </si>
  <si>
    <t>熊本パルコ店</t>
  </si>
  <si>
    <t>D85</t>
    <phoneticPr fontId="2"/>
  </si>
  <si>
    <t>本体粗利平均</t>
    <rPh sb="0" eb="2">
      <t>ホンタイ</t>
    </rPh>
    <rPh sb="2" eb="4">
      <t>アラリ</t>
    </rPh>
    <rPh sb="4" eb="6">
      <t>ヘイキン</t>
    </rPh>
    <phoneticPr fontId="2"/>
  </si>
  <si>
    <t>月平均</t>
    <rPh sb="0" eb="3">
      <t>ツキヘイキン</t>
    </rPh>
    <phoneticPr fontId="2"/>
  </si>
  <si>
    <t>B15</t>
  </si>
  <si>
    <t>Music Cash 仙台店</t>
    <rPh sb="11" eb="13">
      <t>センダイ</t>
    </rPh>
    <rPh sb="13" eb="14">
      <t>テン</t>
    </rPh>
    <phoneticPr fontId="2"/>
  </si>
  <si>
    <t>980-0021</t>
    <phoneticPr fontId="2"/>
  </si>
  <si>
    <t>1-8-40井門仙台駅前ビル8F</t>
    <rPh sb="6" eb="7">
      <t>イ</t>
    </rPh>
    <rPh sb="7" eb="8">
      <t>モン</t>
    </rPh>
    <rPh sb="8" eb="10">
      <t>センダイ</t>
    </rPh>
    <rPh sb="10" eb="12">
      <t>エキマエ</t>
    </rPh>
    <phoneticPr fontId="2"/>
  </si>
  <si>
    <t>A07</t>
  </si>
  <si>
    <t>ベースコレクション</t>
    <phoneticPr fontId="2"/>
  </si>
  <si>
    <t>PB-230OX LPB/R CR</t>
  </si>
  <si>
    <t>#56862</t>
  </si>
  <si>
    <t>JB-245OX BK/R CR</t>
  </si>
  <si>
    <t>MBC-5TN</t>
  </si>
  <si>
    <t>MBC-5TN PH/E GO</t>
  </si>
  <si>
    <t>工賃</t>
  </si>
  <si>
    <t>福岡店</t>
  </si>
  <si>
    <t>D126</t>
    <phoneticPr fontId="2"/>
  </si>
  <si>
    <t>商品課</t>
    <rPh sb="0" eb="3">
      <t>ショウヒンカ</t>
    </rPh>
    <phoneticPr fontId="2"/>
  </si>
  <si>
    <t>132-0035</t>
    <phoneticPr fontId="2"/>
  </si>
  <si>
    <t>水戸マイム店</t>
  </si>
  <si>
    <t>793-0962</t>
    <phoneticPr fontId="2"/>
  </si>
  <si>
    <t>20日</t>
    <rPh sb="1" eb="2">
      <t>ヒ</t>
    </rPh>
    <phoneticPr fontId="2"/>
  </si>
  <si>
    <t>6丁目4-15-504</t>
    <rPh sb="1" eb="3">
      <t>チョウメ</t>
    </rPh>
    <phoneticPr fontId="2"/>
  </si>
  <si>
    <t>MBC-5TN KOA</t>
  </si>
  <si>
    <t>#00006</t>
  </si>
  <si>
    <t>RM-LIMITED CB/R GO</t>
  </si>
  <si>
    <t>027210</t>
  </si>
  <si>
    <t>027211</t>
  </si>
  <si>
    <t>027212</t>
  </si>
  <si>
    <t>027213</t>
  </si>
  <si>
    <t>027216</t>
  </si>
  <si>
    <t>027217</t>
  </si>
  <si>
    <t>027218</t>
  </si>
  <si>
    <t>（株）下倉楽器</t>
  </si>
  <si>
    <t>027219</t>
  </si>
  <si>
    <t>027220</t>
  </si>
  <si>
    <t>027221</t>
  </si>
  <si>
    <t>027222</t>
  </si>
  <si>
    <t>027223</t>
  </si>
  <si>
    <t>#LG0021</t>
  </si>
  <si>
    <t>JB-288OX TBU/E GO</t>
  </si>
  <si>
    <t>#56910</t>
  </si>
  <si>
    <t>#56911</t>
  </si>
  <si>
    <t>#56912</t>
  </si>
  <si>
    <t>（有）メイビス白石(白石静男様）</t>
    <rPh sb="0" eb="3">
      <t>ユウ</t>
    </rPh>
    <rPh sb="7" eb="9">
      <t>シライシ</t>
    </rPh>
    <rPh sb="10" eb="12">
      <t>シライシ</t>
    </rPh>
    <rPh sb="12" eb="14">
      <t>シズオ</t>
    </rPh>
    <rPh sb="14" eb="15">
      <t>サマ</t>
    </rPh>
    <phoneticPr fontId="2"/>
  </si>
  <si>
    <t>#56913</t>
  </si>
  <si>
    <t>JB-5 SUTO MODEL SWH</t>
  </si>
  <si>
    <t>#56914</t>
  </si>
  <si>
    <t>MBC-5TN CWN/E GO</t>
  </si>
  <si>
    <t>#00007</t>
  </si>
  <si>
    <t>JB-4C 3TS/R CR</t>
  </si>
  <si>
    <t>#56915</t>
  </si>
  <si>
    <t>12月分リベート</t>
  </si>
  <si>
    <t>ガットギター修理</t>
  </si>
  <si>
    <t>JB-4 3TS 配線修理</t>
  </si>
  <si>
    <t>027224</t>
  </si>
  <si>
    <t>KUWABARA PU ST'54 set</t>
  </si>
  <si>
    <t>KUWABARA PU ST'60 set</t>
  </si>
  <si>
    <t>芳賀土地区画整理事業地内34街区イオンモール天童2F</t>
    <rPh sb="0" eb="1">
      <t>ハガ</t>
    </rPh>
    <rPh sb="1" eb="3">
      <t>トチ</t>
    </rPh>
    <rPh sb="3" eb="5">
      <t>クカク</t>
    </rPh>
    <rPh sb="5" eb="7">
      <t>セイリ</t>
    </rPh>
    <rPh sb="7" eb="9">
      <t>ジギョウ</t>
    </rPh>
    <rPh sb="9" eb="10">
      <t>チ</t>
    </rPh>
    <rPh sb="10" eb="11">
      <t>ナイ</t>
    </rPh>
    <rPh sb="14" eb="15">
      <t>マチ</t>
    </rPh>
    <rPh sb="15" eb="16">
      <t>ク</t>
    </rPh>
    <rPh sb="22" eb="24">
      <t>テンドウ</t>
    </rPh>
    <phoneticPr fontId="2"/>
  </si>
  <si>
    <t>270-1350</t>
    <phoneticPr fontId="2"/>
  </si>
  <si>
    <t>243-0436</t>
    <phoneticPr fontId="2"/>
  </si>
  <si>
    <t>TE-OX N/M CR</t>
    <phoneticPr fontId="2"/>
  </si>
  <si>
    <t>027225</t>
  </si>
  <si>
    <t>RM-DX BK/R CR</t>
  </si>
  <si>
    <t>#56916</t>
  </si>
  <si>
    <t>027226</t>
  </si>
  <si>
    <t>027227</t>
  </si>
  <si>
    <t>JB-5A CG/E CR</t>
  </si>
  <si>
    <t>#56917</t>
  </si>
  <si>
    <t>027230</t>
  </si>
  <si>
    <t>松本パルコ店</t>
  </si>
  <si>
    <t>027231</t>
  </si>
  <si>
    <t>027233</t>
  </si>
  <si>
    <t>宇都宮パルコ店</t>
  </si>
  <si>
    <t>PB再塗装ほか</t>
  </si>
  <si>
    <t>027235</t>
  </si>
  <si>
    <t>佐々木様分リペア</t>
  </si>
  <si>
    <t>027236</t>
  </si>
  <si>
    <t>（有）メイビス白石(白石静男様）</t>
  </si>
  <si>
    <t>027237</t>
  </si>
  <si>
    <t>#56920</t>
  </si>
  <si>
    <t>027238</t>
  </si>
  <si>
    <t>CLIMB-5B N/M CR</t>
  </si>
  <si>
    <t>#56921</t>
    <phoneticPr fontId="2"/>
  </si>
  <si>
    <t>DJB-4 CGS/E GO</t>
  </si>
  <si>
    <t>#56926</t>
  </si>
  <si>
    <t>#56927</t>
  </si>
  <si>
    <t>027228</t>
  </si>
  <si>
    <t>JJ-4 TR ネック交換</t>
  </si>
  <si>
    <t>027239</t>
  </si>
  <si>
    <t>JB-5A CAR/R CR</t>
  </si>
  <si>
    <t>#56922</t>
  </si>
  <si>
    <t>027241</t>
  </si>
  <si>
    <t>JJ-5 TBU/E GO LF</t>
  </si>
  <si>
    <t>#56924</t>
  </si>
  <si>
    <t>027242</t>
  </si>
  <si>
    <t>ST塗装修理</t>
  </si>
  <si>
    <t>GM OKAMINE MODEL#4 LPB</t>
    <phoneticPr fontId="2"/>
  </si>
  <si>
    <t>#KO0056</t>
    <phoneticPr fontId="2"/>
  </si>
  <si>
    <t>027229</t>
  </si>
  <si>
    <t>JB-5 FUJISAKI MODEL</t>
    <phoneticPr fontId="2"/>
  </si>
  <si>
    <t>#56918</t>
  </si>
  <si>
    <t>027232</t>
  </si>
  <si>
    <t>JJ-5OX  DLPB/E CR</t>
  </si>
  <si>
    <t>#56919</t>
  </si>
  <si>
    <t>027234</t>
  </si>
  <si>
    <t>JB-4再塗装</t>
  </si>
  <si>
    <t>027240</t>
  </si>
  <si>
    <t>GM-OX BT/R CR</t>
  </si>
  <si>
    <t>#56923</t>
    <phoneticPr fontId="2"/>
  </si>
  <si>
    <t>RM-LIMITED BK/M CR</t>
  </si>
  <si>
    <t>#56929</t>
  </si>
  <si>
    <t>JB-4A N/M CR</t>
  </si>
  <si>
    <t>#56930</t>
  </si>
  <si>
    <t>新潟西店</t>
  </si>
  <si>
    <t>JB-5A TR/E CR</t>
  </si>
  <si>
    <t>#56931</t>
  </si>
  <si>
    <t>りんくうプレミアム・アウトレット店</t>
  </si>
  <si>
    <t>PB-C CAR/R CR</t>
  </si>
  <si>
    <t>#56932</t>
  </si>
  <si>
    <t>#56935</t>
  </si>
  <si>
    <t>RM-LIMITED RVB/R CK</t>
  </si>
  <si>
    <t>#56936</t>
  </si>
  <si>
    <t>JB-5 SUTOH MODEL LPB</t>
  </si>
  <si>
    <t>#56937</t>
  </si>
  <si>
    <t>ムーンTシャツ　ネイビーS</t>
  </si>
  <si>
    <t>#56934</t>
  </si>
  <si>
    <t>GM-OX OT/R CR</t>
  </si>
  <si>
    <t>RM-LIMITED TVY/R CR</t>
  </si>
  <si>
    <t>#56938</t>
  </si>
  <si>
    <t>L09</t>
    <phoneticPr fontId="2"/>
  </si>
  <si>
    <t>サウンドクルー宇都宮店</t>
    <rPh sb="7" eb="10">
      <t>ウツノミヤ</t>
    </rPh>
    <rPh sb="10" eb="11">
      <t>テン</t>
    </rPh>
    <phoneticPr fontId="2"/>
  </si>
  <si>
    <t>321-0964</t>
    <phoneticPr fontId="2"/>
  </si>
  <si>
    <t>１丁目４－６</t>
    <rPh sb="1" eb="3">
      <t>チョウメ</t>
    </rPh>
    <phoneticPr fontId="2"/>
  </si>
  <si>
    <t>L09</t>
  </si>
  <si>
    <t>サウンドクルー宇都宮店</t>
  </si>
  <si>
    <t>FRTパーツ代</t>
  </si>
  <si>
    <t>ムーンG-5 リペア代</t>
  </si>
  <si>
    <t>#56939</t>
  </si>
  <si>
    <t>CLIMB-5OX WN/P GO</t>
  </si>
  <si>
    <t>#56940</t>
  </si>
  <si>
    <t>CLIMB-6OX WN/P GO</t>
  </si>
  <si>
    <t>#56941</t>
  </si>
  <si>
    <t>JJ-4OX N/M CR</t>
  </si>
  <si>
    <t>#56942</t>
  </si>
  <si>
    <t>#56943</t>
  </si>
  <si>
    <t>JB-4C N/M CR</t>
    <phoneticPr fontId="2"/>
  </si>
  <si>
    <t>E09</t>
  </si>
  <si>
    <t>E09</t>
    <phoneticPr fontId="2"/>
  </si>
  <si>
    <t>名古屋店</t>
  </si>
  <si>
    <t>名古屋店</t>
    <rPh sb="0" eb="3">
      <t>ナゴヤ</t>
    </rPh>
    <rPh sb="3" eb="4">
      <t>テン</t>
    </rPh>
    <phoneticPr fontId="2"/>
  </si>
  <si>
    <t>460-0008</t>
    <phoneticPr fontId="2"/>
  </si>
  <si>
    <t>２丁目３－１</t>
    <rPh sb="1" eb="3">
      <t>チョウメ</t>
    </rPh>
    <phoneticPr fontId="2"/>
  </si>
  <si>
    <t>#56944</t>
  </si>
  <si>
    <t>RM-DX CB/R GO</t>
  </si>
  <si>
    <t>#56945</t>
  </si>
  <si>
    <t>#56946</t>
  </si>
  <si>
    <t>#56947</t>
  </si>
  <si>
    <t>027243</t>
  </si>
  <si>
    <t>#56948</t>
  </si>
  <si>
    <t>RM-DX BK/R CR</t>
    <phoneticPr fontId="2"/>
  </si>
  <si>
    <t>RM-DX KN/R CR</t>
    <phoneticPr fontId="2"/>
  </si>
  <si>
    <t>027244</t>
  </si>
  <si>
    <t>RM-DXII BK/R CR</t>
  </si>
  <si>
    <t>#56949</t>
  </si>
  <si>
    <t>027245</t>
  </si>
  <si>
    <t>JB-5A BLD/M CR</t>
  </si>
  <si>
    <t>#56950</t>
  </si>
  <si>
    <t>#56928</t>
  </si>
  <si>
    <t xml:space="preserve">JJ-5 SUTOH MODEL </t>
  </si>
  <si>
    <t>#56951</t>
  </si>
  <si>
    <t>GM-OX CAR/R CR</t>
  </si>
  <si>
    <t>#56952</t>
    <phoneticPr fontId="2"/>
  </si>
  <si>
    <t>奈良店</t>
  </si>
  <si>
    <t>#56955</t>
  </si>
  <si>
    <t>#56956</t>
  </si>
  <si>
    <t>027246</t>
  </si>
  <si>
    <t>JB-4A BK/E CR</t>
  </si>
  <si>
    <t>#56957</t>
  </si>
  <si>
    <t>027247</t>
  </si>
  <si>
    <t>JB-4A BT/E CR</t>
  </si>
  <si>
    <t>#56958</t>
  </si>
  <si>
    <t>027248</t>
  </si>
  <si>
    <t>JB-5A BT/R CR</t>
  </si>
  <si>
    <t>027249</t>
  </si>
  <si>
    <t>027250</t>
  </si>
  <si>
    <t>#56961</t>
  </si>
  <si>
    <t>027251</t>
  </si>
  <si>
    <t>JB-4A BK/R CR</t>
  </si>
  <si>
    <t>#56962</t>
  </si>
  <si>
    <t>027252</t>
  </si>
  <si>
    <t>RM-DXII CG/R CR</t>
  </si>
  <si>
    <t>#56964</t>
  </si>
  <si>
    <t>027253</t>
  </si>
  <si>
    <t>新所沢パルコ店</t>
  </si>
  <si>
    <t>027254</t>
  </si>
  <si>
    <t>ららぽーと柏の葉店</t>
  </si>
  <si>
    <t>027255</t>
  </si>
  <si>
    <t>ST-C BT/R CR</t>
  </si>
  <si>
    <t>#56965</t>
  </si>
  <si>
    <t>027256</t>
  </si>
  <si>
    <t>RM-DXII CB/R GO</t>
  </si>
  <si>
    <t>#56966</t>
  </si>
  <si>
    <t>D127</t>
  </si>
  <si>
    <t>D127</t>
    <phoneticPr fontId="2"/>
  </si>
  <si>
    <t>イオンモール長久手</t>
  </si>
  <si>
    <t>イオンモール長久手</t>
    <rPh sb="6" eb="9">
      <t>ナガクテ</t>
    </rPh>
    <phoneticPr fontId="2"/>
  </si>
  <si>
    <t>027257</t>
  </si>
  <si>
    <t>#56967</t>
  </si>
  <si>
    <t>027258</t>
  </si>
  <si>
    <t>027259</t>
  </si>
  <si>
    <t>RM-DXII BT/R CR</t>
  </si>
  <si>
    <t>#56953</t>
  </si>
  <si>
    <t>RM-DXII GT/R CR</t>
  </si>
  <si>
    <t>#56954</t>
  </si>
  <si>
    <t>027260</t>
  </si>
  <si>
    <t>JJ-5B WN/E GO</t>
  </si>
  <si>
    <t>#56969</t>
  </si>
  <si>
    <t>027261</t>
  </si>
  <si>
    <t>ST-CUSTOM BK/M CR</t>
  </si>
  <si>
    <t>#56970</t>
  </si>
  <si>
    <t>年間粗利率</t>
    <rPh sb="0" eb="1">
      <t>ネンカン</t>
    </rPh>
    <rPh sb="1" eb="3">
      <t>アラリ</t>
    </rPh>
    <rPh sb="3" eb="4">
      <t>リツ</t>
    </rPh>
    <phoneticPr fontId="2"/>
  </si>
  <si>
    <t>年間本体粗利平均</t>
    <rPh sb="0" eb="1">
      <t>ネンカン</t>
    </rPh>
    <rPh sb="1" eb="3">
      <t>ホンタイ</t>
    </rPh>
    <rPh sb="3" eb="5">
      <t>アラリ</t>
    </rPh>
    <rPh sb="5" eb="7">
      <t>ヘイキン</t>
    </rPh>
    <phoneticPr fontId="2"/>
  </si>
  <si>
    <t>027262</t>
  </si>
  <si>
    <t>ST-MB 2TS/M CR</t>
  </si>
  <si>
    <t>#56971</t>
  </si>
  <si>
    <t>027263</t>
  </si>
  <si>
    <t>027264</t>
  </si>
  <si>
    <t>027265</t>
  </si>
  <si>
    <t>JJ-5OX KN/E BK</t>
  </si>
  <si>
    <t>#56972</t>
  </si>
  <si>
    <t>027266</t>
  </si>
  <si>
    <t>SW、フィンガーレスト取り付け</t>
  </si>
  <si>
    <t>027267</t>
  </si>
  <si>
    <t>027268</t>
  </si>
  <si>
    <t>027269</t>
  </si>
  <si>
    <t>JB-5 SUTOH MODEL SWH</t>
  </si>
  <si>
    <t>#56973</t>
  </si>
  <si>
    <t>027270</t>
  </si>
  <si>
    <t>#56974</t>
  </si>
  <si>
    <t>名古屋ギター&amp;リペア</t>
    <rPh sb="0" eb="3">
      <t>ナゴヤ</t>
    </rPh>
    <phoneticPr fontId="2"/>
  </si>
  <si>
    <t>027271</t>
  </si>
  <si>
    <t>MJB-575 R</t>
  </si>
  <si>
    <t>027272</t>
  </si>
  <si>
    <t>027273</t>
  </si>
  <si>
    <t>#56975</t>
  </si>
  <si>
    <t>027274</t>
  </si>
  <si>
    <t>フレットすり合わせ他</t>
  </si>
  <si>
    <t>027275</t>
  </si>
  <si>
    <t>JB-4A SWH/E GO</t>
  </si>
  <si>
    <t>#56976</t>
  </si>
  <si>
    <t>027276</t>
  </si>
  <si>
    <t>JJ-5 LARRY MODEL</t>
  </si>
  <si>
    <t>#LG0021</t>
    <phoneticPr fontId="2"/>
  </si>
  <si>
    <t>027277</t>
  </si>
  <si>
    <t>#56977</t>
  </si>
  <si>
    <t>027278</t>
  </si>
  <si>
    <t>#56978</t>
  </si>
  <si>
    <t>027279</t>
  </si>
  <si>
    <t>JJ-4 LARRY MODEL</t>
  </si>
  <si>
    <t>#LG0022</t>
  </si>
  <si>
    <t>JJ-5OX WN/E GO</t>
  </si>
  <si>
    <t>#56979</t>
  </si>
  <si>
    <t>027281</t>
  </si>
  <si>
    <t>JB-4C ON/R CR</t>
  </si>
  <si>
    <t>#56980</t>
  </si>
  <si>
    <t>027282</t>
  </si>
  <si>
    <t>027283</t>
  </si>
  <si>
    <t>GM-OX BT/E CR</t>
  </si>
  <si>
    <t>#56981</t>
  </si>
  <si>
    <t>027284</t>
  </si>
  <si>
    <t>JJ-5OX DLPB/E GO</t>
  </si>
  <si>
    <t>#56959</t>
  </si>
  <si>
    <t>027285</t>
  </si>
  <si>
    <t>PB-OX OT/R CR</t>
  </si>
  <si>
    <t>#56982</t>
  </si>
  <si>
    <t>027286</t>
  </si>
  <si>
    <t>PB-OX VWH/R CR</t>
  </si>
  <si>
    <t>#56983</t>
  </si>
  <si>
    <t>027287</t>
  </si>
  <si>
    <t>JB-5-298OX CAR/M CR</t>
  </si>
  <si>
    <t>#56843</t>
  </si>
  <si>
    <t>027288</t>
  </si>
  <si>
    <t>CLIMB-5-330OX BG/P GO</t>
  </si>
  <si>
    <t>#56830</t>
  </si>
  <si>
    <t>027289</t>
  </si>
  <si>
    <t>#LG0023</t>
    <phoneticPr fontId="2"/>
  </si>
  <si>
    <t>027290</t>
  </si>
  <si>
    <t>JB-4A CSB/E CR</t>
  </si>
  <si>
    <t>#56983</t>
    <phoneticPr fontId="2"/>
  </si>
  <si>
    <t>027292</t>
  </si>
  <si>
    <t>RM-DXII KN/R GO</t>
  </si>
  <si>
    <t>#56985</t>
  </si>
  <si>
    <t>027293</t>
  </si>
  <si>
    <t>#56986</t>
  </si>
  <si>
    <t>027294</t>
  </si>
  <si>
    <t>GM-OX BK/R CR</t>
  </si>
  <si>
    <t>#56987</t>
  </si>
  <si>
    <t>027295</t>
  </si>
  <si>
    <t>クリア3mm ピックガード取り付け</t>
  </si>
  <si>
    <t>JDエンドピン取り付け</t>
    <phoneticPr fontId="2"/>
  </si>
  <si>
    <t>027296</t>
  </si>
  <si>
    <t>ららぽーと立川立飛店</t>
  </si>
  <si>
    <t>CLIMB-5OX WG/P GO</t>
  </si>
  <si>
    <t>#56988</t>
  </si>
  <si>
    <t>027297</t>
  </si>
  <si>
    <t>プリアンプ交換</t>
  </si>
  <si>
    <t>SWポット50KS-PP</t>
  </si>
  <si>
    <t>027298</t>
  </si>
  <si>
    <t>JB-4C BK/R CR</t>
  </si>
  <si>
    <t>#56989</t>
  </si>
  <si>
    <t>B16</t>
    <phoneticPr fontId="2"/>
  </si>
  <si>
    <t>Music Cash 札幌店</t>
    <rPh sb="11" eb="13">
      <t>サッポロ</t>
    </rPh>
    <rPh sb="13" eb="14">
      <t>テン</t>
    </rPh>
    <phoneticPr fontId="2"/>
  </si>
  <si>
    <t>060-0062</t>
    <phoneticPr fontId="2"/>
  </si>
  <si>
    <t>2条西4丁目10番地2　清水ビル4F</t>
    <rPh sb="1" eb="2">
      <t>ジョウ</t>
    </rPh>
    <rPh sb="2" eb="3">
      <t>ニシ</t>
    </rPh>
    <rPh sb="4" eb="6">
      <t>チョウメ</t>
    </rPh>
    <rPh sb="8" eb="10">
      <t>バンチ</t>
    </rPh>
    <rPh sb="12" eb="14">
      <t>シミズ</t>
    </rPh>
    <phoneticPr fontId="2"/>
  </si>
  <si>
    <t>027299</t>
  </si>
  <si>
    <t>JB-4C SWH/R CR</t>
  </si>
  <si>
    <t>#56990</t>
  </si>
  <si>
    <t>027300</t>
  </si>
  <si>
    <t>リペア島村津田沼</t>
  </si>
  <si>
    <t>JB-4C N/M CR</t>
  </si>
  <si>
    <t>#56991</t>
  </si>
  <si>
    <t>027302</t>
  </si>
  <si>
    <t>JB-4A BOL/E CR</t>
  </si>
  <si>
    <t>#56984</t>
  </si>
  <si>
    <t>027303</t>
  </si>
  <si>
    <t>#56993</t>
  </si>
  <si>
    <t>JJ-5 SUTOH MODEL TR</t>
    <phoneticPr fontId="2"/>
  </si>
  <si>
    <t>027304</t>
  </si>
  <si>
    <t>イオンモール成田店</t>
  </si>
  <si>
    <t>027305</t>
  </si>
  <si>
    <t>027306</t>
  </si>
  <si>
    <t>イオンモール日吉津店</t>
  </si>
  <si>
    <t>フレットすり合わせ</t>
  </si>
  <si>
    <t>ジャック交換</t>
  </si>
  <si>
    <t>ステレオジャック</t>
  </si>
  <si>
    <t>A</t>
    <phoneticPr fontId="2"/>
  </si>
  <si>
    <t>027307</t>
  </si>
  <si>
    <t>ナット交換、ネック調整他</t>
  </si>
  <si>
    <t>トーンポット交換</t>
  </si>
  <si>
    <t>027308</t>
  </si>
  <si>
    <t>CLIMB-5OX BG/P GO</t>
  </si>
  <si>
    <t>#56822</t>
  </si>
  <si>
    <t>027309</t>
  </si>
  <si>
    <t>小金井店</t>
  </si>
  <si>
    <t>H-TD ピック</t>
  </si>
  <si>
    <t>027310</t>
  </si>
  <si>
    <t>JJ-5 LIMITED 2TS/E CK</t>
  </si>
  <si>
    <t>#57000</t>
  </si>
  <si>
    <t>027311</t>
  </si>
  <si>
    <t>M-TD PICK</t>
  </si>
  <si>
    <t>027312</t>
  </si>
  <si>
    <t>バッテリーBOX交換</t>
  </si>
  <si>
    <t>BB-04</t>
  </si>
  <si>
    <t>D13</t>
    <phoneticPr fontId="2"/>
  </si>
  <si>
    <t>新宿ペペ店</t>
    <rPh sb="0" eb="2">
      <t>シンジュク</t>
    </rPh>
    <phoneticPr fontId="2"/>
  </si>
  <si>
    <t>027313</t>
  </si>
  <si>
    <t>#57004</t>
  </si>
  <si>
    <t>027314</t>
  </si>
  <si>
    <t>JB-4A SWH/E CR</t>
  </si>
  <si>
    <t>#57005</t>
  </si>
  <si>
    <t>027315</t>
  </si>
  <si>
    <t>JJ-5OX TBK/E CR</t>
  </si>
  <si>
    <t>#57006</t>
  </si>
  <si>
    <t>027316</t>
  </si>
  <si>
    <t>GM-MB LGM/E CR</t>
  </si>
  <si>
    <t>#KO0057</t>
  </si>
  <si>
    <t>166-0015</t>
    <phoneticPr fontId="2"/>
  </si>
  <si>
    <t>4丁目34-15</t>
    <rPh sb="0" eb="2">
      <t>チョウメ</t>
    </rPh>
    <phoneticPr fontId="2"/>
  </si>
  <si>
    <t>027317</t>
  </si>
  <si>
    <t>JJ-5 SUTOH MODEL</t>
  </si>
  <si>
    <t>#56996</t>
  </si>
  <si>
    <t>027318</t>
  </si>
  <si>
    <t>#56998</t>
  </si>
  <si>
    <t>027319</t>
  </si>
  <si>
    <t>ST-C SWH/R GO</t>
  </si>
  <si>
    <t>#57003</t>
  </si>
  <si>
    <t>027320</t>
  </si>
  <si>
    <t>027321</t>
  </si>
  <si>
    <t>#KO0058</t>
    <phoneticPr fontId="2"/>
  </si>
  <si>
    <t>027322</t>
  </si>
  <si>
    <t>#KO0059</t>
    <phoneticPr fontId="2"/>
  </si>
  <si>
    <t>027323</t>
  </si>
  <si>
    <t>500KA SW POT</t>
  </si>
  <si>
    <t>BARTO 2連POT 500KACC</t>
  </si>
  <si>
    <t>027324</t>
  </si>
  <si>
    <t>GM-MB OKAMINE#5</t>
  </si>
  <si>
    <t>#KO0060</t>
  </si>
  <si>
    <t>027325</t>
  </si>
  <si>
    <t>GM-MB OKAMINE #5</t>
  </si>
  <si>
    <t>#KO0061</t>
  </si>
  <si>
    <t>GM-MB OKAMINE #5</t>
    <phoneticPr fontId="2"/>
  </si>
  <si>
    <t>027327</t>
  </si>
  <si>
    <t>心斎橋店</t>
  </si>
  <si>
    <t>RM-DX OT/R CR</t>
  </si>
  <si>
    <t>#57007</t>
  </si>
  <si>
    <t>CLIMB-6OX BG/E(FL) BK</t>
  </si>
  <si>
    <t>#57008</t>
  </si>
  <si>
    <t>027329</t>
  </si>
  <si>
    <t>JB-C OT/R CR</t>
  </si>
  <si>
    <t>#57009</t>
  </si>
  <si>
    <t>027330</t>
  </si>
  <si>
    <t>MJB-575</t>
  </si>
  <si>
    <t>A03</t>
    <phoneticPr fontId="2"/>
  </si>
  <si>
    <t>リボレ</t>
    <phoneticPr fontId="2"/>
  </si>
  <si>
    <t>027326</t>
  </si>
  <si>
    <t>#57002</t>
    <phoneticPr fontId="2"/>
  </si>
  <si>
    <t>027331</t>
  </si>
  <si>
    <t>JJ-5 ピックガード　クリア3mm</t>
  </si>
  <si>
    <t>A08</t>
  </si>
  <si>
    <t>A08</t>
    <phoneticPr fontId="2"/>
  </si>
  <si>
    <t>グランディ&amp;ジャングル</t>
  </si>
  <si>
    <t>グランディ&amp;ジャングル</t>
    <phoneticPr fontId="2"/>
  </si>
  <si>
    <t>グランディベース東京</t>
    <rPh sb="8" eb="10">
      <t>トウキョウ</t>
    </rPh>
    <phoneticPr fontId="2"/>
  </si>
  <si>
    <t>027332</t>
  </si>
  <si>
    <t>RM-MB CG/R GO</t>
  </si>
  <si>
    <t>#57001</t>
  </si>
  <si>
    <t>027331</t>
    <phoneticPr fontId="2"/>
  </si>
  <si>
    <t>JB-5A N/M CR</t>
  </si>
  <si>
    <t>#56999</t>
  </si>
  <si>
    <t>027333</t>
  </si>
  <si>
    <t>027334</t>
  </si>
  <si>
    <t>JB-4C BT/R CR</t>
  </si>
  <si>
    <t>#56994</t>
  </si>
  <si>
    <t>JB-5 SUTOH SWH</t>
  </si>
  <si>
    <t>#56997</t>
  </si>
  <si>
    <t>MBC-5TN TBS/E GO</t>
  </si>
  <si>
    <t>#0014</t>
  </si>
  <si>
    <t>KUWABARA PU '60JB</t>
  </si>
  <si>
    <t>KUWABARA PU '60PB</t>
  </si>
  <si>
    <t>027335</t>
  </si>
  <si>
    <t>#57012</t>
  </si>
  <si>
    <t>027336</t>
  </si>
  <si>
    <t>#57013</t>
  </si>
  <si>
    <t>027337</t>
  </si>
  <si>
    <t>JB-4A TBK/M CR</t>
  </si>
  <si>
    <t>#57011</t>
  </si>
  <si>
    <t>JB-5 SUTOH LPB</t>
  </si>
  <si>
    <t>#57014</t>
  </si>
  <si>
    <t>#57010</t>
  </si>
  <si>
    <t xml:space="preserve">RM-DXII KN/R GO </t>
    <phoneticPr fontId="2"/>
  </si>
  <si>
    <t>#57015</t>
    <phoneticPr fontId="2"/>
  </si>
  <si>
    <t>#57016</t>
    <phoneticPr fontId="2"/>
  </si>
  <si>
    <t>027338</t>
  </si>
  <si>
    <t>027339</t>
  </si>
  <si>
    <t>JB-5A TP/E CR</t>
  </si>
  <si>
    <t>#57017</t>
  </si>
  <si>
    <t>JB-5 FUJISAKI リペア</t>
  </si>
  <si>
    <t>JB-5 パープル　すり合わせ</t>
  </si>
  <si>
    <t>グランディベース東京</t>
  </si>
  <si>
    <t>JB-5A DRO/E CR</t>
  </si>
  <si>
    <t>#57090</t>
  </si>
  <si>
    <t>JB-5A SWH/E CR</t>
  </si>
  <si>
    <t>#57018</t>
  </si>
  <si>
    <t>027340</t>
  </si>
  <si>
    <t>027341</t>
  </si>
  <si>
    <t>RM-DXII BLD/R GO</t>
  </si>
  <si>
    <t>#57019</t>
  </si>
  <si>
    <t>GM-OX BSC/M CR</t>
  </si>
  <si>
    <t>#57020</t>
  </si>
  <si>
    <t>027342</t>
  </si>
  <si>
    <t>TD-M ピック</t>
  </si>
  <si>
    <t>027343</t>
  </si>
  <si>
    <t>#57021</t>
  </si>
  <si>
    <t>027344</t>
  </si>
  <si>
    <t>ST-LF SWH/R GO</t>
  </si>
  <si>
    <t>#57022</t>
  </si>
  <si>
    <t>(株)サウンドスタッフ</t>
  </si>
  <si>
    <t>#TK0010</t>
  </si>
  <si>
    <t>ST KADOMATSU</t>
    <phoneticPr fontId="2"/>
  </si>
  <si>
    <t>JB-4A TBU/M CR</t>
  </si>
  <si>
    <t>#57023</t>
  </si>
  <si>
    <t>027345</t>
  </si>
  <si>
    <t>GM OKAMINE #4</t>
  </si>
  <si>
    <t>#KO0063</t>
  </si>
  <si>
    <t>027346</t>
  </si>
  <si>
    <t>RM-DXII CHR/R CR</t>
  </si>
  <si>
    <t>#57024</t>
  </si>
  <si>
    <t>027347</t>
  </si>
  <si>
    <t>#57025</t>
    <phoneticPr fontId="2"/>
  </si>
  <si>
    <t>027348</t>
  </si>
  <si>
    <t>#57026</t>
  </si>
  <si>
    <t>027349</t>
  </si>
  <si>
    <t>ST-C WNC/M CR</t>
  </si>
  <si>
    <t>#57027</t>
  </si>
  <si>
    <t>#57029</t>
  </si>
  <si>
    <t>JAZZ PICK XH</t>
  </si>
  <si>
    <t>BASS PICK BK</t>
  </si>
  <si>
    <t>KUWABARA P/U P-90 set</t>
  </si>
  <si>
    <t>#57030</t>
  </si>
  <si>
    <t>JJ-4OX TBU/E CR</t>
  </si>
  <si>
    <t>#57032</t>
  </si>
  <si>
    <t>A09</t>
  </si>
  <si>
    <t>A09</t>
    <phoneticPr fontId="2"/>
  </si>
  <si>
    <t>ハートマンヴィンテージギターズ</t>
  </si>
  <si>
    <t>ハートマンヴィンテージギターズ</t>
    <phoneticPr fontId="2"/>
  </si>
  <si>
    <t>STフレット交換</t>
  </si>
  <si>
    <t>#57031</t>
  </si>
  <si>
    <t>PB-4C 3TS/R CR</t>
  </si>
  <si>
    <t>#57033</t>
  </si>
  <si>
    <t>027350</t>
  </si>
  <si>
    <t>TE-LF WN/P CK</t>
  </si>
  <si>
    <t>#57034</t>
  </si>
  <si>
    <t>027351</t>
  </si>
  <si>
    <t>#57035</t>
  </si>
  <si>
    <t>027352</t>
  </si>
  <si>
    <t>027353</t>
  </si>
  <si>
    <t>027354</t>
  </si>
  <si>
    <t>JB-4C BLD/M CR</t>
  </si>
  <si>
    <t>027355</t>
  </si>
  <si>
    <t>GM-OX 2TS/R CR</t>
  </si>
  <si>
    <t>#57037</t>
  </si>
  <si>
    <t>#57038</t>
    <phoneticPr fontId="2"/>
  </si>
  <si>
    <t>027356</t>
  </si>
  <si>
    <t>PJ-OX BK/R CR</t>
  </si>
  <si>
    <t>027357</t>
  </si>
  <si>
    <t>GM OKAMINE #4.5</t>
  </si>
  <si>
    <t>#KO0064</t>
  </si>
  <si>
    <t>027358</t>
  </si>
  <si>
    <t>027359</t>
  </si>
  <si>
    <t>GM-OX ON/R CR</t>
  </si>
  <si>
    <t>#57039</t>
  </si>
  <si>
    <t>027360</t>
  </si>
  <si>
    <t>イモビス</t>
  </si>
  <si>
    <t>*</t>
    <phoneticPr fontId="2"/>
  </si>
  <si>
    <t>027361</t>
  </si>
  <si>
    <t>GM-OX SWH/R CR</t>
  </si>
  <si>
    <t>#57040</t>
  </si>
  <si>
    <t>今沢カゲロウ氏クリニック</t>
  </si>
  <si>
    <t>今沢カゲロウクリニック</t>
  </si>
  <si>
    <t>TL-Mピック</t>
  </si>
  <si>
    <t>1227</t>
  </si>
  <si>
    <t>GLIDE</t>
  </si>
  <si>
    <t>GLIDE</t>
    <phoneticPr fontId="2"/>
  </si>
  <si>
    <t>980-0811</t>
    <phoneticPr fontId="2"/>
  </si>
  <si>
    <t>2丁目7-5飯田ビル2F</t>
    <rPh sb="1" eb="3">
      <t>チョウメ</t>
    </rPh>
    <rPh sb="6" eb="8">
      <t>イイダ</t>
    </rPh>
    <phoneticPr fontId="2"/>
  </si>
  <si>
    <t>#57041</t>
  </si>
  <si>
    <t>#57042</t>
  </si>
  <si>
    <t>#57036</t>
  </si>
  <si>
    <t>JB-4A TP/E CR</t>
  </si>
  <si>
    <t>027362</t>
  </si>
  <si>
    <t>027363</t>
  </si>
  <si>
    <t>#56933</t>
  </si>
  <si>
    <t>027364</t>
  </si>
  <si>
    <t>JJ-5OX GSB/E CR</t>
  </si>
  <si>
    <t>027365</t>
  </si>
  <si>
    <t>江連様修理</t>
  </si>
  <si>
    <t>169-0075</t>
    <phoneticPr fontId="2"/>
  </si>
  <si>
    <t>3-1-5花川第2ビル3階</t>
    <rPh sb="5" eb="7">
      <t>ハナカワ</t>
    </rPh>
    <rPh sb="7" eb="9">
      <t>ダイニ</t>
    </rPh>
    <rPh sb="12" eb="13">
      <t>カイ</t>
    </rPh>
    <phoneticPr fontId="2"/>
  </si>
  <si>
    <t>D128</t>
    <phoneticPr fontId="2"/>
  </si>
  <si>
    <t>イオンモール八千代緑が丘店237</t>
    <rPh sb="6" eb="9">
      <t>ヤチヨ</t>
    </rPh>
    <rPh sb="9" eb="10">
      <t>ミドリ</t>
    </rPh>
    <rPh sb="11" eb="12">
      <t>オカ</t>
    </rPh>
    <rPh sb="12" eb="13">
      <t>テン</t>
    </rPh>
    <phoneticPr fontId="2"/>
  </si>
  <si>
    <t>276-0049</t>
    <phoneticPr fontId="2"/>
  </si>
  <si>
    <t>2丁目1番3イオンモール八千代緑が丘4F</t>
    <rPh sb="1" eb="3">
      <t>チョウメ</t>
    </rPh>
    <rPh sb="4" eb="5">
      <t>バン</t>
    </rPh>
    <rPh sb="12" eb="15">
      <t>ヤチヨ</t>
    </rPh>
    <rPh sb="15" eb="16">
      <t>ミドリ</t>
    </rPh>
    <rPh sb="17" eb="18">
      <t>オカ</t>
    </rPh>
    <phoneticPr fontId="2"/>
  </si>
  <si>
    <t>イオン新浦安店</t>
    <rPh sb="3" eb="4">
      <t>シン</t>
    </rPh>
    <rPh sb="4" eb="6">
      <t>ウラヤス</t>
    </rPh>
    <rPh sb="6" eb="7">
      <t>シンミセ</t>
    </rPh>
    <phoneticPr fontId="2"/>
  </si>
  <si>
    <t>1-4-1イオン新浦安2F</t>
    <rPh sb="8" eb="11">
      <t>シンウラヤス</t>
    </rPh>
    <phoneticPr fontId="2"/>
  </si>
  <si>
    <t>027366</t>
  </si>
  <si>
    <t>027367</t>
  </si>
  <si>
    <t>JB-4C OT/R CR</t>
  </si>
  <si>
    <t>#57043</t>
  </si>
  <si>
    <t>027368</t>
  </si>
  <si>
    <t>#57044</t>
  </si>
  <si>
    <t>027369</t>
  </si>
  <si>
    <t>PB-4C OT/R CR</t>
  </si>
  <si>
    <t>#57045</t>
  </si>
  <si>
    <t>027370</t>
  </si>
  <si>
    <t>ムーンTシャツ　各１</t>
  </si>
  <si>
    <t>027371</t>
  </si>
  <si>
    <t>JJ-5 ネック交換</t>
  </si>
  <si>
    <t>027372</t>
  </si>
  <si>
    <t>TE-C N/M CR</t>
  </si>
  <si>
    <t>#57046</t>
  </si>
  <si>
    <t>027373</t>
  </si>
  <si>
    <t>GM-MB OT OKAMINE#5</t>
    <phoneticPr fontId="2"/>
  </si>
  <si>
    <t>027374</t>
  </si>
  <si>
    <t>027375</t>
  </si>
  <si>
    <t>#57047</t>
  </si>
  <si>
    <t>027376</t>
  </si>
  <si>
    <t>GM-OX CB/R GO</t>
  </si>
  <si>
    <t>#57048</t>
  </si>
  <si>
    <t>027377</t>
  </si>
  <si>
    <t>#57049</t>
  </si>
  <si>
    <t>027378</t>
  </si>
  <si>
    <t>JB-5 ジャック交換ほか</t>
  </si>
  <si>
    <t>027379</t>
  </si>
  <si>
    <t>#57050</t>
  </si>
  <si>
    <t>JB-5A 3TS/E GO</t>
    <phoneticPr fontId="2"/>
  </si>
  <si>
    <t>027380</t>
  </si>
  <si>
    <t>PB-4C BK/R CR</t>
  </si>
  <si>
    <t>027381</t>
  </si>
  <si>
    <t>RM-DXII LPB/M GO</t>
  </si>
  <si>
    <t>#57051</t>
  </si>
  <si>
    <t>027382</t>
  </si>
  <si>
    <t>027383</t>
  </si>
  <si>
    <t>TE KIKUTA MODEL MH</t>
  </si>
  <si>
    <t>#57053</t>
  </si>
  <si>
    <t>027384</t>
  </si>
  <si>
    <t>#57054</t>
  </si>
  <si>
    <t>027385</t>
  </si>
  <si>
    <t>PB-4C LPB/R CR</t>
  </si>
  <si>
    <t>#57055</t>
  </si>
  <si>
    <t>027386</t>
  </si>
  <si>
    <t>027387</t>
  </si>
  <si>
    <t>JB-5A OT/E CR</t>
  </si>
  <si>
    <t>#57056</t>
  </si>
  <si>
    <t>近鉄あべのハルカス店</t>
    <rPh sb="0" eb="2">
      <t>キンテツ</t>
    </rPh>
    <rPh sb="9" eb="10">
      <t>テン</t>
    </rPh>
    <phoneticPr fontId="2"/>
  </si>
  <si>
    <t>近鉄あべのハルカス店</t>
    <rPh sb="0" eb="2">
      <t>キンテツ</t>
    </rPh>
    <rPh sb="9" eb="10">
      <t>テン</t>
    </rPh>
    <phoneticPr fontId="2"/>
  </si>
  <si>
    <t>*</t>
    <phoneticPr fontId="2"/>
  </si>
  <si>
    <t>*</t>
    <phoneticPr fontId="2"/>
  </si>
  <si>
    <t>B17</t>
  </si>
  <si>
    <t>B17</t>
    <phoneticPr fontId="2"/>
  </si>
  <si>
    <t>御茶ノ水ドラム館</t>
  </si>
  <si>
    <t>御茶ノ水ドラム館</t>
    <rPh sb="0" eb="2">
      <t>オチャ</t>
    </rPh>
    <rPh sb="3" eb="4">
      <t>ミズ</t>
    </rPh>
    <rPh sb="7" eb="8">
      <t>カン</t>
    </rPh>
    <phoneticPr fontId="2"/>
  </si>
  <si>
    <t>101-0062</t>
    <phoneticPr fontId="2"/>
  </si>
  <si>
    <t>027388</t>
  </si>
  <si>
    <t>027389</t>
  </si>
  <si>
    <t>PB-4C VWH/R CR</t>
  </si>
  <si>
    <t>027390</t>
  </si>
  <si>
    <t>JB-5A 3TS/E CR</t>
  </si>
  <si>
    <t>#56672</t>
  </si>
  <si>
    <t>027391</t>
  </si>
  <si>
    <t>SWポット取り付け</t>
  </si>
  <si>
    <t>027392</t>
  </si>
  <si>
    <t>JB-5A LPB/E CR</t>
  </si>
  <si>
    <t>#57057</t>
  </si>
  <si>
    <t>027393</t>
  </si>
  <si>
    <t>JJ-4 CG/E CR</t>
  </si>
  <si>
    <t>#57058</t>
  </si>
  <si>
    <t>027394</t>
  </si>
  <si>
    <t>JJ-4 TBU/E CR</t>
  </si>
  <si>
    <t>#57059</t>
  </si>
  <si>
    <t>027395</t>
  </si>
  <si>
    <t>GM OKAMINE #5</t>
  </si>
  <si>
    <t>#KO0067</t>
    <phoneticPr fontId="2"/>
  </si>
  <si>
    <t>027396</t>
  </si>
  <si>
    <t>JJ-4 TBK/E GO</t>
  </si>
  <si>
    <t>#57060</t>
  </si>
  <si>
    <t>027397</t>
  </si>
  <si>
    <t>JB-5A CAR/E CR</t>
  </si>
  <si>
    <t>#57063</t>
    <phoneticPr fontId="2"/>
  </si>
  <si>
    <t>027398</t>
  </si>
  <si>
    <t>ジャック、バッテリー交換</t>
  </si>
  <si>
    <t>027399</t>
  </si>
  <si>
    <t>トグルSW交換</t>
  </si>
  <si>
    <t>トグルSW CR</t>
  </si>
  <si>
    <t>027400</t>
  </si>
  <si>
    <t>JB-5MB DLPB/E CR</t>
  </si>
  <si>
    <t>#57061</t>
  </si>
  <si>
    <t>027401</t>
  </si>
  <si>
    <t>#57064</t>
  </si>
  <si>
    <t>027402</t>
  </si>
  <si>
    <t>ST-C 3TS/R CR</t>
  </si>
  <si>
    <t>#57065</t>
    <phoneticPr fontId="2"/>
  </si>
  <si>
    <t>027403</t>
  </si>
  <si>
    <t>#57066</t>
  </si>
  <si>
    <t>027404</t>
  </si>
  <si>
    <t>イオンモール直方店</t>
  </si>
  <si>
    <t>#57067</t>
  </si>
  <si>
    <t>027405</t>
  </si>
  <si>
    <t>JJ-4 すり合わせ修理</t>
  </si>
  <si>
    <t>ブリッジイモネジ交換</t>
  </si>
  <si>
    <t>027406</t>
  </si>
  <si>
    <t>JB-5 再配線</t>
  </si>
  <si>
    <t>500KA POT</t>
  </si>
  <si>
    <t>027407</t>
  </si>
  <si>
    <t>ST-MB 3TS/R CR</t>
  </si>
  <si>
    <t>#57068</t>
  </si>
  <si>
    <t>027408</t>
  </si>
  <si>
    <t>MJB-575 set</t>
  </si>
  <si>
    <t>大宮店</t>
  </si>
  <si>
    <t>027409</t>
  </si>
  <si>
    <t>JB-5A BM/E CR</t>
  </si>
  <si>
    <t>#57069</t>
  </si>
  <si>
    <t>027410</t>
  </si>
  <si>
    <t>027411</t>
  </si>
  <si>
    <t>#57070</t>
  </si>
  <si>
    <t>1228</t>
  </si>
  <si>
    <t>166-0013</t>
    <phoneticPr fontId="2"/>
  </si>
  <si>
    <t>2丁目15-5</t>
    <rPh sb="0" eb="3">
      <t>ニチョウメ</t>
    </rPh>
    <phoneticPr fontId="2"/>
  </si>
  <si>
    <t>027412</t>
  </si>
  <si>
    <t>#56963</t>
    <phoneticPr fontId="2"/>
  </si>
  <si>
    <t>月別粗利平均</t>
    <rPh sb="0" eb="1">
      <t>ツキベツ</t>
    </rPh>
    <rPh sb="1" eb="3">
      <t>アラリ</t>
    </rPh>
    <rPh sb="3" eb="5">
      <t>ヘイキン</t>
    </rPh>
    <phoneticPr fontId="2"/>
  </si>
  <si>
    <t>ダストボウル修理</t>
  </si>
  <si>
    <t>#57071</t>
  </si>
  <si>
    <t>JB-4C CAR/R CR</t>
  </si>
  <si>
    <t>#57072</t>
  </si>
  <si>
    <t>ST-C BLD/M GO</t>
  </si>
  <si>
    <t>#57073</t>
  </si>
  <si>
    <t>#57074</t>
  </si>
  <si>
    <t>027413</t>
  </si>
  <si>
    <t>#LG0024</t>
  </si>
  <si>
    <t>027414</t>
  </si>
  <si>
    <t>#LG 0025</t>
  </si>
  <si>
    <t>027415</t>
  </si>
  <si>
    <t>JB-4A TBU/E CR</t>
  </si>
  <si>
    <t>#57062</t>
  </si>
  <si>
    <t>027416</t>
  </si>
  <si>
    <t>ムーン　TシャツM　ネイビーピンク各１</t>
  </si>
  <si>
    <t>L10</t>
  </si>
  <si>
    <t>L10</t>
    <phoneticPr fontId="2"/>
  </si>
  <si>
    <t>サウンドクルー吉祥寺店</t>
  </si>
  <si>
    <t>サウンドクルー吉祥寺店</t>
    <rPh sb="7" eb="10">
      <t>キチジョウジ</t>
    </rPh>
    <rPh sb="10" eb="11">
      <t>テン</t>
    </rPh>
    <phoneticPr fontId="2"/>
  </si>
  <si>
    <t>027417</t>
  </si>
  <si>
    <t>EMG-J(R)</t>
  </si>
  <si>
    <t>PU交換</t>
  </si>
  <si>
    <t>027418</t>
  </si>
  <si>
    <t>JJ-5 WN/E CR</t>
  </si>
  <si>
    <t>#57075</t>
  </si>
  <si>
    <t>027419</t>
  </si>
  <si>
    <t>RM-DXII LPB/R CR</t>
  </si>
  <si>
    <t>#57076</t>
  </si>
  <si>
    <t>027420</t>
  </si>
  <si>
    <t>RM-DXII BK/M CR</t>
  </si>
  <si>
    <t>#57077</t>
  </si>
  <si>
    <t>027421</t>
  </si>
  <si>
    <t>#57078</t>
  </si>
  <si>
    <t>027422</t>
  </si>
  <si>
    <t>#57079</t>
  </si>
  <si>
    <t>027423</t>
  </si>
  <si>
    <t>#56968</t>
  </si>
  <si>
    <t>027424</t>
  </si>
  <si>
    <t>GM OKAMINE #2</t>
  </si>
  <si>
    <t>#0068</t>
  </si>
  <si>
    <t>027425</t>
  </si>
  <si>
    <t>GM OKAMINE #1</t>
  </si>
  <si>
    <t>027426</t>
  </si>
  <si>
    <t>#57080</t>
  </si>
  <si>
    <t>027427</t>
  </si>
  <si>
    <t>CLIMB-5リペア</t>
  </si>
  <si>
    <t>500K(CC) POT</t>
  </si>
  <si>
    <t>027428</t>
  </si>
  <si>
    <t>フェンダーJBフレット交換</t>
  </si>
  <si>
    <t>027429</t>
  </si>
  <si>
    <t>JJ ロックピン取り付け</t>
  </si>
  <si>
    <t>フェルト　セット</t>
  </si>
  <si>
    <t>027430</t>
  </si>
  <si>
    <t>ナット交換</t>
  </si>
  <si>
    <t>027431</t>
  </si>
  <si>
    <t>027433</t>
  </si>
  <si>
    <t>CLIMB-6OX BG/E GO</t>
  </si>
  <si>
    <t>#57082</t>
  </si>
  <si>
    <t>027434</t>
  </si>
  <si>
    <t>#57083</t>
  </si>
  <si>
    <t>027435</t>
  </si>
  <si>
    <t>PJ-4OX TR/R CR</t>
  </si>
  <si>
    <t>027436</t>
  </si>
  <si>
    <t>RM-DXII BS/R GO KN</t>
  </si>
  <si>
    <t>#57085</t>
  </si>
  <si>
    <t>027437</t>
  </si>
  <si>
    <t>#</t>
  </si>
  <si>
    <t>027438</t>
  </si>
  <si>
    <t>#57086</t>
  </si>
  <si>
    <t>027439</t>
  </si>
  <si>
    <t>JB-4A GLD/E CR</t>
  </si>
  <si>
    <t>#57087</t>
  </si>
  <si>
    <t>027440</t>
  </si>
  <si>
    <t>JB-4A TR/M GO</t>
  </si>
  <si>
    <t>027441</t>
  </si>
  <si>
    <t>PB-4 ON/R CR</t>
  </si>
  <si>
    <t>#57091</t>
  </si>
  <si>
    <t>027442</t>
  </si>
  <si>
    <t>#57089</t>
  </si>
  <si>
    <t>027443</t>
  </si>
  <si>
    <t>RM-DXII CB/R CR</t>
  </si>
  <si>
    <t>#57088</t>
    <phoneticPr fontId="2"/>
  </si>
  <si>
    <t>027444</t>
  </si>
  <si>
    <t>#57093</t>
  </si>
  <si>
    <t>027445</t>
  </si>
  <si>
    <t>#57094</t>
  </si>
  <si>
    <t>027446</t>
  </si>
  <si>
    <t>JB-4C PG/R CR</t>
  </si>
  <si>
    <t>#57095</t>
  </si>
  <si>
    <t>027447</t>
  </si>
  <si>
    <t>CREA ベースリペア</t>
  </si>
  <si>
    <t>027448</t>
  </si>
  <si>
    <t>JB-5MB SUTOH LPB</t>
  </si>
  <si>
    <t>#57092</t>
  </si>
  <si>
    <t>027449</t>
  </si>
  <si>
    <t>JB-4A 3TS/E GO</t>
  </si>
  <si>
    <t>#57096</t>
  </si>
  <si>
    <t>027450</t>
  </si>
  <si>
    <t>#57097</t>
  </si>
  <si>
    <t>027451</t>
  </si>
  <si>
    <t>JB-5A 3TS/E GO</t>
  </si>
  <si>
    <t>#57098</t>
  </si>
  <si>
    <t>027452</t>
  </si>
  <si>
    <t>JB-5A TWH/E CR</t>
  </si>
  <si>
    <t>#57099</t>
  </si>
  <si>
    <t>JB-5A MGR/E GO</t>
    <phoneticPr fontId="2"/>
  </si>
  <si>
    <t>（株）JEUGIA</t>
  </si>
  <si>
    <t>2013年度</t>
    <rPh sb="4" eb="6">
      <t>ネンド</t>
    </rPh>
    <phoneticPr fontId="2"/>
  </si>
  <si>
    <t>2014年度</t>
    <rPh sb="4" eb="6">
      <t>ネンド</t>
    </rPh>
    <phoneticPr fontId="2"/>
  </si>
  <si>
    <t>2015年度</t>
    <rPh sb="4" eb="6">
      <t>ネンド</t>
    </rPh>
    <phoneticPr fontId="2"/>
  </si>
  <si>
    <t>2016年度</t>
    <rPh sb="4" eb="6">
      <t>ネンド</t>
    </rPh>
    <phoneticPr fontId="2"/>
  </si>
  <si>
    <t>027453</t>
  </si>
  <si>
    <t>#57100</t>
  </si>
  <si>
    <t>027454</t>
  </si>
  <si>
    <t>#57101</t>
  </si>
  <si>
    <t>027455</t>
  </si>
  <si>
    <t>B02</t>
    <phoneticPr fontId="2"/>
  </si>
  <si>
    <t>渋谷店</t>
    <rPh sb="0" eb="2">
      <t>シブヤ</t>
    </rPh>
    <rPh sb="2" eb="3">
      <t>テン</t>
    </rPh>
    <phoneticPr fontId="2"/>
  </si>
  <si>
    <t>027456</t>
  </si>
  <si>
    <t>027457</t>
  </si>
  <si>
    <t>#KO 0069</t>
  </si>
  <si>
    <t>〒195-0061 東京都町田市小野路町1942-2</t>
    <rPh sb="10" eb="13">
      <t>トウキョウト</t>
    </rPh>
    <rPh sb="13" eb="16">
      <t>マチダシ</t>
    </rPh>
    <rPh sb="16" eb="20">
      <t>オノジマチ</t>
    </rPh>
    <phoneticPr fontId="2"/>
  </si>
  <si>
    <t>027458</t>
  </si>
  <si>
    <t>ガットリペア</t>
  </si>
  <si>
    <t>027459</t>
  </si>
  <si>
    <t>027460</t>
  </si>
  <si>
    <t>JB-5A TWH/E GO</t>
  </si>
  <si>
    <t>#57103</t>
    <phoneticPr fontId="2"/>
  </si>
  <si>
    <t>027461</t>
  </si>
  <si>
    <t>R04</t>
  </si>
  <si>
    <t>R04</t>
    <phoneticPr fontId="2"/>
  </si>
  <si>
    <t>舞鶴店</t>
  </si>
  <si>
    <t>舞鶴店</t>
    <rPh sb="2" eb="3">
      <t>テン</t>
    </rPh>
    <phoneticPr fontId="2"/>
  </si>
  <si>
    <t>027462</t>
  </si>
  <si>
    <t>JB-4A CG/E CR</t>
  </si>
  <si>
    <t>#57105</t>
  </si>
  <si>
    <t>#57104</t>
    <phoneticPr fontId="2"/>
  </si>
  <si>
    <t>027463</t>
  </si>
  <si>
    <t>#57107</t>
  </si>
  <si>
    <t>027464</t>
  </si>
  <si>
    <t>#57108</t>
  </si>
  <si>
    <t>K12</t>
    <phoneticPr fontId="2"/>
  </si>
  <si>
    <t>JB-5A</t>
    <phoneticPr fontId="2"/>
  </si>
  <si>
    <t>027465</t>
  </si>
  <si>
    <t>RM-DXII CY/M BK</t>
  </si>
  <si>
    <t>#57113</t>
  </si>
  <si>
    <t>JJ-5 プリ交換</t>
  </si>
  <si>
    <t>交換分ポット</t>
  </si>
  <si>
    <t>JB-4 再配線</t>
  </si>
  <si>
    <t>KUWABARA P/U JB'70 set</t>
    <phoneticPr fontId="2"/>
  </si>
  <si>
    <t>500K POT</t>
  </si>
  <si>
    <t>#57114</t>
  </si>
  <si>
    <t>#57115</t>
  </si>
  <si>
    <t>027466</t>
  </si>
  <si>
    <t>#57116</t>
  </si>
  <si>
    <t>027467</t>
  </si>
  <si>
    <t>#57117</t>
  </si>
  <si>
    <t>027469</t>
  </si>
  <si>
    <t>JB-4C 3TS/R GO</t>
  </si>
  <si>
    <t>#57119</t>
  </si>
  <si>
    <t>027470</t>
  </si>
  <si>
    <t>JB-4C ON/M CR</t>
  </si>
  <si>
    <t>#57120</t>
  </si>
  <si>
    <t>027471</t>
  </si>
  <si>
    <t>JJ-4 35th TR/E GO</t>
  </si>
  <si>
    <t>#56005</t>
  </si>
  <si>
    <t>直販</t>
  </si>
  <si>
    <t>本社</t>
  </si>
  <si>
    <t>福岡イムズ店</t>
  </si>
  <si>
    <t>CLIMB-5 リペア</t>
  </si>
  <si>
    <t>アリオ橋本店</t>
  </si>
  <si>
    <t>イオンモール伊丹昆陽店</t>
  </si>
  <si>
    <t>京都カナート店</t>
  </si>
  <si>
    <t>代引</t>
  </si>
  <si>
    <t>ビビット南船橋店</t>
  </si>
  <si>
    <t>MBC-5リペア</t>
  </si>
  <si>
    <t>D125</t>
  </si>
  <si>
    <t>RM-DXII CRT/R GO</t>
    <phoneticPr fontId="2"/>
  </si>
  <si>
    <t>027472</t>
  </si>
  <si>
    <t>#57121</t>
  </si>
  <si>
    <t>027473</t>
  </si>
  <si>
    <t>#57122</t>
  </si>
  <si>
    <t>027474</t>
  </si>
  <si>
    <t>JJ-4OX TBK/E CR</t>
  </si>
  <si>
    <t>#57102</t>
  </si>
  <si>
    <t>027475</t>
  </si>
  <si>
    <t>JB-4A 3TS/E CR</t>
  </si>
  <si>
    <t>#57123</t>
  </si>
  <si>
    <t>027476</t>
  </si>
  <si>
    <t>JB-4C VWH/R CR</t>
  </si>
  <si>
    <t>#57124</t>
  </si>
  <si>
    <t>027477</t>
  </si>
  <si>
    <t>#57125</t>
  </si>
  <si>
    <t>AT-TERRY DOB/E CR</t>
  </si>
  <si>
    <t>#57109</t>
  </si>
  <si>
    <t>027478</t>
  </si>
  <si>
    <t>027479</t>
  </si>
  <si>
    <t>BPM ロイヤリティ</t>
  </si>
  <si>
    <t>#57129</t>
  </si>
  <si>
    <t>イオンモール京都桂川店</t>
  </si>
  <si>
    <t>367-1イオンモール京都桂川3F</t>
  </si>
  <si>
    <t>D129</t>
  </si>
  <si>
    <t>#57130</t>
  </si>
  <si>
    <t>イオンノア店</t>
  </si>
  <si>
    <t>027480</t>
  </si>
  <si>
    <t>#57131</t>
  </si>
  <si>
    <t>027481</t>
  </si>
  <si>
    <t>ST-C BM/R CR</t>
  </si>
  <si>
    <t>#57132</t>
  </si>
  <si>
    <t>027482</t>
  </si>
  <si>
    <t>#57133</t>
  </si>
  <si>
    <t>027483</t>
  </si>
  <si>
    <t>#57134</t>
  </si>
  <si>
    <t>16-13大和田第1ビル6F</t>
    <rPh sb="4" eb="7">
      <t>オオワダ</t>
    </rPh>
    <rPh sb="7" eb="9">
      <t>ダイイチ</t>
    </rPh>
    <phoneticPr fontId="2"/>
  </si>
  <si>
    <t>027484</t>
  </si>
  <si>
    <t>AT-TERRY HS/E CR</t>
  </si>
  <si>
    <t>#57110</t>
  </si>
  <si>
    <t>027485</t>
  </si>
  <si>
    <t>AT-TERRY CDC/E CR</t>
  </si>
  <si>
    <t>#57111</t>
  </si>
  <si>
    <t>027486</t>
  </si>
  <si>
    <t>#57135</t>
  </si>
  <si>
    <t>027487</t>
  </si>
  <si>
    <t>ロックイン新宿</t>
  </si>
  <si>
    <t>MBC-5TN HC/E GO</t>
  </si>
  <si>
    <t>#00025</t>
  </si>
  <si>
    <t>027488</t>
  </si>
  <si>
    <t>GUITAR HARDCASE</t>
  </si>
  <si>
    <t>027489</t>
  </si>
  <si>
    <t>MBC-5TN BKR/E GO</t>
  </si>
  <si>
    <t>#00020</t>
  </si>
  <si>
    <t>027490</t>
  </si>
  <si>
    <t>#00017</t>
  </si>
  <si>
    <t>027491</t>
  </si>
  <si>
    <t>TE-C BK/R CR</t>
  </si>
  <si>
    <t>#57136</t>
  </si>
  <si>
    <t>MBC-6TN</t>
  </si>
  <si>
    <t>MBC-6TN</t>
    <phoneticPr fontId="2"/>
  </si>
  <si>
    <t>027492</t>
  </si>
  <si>
    <t>MBC-6TN ATM/E GO</t>
  </si>
  <si>
    <t>#00028</t>
  </si>
  <si>
    <t>027493</t>
  </si>
  <si>
    <t>#00030</t>
  </si>
  <si>
    <t>027494</t>
  </si>
  <si>
    <t>#00022</t>
  </si>
  <si>
    <t>027495</t>
  </si>
  <si>
    <t>AT-TERRY CGR/E CR</t>
  </si>
  <si>
    <t>#57112</t>
  </si>
  <si>
    <t>027496</t>
  </si>
  <si>
    <t>CLIMB-6OX WG/P GO</t>
  </si>
  <si>
    <t>027497</t>
  </si>
  <si>
    <t>027498</t>
  </si>
  <si>
    <t>三角H ピック</t>
  </si>
  <si>
    <t>027499</t>
  </si>
  <si>
    <t>#00026</t>
  </si>
  <si>
    <t>027500</t>
  </si>
  <si>
    <t>#00021</t>
  </si>
  <si>
    <t>ST KADOMATSU MODEL</t>
  </si>
  <si>
    <t>#TK0011</t>
  </si>
  <si>
    <t>ST-C SBU/R CR</t>
  </si>
  <si>
    <t>#57138</t>
  </si>
  <si>
    <t>三角XH ピック</t>
  </si>
  <si>
    <t>JB-4A BT/R CR</t>
  </si>
  <si>
    <t>#57139</t>
  </si>
  <si>
    <t>#57140</t>
  </si>
  <si>
    <t>PB-4C BM/R CR</t>
  </si>
  <si>
    <t>#57141</t>
  </si>
  <si>
    <t>JB-4C SWH/M CR</t>
  </si>
  <si>
    <t>#57142</t>
  </si>
  <si>
    <t>#57143</t>
  </si>
  <si>
    <t>ST-C BLD/R GO</t>
  </si>
  <si>
    <t>#57144</t>
  </si>
  <si>
    <t>027501</t>
  </si>
  <si>
    <t>RM-DXII WSB/R GO</t>
  </si>
  <si>
    <t>#57145</t>
  </si>
  <si>
    <t>027502</t>
  </si>
  <si>
    <t>#57146</t>
  </si>
  <si>
    <t>TE-C MG/R GO</t>
    <phoneticPr fontId="2"/>
  </si>
  <si>
    <t>027503</t>
  </si>
  <si>
    <t>ST-CUSTOM CRT/R CR</t>
  </si>
  <si>
    <t>#57147</t>
    <phoneticPr fontId="2"/>
  </si>
  <si>
    <t>027504</t>
  </si>
  <si>
    <t>#TK0012</t>
  </si>
  <si>
    <t>ST KADOMATSU MODEL</t>
    <phoneticPr fontId="2"/>
  </si>
  <si>
    <t>027505</t>
  </si>
  <si>
    <t>リペア（宮地神田分）</t>
  </si>
  <si>
    <t>A10</t>
    <phoneticPr fontId="2"/>
  </si>
  <si>
    <t xml:space="preserve">ベースハウス池袋 </t>
    <rPh sb="6" eb="8">
      <t>イケブクロ</t>
    </rPh>
    <phoneticPr fontId="2"/>
  </si>
  <si>
    <t>ロックハウス池袋</t>
    <rPh sb="6" eb="8">
      <t>イケブクロ</t>
    </rPh>
    <phoneticPr fontId="2"/>
  </si>
  <si>
    <t>A11</t>
    <phoneticPr fontId="2"/>
  </si>
  <si>
    <t>ベースステーション秋葉原</t>
    <rPh sb="9" eb="12">
      <t>アキハバラ</t>
    </rPh>
    <phoneticPr fontId="2"/>
  </si>
  <si>
    <t>027506</t>
  </si>
  <si>
    <t>#57118</t>
  </si>
  <si>
    <t>RM-DXII BK/M CR</t>
    <phoneticPr fontId="2"/>
  </si>
  <si>
    <t>JB-5A SUTOH SWH</t>
  </si>
  <si>
    <t>#57148</t>
  </si>
  <si>
    <t>027507</t>
  </si>
  <si>
    <t>027508</t>
  </si>
  <si>
    <t>#57149</t>
  </si>
  <si>
    <t>027509</t>
  </si>
  <si>
    <t>JB-5A SBU/M CR</t>
  </si>
  <si>
    <t>#57150</t>
  </si>
  <si>
    <t>027510</t>
  </si>
  <si>
    <t>JB-4C TBU/E CR</t>
  </si>
  <si>
    <t>#57151</t>
  </si>
  <si>
    <t>027511</t>
  </si>
  <si>
    <t>JJ-4OX WN/E BK</t>
  </si>
  <si>
    <t>#58001</t>
  </si>
  <si>
    <t>027512</t>
  </si>
  <si>
    <t>#57152</t>
  </si>
  <si>
    <t>JB-5A WSB/E GO</t>
  </si>
  <si>
    <t>#57153</t>
  </si>
  <si>
    <t>027512</t>
    <phoneticPr fontId="2"/>
  </si>
  <si>
    <t>JB-5A CG/E GO</t>
  </si>
  <si>
    <t>#57154</t>
    <phoneticPr fontId="2"/>
  </si>
  <si>
    <t>JB-4A TBK/E CR</t>
  </si>
  <si>
    <t>#57155</t>
  </si>
  <si>
    <t>JB-4A WSB/E GO</t>
  </si>
  <si>
    <t>#57156</t>
  </si>
  <si>
    <t>JB-5A ON/E  GO</t>
    <phoneticPr fontId="2"/>
  </si>
  <si>
    <t>027513</t>
  </si>
  <si>
    <t>#57128</t>
  </si>
  <si>
    <t>JJ-4OX WN/E GO</t>
  </si>
  <si>
    <t>#56995</t>
  </si>
  <si>
    <t>027513</t>
    <phoneticPr fontId="2"/>
  </si>
  <si>
    <t>027514</t>
  </si>
  <si>
    <t>027515</t>
  </si>
  <si>
    <t>JJ-4OX BK/E GO</t>
  </si>
  <si>
    <t>#57158</t>
  </si>
  <si>
    <t>027516</t>
  </si>
  <si>
    <t>JJ-4OX TBU/M CR</t>
  </si>
  <si>
    <t>#57159</t>
  </si>
  <si>
    <t>027517</t>
  </si>
  <si>
    <t>MS-350 ストラップ</t>
  </si>
  <si>
    <t>027517</t>
    <phoneticPr fontId="2"/>
  </si>
  <si>
    <t>G用ギグケース</t>
    <phoneticPr fontId="2"/>
  </si>
  <si>
    <t>027518</t>
  </si>
  <si>
    <t>027519</t>
  </si>
  <si>
    <t>027520</t>
  </si>
  <si>
    <t>MBC-5TN HR/E GO</t>
  </si>
  <si>
    <t>#00018</t>
  </si>
  <si>
    <t>027521</t>
  </si>
  <si>
    <t>ロックハウス池袋</t>
  </si>
  <si>
    <t>027522</t>
  </si>
  <si>
    <t>027523</t>
  </si>
  <si>
    <t>500KA,500KB POT各20</t>
  </si>
  <si>
    <t>027524</t>
  </si>
  <si>
    <t>#57160</t>
  </si>
  <si>
    <t>027525</t>
  </si>
  <si>
    <t>GM-OX WSB/M GO</t>
  </si>
  <si>
    <t>#57162</t>
    <phoneticPr fontId="2"/>
  </si>
  <si>
    <t>027526</t>
  </si>
  <si>
    <t>JB-5A N/E CR</t>
  </si>
  <si>
    <t>#57163</t>
  </si>
  <si>
    <t>027527</t>
  </si>
  <si>
    <t>JB-5A MB/E CR</t>
  </si>
  <si>
    <t>#57164</t>
  </si>
  <si>
    <t>027528</t>
  </si>
  <si>
    <t>MBC-5TN CPR/E GO</t>
  </si>
  <si>
    <t>#00027</t>
  </si>
  <si>
    <t>027529</t>
  </si>
  <si>
    <t>027530</t>
  </si>
  <si>
    <t>ポット交換、フレットすり合わせ</t>
  </si>
  <si>
    <t>500KAポット</t>
  </si>
  <si>
    <t>027530</t>
    <phoneticPr fontId="2"/>
  </si>
  <si>
    <t>027531</t>
  </si>
  <si>
    <t>027532</t>
  </si>
  <si>
    <t>#57165</t>
  </si>
  <si>
    <t>027533</t>
  </si>
  <si>
    <t>#57161</t>
  </si>
  <si>
    <t>027534</t>
  </si>
  <si>
    <t>JJ-4 LIMITED PAD/E GO</t>
  </si>
  <si>
    <t>027535</t>
  </si>
  <si>
    <t>#00031</t>
  </si>
  <si>
    <t>027536</t>
  </si>
  <si>
    <t>JB-4A TR/E BK</t>
  </si>
  <si>
    <t>#57167</t>
    <phoneticPr fontId="2"/>
  </si>
  <si>
    <t>027537</t>
  </si>
  <si>
    <t>JJ-4 LARRY</t>
  </si>
  <si>
    <t>#LG0026</t>
  </si>
  <si>
    <t>027538</t>
  </si>
  <si>
    <t>JB-5A SBU/E CR</t>
  </si>
  <si>
    <t>#57168</t>
  </si>
  <si>
    <t>027539</t>
  </si>
  <si>
    <t>CLIMB-5OX BG/E GO</t>
  </si>
  <si>
    <t>#57169</t>
  </si>
  <si>
    <t>027540</t>
  </si>
  <si>
    <t>JB-4A CGS/E CR</t>
  </si>
  <si>
    <t>#57170</t>
  </si>
  <si>
    <t>027541</t>
  </si>
  <si>
    <t>L11</t>
  </si>
  <si>
    <t>L11</t>
    <phoneticPr fontId="2"/>
  </si>
  <si>
    <t>府中フォーリス店</t>
  </si>
  <si>
    <t>府中フォーリス店</t>
    <rPh sb="0" eb="2">
      <t>フチュウ</t>
    </rPh>
    <rPh sb="7" eb="8">
      <t>テン</t>
    </rPh>
    <phoneticPr fontId="2"/>
  </si>
  <si>
    <t>#57172</t>
    <phoneticPr fontId="2"/>
  </si>
  <si>
    <t>ロックハウス池袋</t>
    <phoneticPr fontId="2"/>
  </si>
  <si>
    <t>粗利率</t>
    <rPh sb="0" eb="2">
      <t>アラリ</t>
    </rPh>
    <rPh sb="2" eb="3">
      <t>リツ</t>
    </rPh>
    <phoneticPr fontId="2"/>
  </si>
  <si>
    <t>#57173</t>
  </si>
  <si>
    <t>JB-4C BM/R CR</t>
  </si>
  <si>
    <t>#57174</t>
  </si>
  <si>
    <t>#57175</t>
  </si>
  <si>
    <t>027542</t>
  </si>
  <si>
    <t>RM-DX BK/M CR</t>
  </si>
  <si>
    <t>#57176</t>
  </si>
  <si>
    <t>027543</t>
  </si>
  <si>
    <t>027544</t>
  </si>
  <si>
    <t>027541</t>
    <phoneticPr fontId="2"/>
  </si>
  <si>
    <t>フィール旭川店</t>
    <rPh sb="4" eb="6">
      <t>アサヒカワ</t>
    </rPh>
    <rPh sb="6" eb="7">
      <t>テン</t>
    </rPh>
    <phoneticPr fontId="2"/>
  </si>
  <si>
    <t>フィール旭川店</t>
    <phoneticPr fontId="2"/>
  </si>
  <si>
    <t>JAZZ ピック　1.5mm</t>
  </si>
  <si>
    <t>027543</t>
    <phoneticPr fontId="2"/>
  </si>
  <si>
    <t>D130</t>
  </si>
  <si>
    <t>吉祥寺パルコ店</t>
  </si>
  <si>
    <t>吉祥寺パルコ店</t>
    <rPh sb="0" eb="3">
      <t>キチジョウジ</t>
    </rPh>
    <rPh sb="6" eb="7">
      <t>テン</t>
    </rPh>
    <phoneticPr fontId="2"/>
  </si>
  <si>
    <t>JJ-4OX BUB/E CR</t>
  </si>
  <si>
    <t>#58002</t>
    <phoneticPr fontId="2"/>
  </si>
  <si>
    <t>027545</t>
  </si>
  <si>
    <t>CLIMB-5OX WG/E GO</t>
  </si>
  <si>
    <t>#57179</t>
  </si>
  <si>
    <t>027546</t>
  </si>
  <si>
    <t>#57180</t>
  </si>
  <si>
    <t>027547</t>
  </si>
  <si>
    <t>#57181</t>
  </si>
  <si>
    <t>027548</t>
  </si>
  <si>
    <t>TE-C LPB/R CR</t>
  </si>
  <si>
    <t>#57178</t>
  </si>
  <si>
    <t>027549</t>
  </si>
  <si>
    <t>ST　リペア（ボディ作成、組込）</t>
  </si>
  <si>
    <t>027549</t>
    <phoneticPr fontId="2"/>
  </si>
  <si>
    <t>三角XHピック</t>
  </si>
  <si>
    <t>JB-4C CRT/R GO</t>
  </si>
  <si>
    <t>JJ-4 2TS/E CR</t>
  </si>
  <si>
    <t>#57182</t>
  </si>
  <si>
    <t>#57183</t>
    <phoneticPr fontId="2"/>
  </si>
  <si>
    <t>#57171</t>
  </si>
  <si>
    <t>ZENBU JAPAN返却送料</t>
  </si>
  <si>
    <t>#57185</t>
  </si>
  <si>
    <t>TE-C BLD/M CR</t>
  </si>
  <si>
    <t>DJM BK/E BK</t>
  </si>
  <si>
    <t>#57186</t>
  </si>
  <si>
    <t>#57187</t>
  </si>
  <si>
    <t>#57188</t>
  </si>
  <si>
    <t>#57189</t>
  </si>
  <si>
    <t>027550</t>
  </si>
  <si>
    <t xml:space="preserve">ST KADOMATSU </t>
    <phoneticPr fontId="2"/>
  </si>
  <si>
    <t>027551</t>
  </si>
  <si>
    <t>MJB-505 set</t>
  </si>
  <si>
    <t>027552</t>
  </si>
  <si>
    <t>027549</t>
    <phoneticPr fontId="2"/>
  </si>
  <si>
    <t>#TK0013</t>
    <phoneticPr fontId="2"/>
  </si>
  <si>
    <t>027553</t>
  </si>
  <si>
    <t>#57184</t>
    <phoneticPr fontId="2"/>
  </si>
  <si>
    <t>027554</t>
  </si>
  <si>
    <t>#57192</t>
  </si>
  <si>
    <t>027555</t>
  </si>
  <si>
    <t>#58003</t>
  </si>
  <si>
    <t>027556</t>
  </si>
  <si>
    <t>PB-4C ON/R CR</t>
  </si>
  <si>
    <t>#57191</t>
  </si>
  <si>
    <t>027557</t>
  </si>
  <si>
    <t>#57193</t>
  </si>
  <si>
    <t>027558</t>
  </si>
  <si>
    <t>JJ-5 SUTOH</t>
  </si>
  <si>
    <t>#57194</t>
  </si>
  <si>
    <t>リボレ</t>
    <phoneticPr fontId="2"/>
  </si>
  <si>
    <t>027559</t>
  </si>
  <si>
    <t>027560</t>
  </si>
  <si>
    <t>#57195</t>
  </si>
  <si>
    <t>027561</t>
  </si>
  <si>
    <t>#57196</t>
  </si>
  <si>
    <t>027562</t>
  </si>
  <si>
    <t>RM-DXII FER/R CR</t>
  </si>
  <si>
    <t>ST-C LPB/M CR</t>
  </si>
  <si>
    <t>TE-C BLD/R CR</t>
  </si>
  <si>
    <t>#57198</t>
  </si>
  <si>
    <t>#57197</t>
    <phoneticPr fontId="2"/>
  </si>
  <si>
    <t>A00</t>
  </si>
  <si>
    <t>第一四半期リベート</t>
  </si>
  <si>
    <t>#57200</t>
  </si>
  <si>
    <t>#57201</t>
    <phoneticPr fontId="2"/>
  </si>
  <si>
    <t>JM修理</t>
    <phoneticPr fontId="2"/>
  </si>
  <si>
    <t>#57203</t>
  </si>
  <si>
    <t>JJ-5 LARRY</t>
  </si>
  <si>
    <t>#LG0028</t>
  </si>
  <si>
    <t>PB-5C ON/R CR</t>
  </si>
  <si>
    <t>#57205</t>
  </si>
  <si>
    <t>#57204</t>
    <phoneticPr fontId="2"/>
  </si>
  <si>
    <t>#0015</t>
  </si>
  <si>
    <t>PB-4 SHIMIZU</t>
  </si>
  <si>
    <t>#57206</t>
  </si>
  <si>
    <t>#57207</t>
  </si>
  <si>
    <t>JB-5A TBK/E CR</t>
  </si>
  <si>
    <t>#57190</t>
  </si>
  <si>
    <t>PB-4 YASHI-Chan</t>
  </si>
  <si>
    <t>#57208</t>
  </si>
  <si>
    <t>JJ-5LF TOR/E CR</t>
  </si>
  <si>
    <t>#57209</t>
  </si>
  <si>
    <t>#57210</t>
  </si>
  <si>
    <t>#57202</t>
    <phoneticPr fontId="2"/>
  </si>
  <si>
    <t>ビス</t>
  </si>
  <si>
    <t>#57199</t>
  </si>
  <si>
    <t>TE-C BSC/M CR</t>
  </si>
  <si>
    <t>#57211</t>
  </si>
  <si>
    <t>PB-4C BT/R CR</t>
  </si>
  <si>
    <t>#57212</t>
  </si>
  <si>
    <t>027563</t>
  </si>
  <si>
    <t>#57213</t>
  </si>
  <si>
    <t>027564</t>
  </si>
  <si>
    <t>027565</t>
  </si>
  <si>
    <t>ST-B CAR/E BK</t>
  </si>
  <si>
    <t>#57214</t>
  </si>
  <si>
    <t>027566</t>
  </si>
  <si>
    <t>ST-E CAR/E CR</t>
  </si>
  <si>
    <t>#57215</t>
  </si>
  <si>
    <t>027567</t>
  </si>
  <si>
    <t>JB-4A DR/M CR</t>
  </si>
  <si>
    <t>#57177</t>
  </si>
  <si>
    <t>027568</t>
  </si>
  <si>
    <t>#57216</t>
  </si>
  <si>
    <t>027569</t>
  </si>
  <si>
    <t>#57217</t>
  </si>
  <si>
    <t>A02</t>
    <phoneticPr fontId="2"/>
  </si>
  <si>
    <t>ST-C BK/M CR</t>
  </si>
  <si>
    <t>#57218</t>
  </si>
  <si>
    <t>ST-C FR/R CR</t>
  </si>
  <si>
    <t>#57219</t>
    <phoneticPr fontId="2"/>
  </si>
  <si>
    <t>#57220</t>
  </si>
  <si>
    <t>#57204</t>
  </si>
  <si>
    <t>027570</t>
  </si>
  <si>
    <t>027571</t>
  </si>
  <si>
    <t>CLIMB-6OX WG/E GO</t>
  </si>
  <si>
    <t>#57221</t>
  </si>
  <si>
    <t>027572</t>
  </si>
  <si>
    <t>JB-4A DR/E CR</t>
  </si>
  <si>
    <t>#57222</t>
  </si>
  <si>
    <t>027573</t>
  </si>
  <si>
    <t>#LG027</t>
  </si>
  <si>
    <t>027574</t>
  </si>
  <si>
    <t>P/G交換　WH3P</t>
  </si>
  <si>
    <t>027575</t>
  </si>
  <si>
    <t>JB-4 OT パーツ交換</t>
  </si>
  <si>
    <t>027576</t>
  </si>
  <si>
    <t>#57223</t>
  </si>
  <si>
    <t>ララポート海老名</t>
  </si>
  <si>
    <t>#58004</t>
  </si>
  <si>
    <t>TE ビス　GO</t>
  </si>
  <si>
    <t>PB-4C ON/M CR</t>
  </si>
  <si>
    <t>#57227</t>
  </si>
  <si>
    <t>えきマチ1丁目佐世保店</t>
    <rPh sb="5" eb="7">
      <t>チョウメ</t>
    </rPh>
    <rPh sb="7" eb="10">
      <t>サセボ</t>
    </rPh>
    <rPh sb="10" eb="11">
      <t>テン</t>
    </rPh>
    <phoneticPr fontId="2"/>
  </si>
  <si>
    <t>027577</t>
  </si>
  <si>
    <t>えきマチ1丁目佐世保店</t>
  </si>
  <si>
    <t>#57228</t>
  </si>
  <si>
    <t>027578</t>
  </si>
  <si>
    <t>#57166</t>
  </si>
  <si>
    <t>027579</t>
  </si>
  <si>
    <t>川名様リペア</t>
  </si>
  <si>
    <t>すり合わせ、ネック調整他</t>
  </si>
  <si>
    <t>027580</t>
  </si>
  <si>
    <t>#57229</t>
  </si>
  <si>
    <t>1229</t>
  </si>
  <si>
    <t>Bass Japan Direct</t>
    <phoneticPr fontId="2"/>
  </si>
  <si>
    <t>134-0087</t>
    <phoneticPr fontId="2"/>
  </si>
  <si>
    <t>1-1-16-402</t>
    <phoneticPr fontId="2"/>
  </si>
  <si>
    <t>027581</t>
  </si>
  <si>
    <t>イオン新浦安店</t>
  </si>
  <si>
    <t>JAZZ PICK H</t>
  </si>
  <si>
    <t>A</t>
    <phoneticPr fontId="2"/>
  </si>
  <si>
    <t>027582</t>
  </si>
  <si>
    <t>027583</t>
  </si>
  <si>
    <t>#57230</t>
  </si>
  <si>
    <t>027584</t>
  </si>
  <si>
    <t>NTBT</t>
  </si>
  <si>
    <t>027585</t>
  </si>
  <si>
    <t>Ａ</t>
    <phoneticPr fontId="2"/>
  </si>
  <si>
    <t>Ｂ</t>
    <phoneticPr fontId="2"/>
  </si>
  <si>
    <t>Ｃ</t>
    <phoneticPr fontId="2"/>
  </si>
  <si>
    <t>本数</t>
    <rPh sb="0" eb="2">
      <t>ホンスウ</t>
    </rPh>
    <phoneticPr fontId="2"/>
  </si>
  <si>
    <t>TBL_NAME</t>
    <phoneticPr fontId="2"/>
  </si>
  <si>
    <t>FLD_NAME</t>
    <phoneticPr fontId="2"/>
  </si>
  <si>
    <t>TYPE</t>
    <phoneticPr fontId="2"/>
  </si>
  <si>
    <t>LEN</t>
    <phoneticPr fontId="2"/>
  </si>
  <si>
    <t>ZERO</t>
    <phoneticPr fontId="2"/>
  </si>
  <si>
    <t>売上日計</t>
    <rPh sb="0" eb="2">
      <t>ウリアゲ</t>
    </rPh>
    <rPh sb="2" eb="4">
      <t>ニッケイ</t>
    </rPh>
    <phoneticPr fontId="2"/>
  </si>
  <si>
    <t>dbLong</t>
    <phoneticPr fontId="2"/>
  </si>
  <si>
    <t>P</t>
    <phoneticPr fontId="2"/>
  </si>
  <si>
    <t>dbDate</t>
    <phoneticPr fontId="2"/>
  </si>
  <si>
    <t>dbText</t>
    <phoneticPr fontId="2"/>
  </si>
  <si>
    <t>dbSingle</t>
    <phoneticPr fontId="2"/>
  </si>
  <si>
    <t>dbInteger</t>
    <phoneticPr fontId="2"/>
  </si>
  <si>
    <t>BB</t>
    <phoneticPr fontId="2"/>
  </si>
  <si>
    <t>連番</t>
  </si>
  <si>
    <t>売上日</t>
  </si>
  <si>
    <t>伝票番号</t>
  </si>
  <si>
    <t>請求月</t>
  </si>
  <si>
    <t>顧客名</t>
  </si>
  <si>
    <t>支店名</t>
  </si>
  <si>
    <t>機種コード</t>
  </si>
  <si>
    <t>機種名</t>
  </si>
  <si>
    <t>商品名</t>
  </si>
  <si>
    <t>ｼﾘｱﾙ番号</t>
  </si>
  <si>
    <t>定価</t>
  </si>
  <si>
    <t>掛率</t>
  </si>
  <si>
    <t>数量</t>
  </si>
  <si>
    <t>単価</t>
  </si>
  <si>
    <t>売上高</t>
  </si>
  <si>
    <t>粗利</t>
  </si>
  <si>
    <t>C</t>
  </si>
  <si>
    <t>BB</t>
  </si>
  <si>
    <t>CC</t>
  </si>
  <si>
    <t>担当</t>
  </si>
  <si>
    <t>１月</t>
    <rPh sb="0" eb="2">
      <t>イチガツ</t>
    </rPh>
    <phoneticPr fontId="2"/>
  </si>
  <si>
    <t>２月</t>
  </si>
  <si>
    <t>３月</t>
  </si>
  <si>
    <t>４月</t>
  </si>
  <si>
    <t>５月</t>
  </si>
  <si>
    <t>６月</t>
  </si>
  <si>
    <t>７月</t>
  </si>
  <si>
    <t>８月</t>
  </si>
  <si>
    <t>９月</t>
  </si>
  <si>
    <t>１０月</t>
  </si>
  <si>
    <t>１１月</t>
  </si>
  <si>
    <t>１２月</t>
  </si>
  <si>
    <t>各月の合計</t>
    <rPh sb="0" eb="2">
      <t>カクツキ</t>
    </rPh>
    <rPh sb="3" eb="5">
      <t>ゴウケイ</t>
    </rPh>
    <phoneticPr fontId="2"/>
  </si>
  <si>
    <t>支店合計</t>
    <rPh sb="0" eb="2">
      <t>シテン</t>
    </rPh>
    <rPh sb="2" eb="4">
      <t>ゴウケイ</t>
    </rPh>
    <phoneticPr fontId="2"/>
  </si>
  <si>
    <t>総合計</t>
    <rPh sb="0" eb="3">
      <t>ソウゴウケイ</t>
    </rPh>
    <phoneticPr fontId="2"/>
  </si>
  <si>
    <t>1230</t>
  </si>
  <si>
    <t>(有)プラグイン　chuya-online.com　</t>
    <rPh sb="0" eb="3">
      <t>ユウ</t>
    </rPh>
    <phoneticPr fontId="2"/>
  </si>
  <si>
    <t>803-0802</t>
    <phoneticPr fontId="2"/>
  </si>
  <si>
    <t>1丁目1番17号</t>
    <rPh sb="1" eb="3">
      <t>チョウメ</t>
    </rPh>
    <rPh sb="4" eb="5">
      <t>バン</t>
    </rPh>
    <rPh sb="7" eb="8">
      <t>ゴウ</t>
    </rPh>
    <phoneticPr fontId="2"/>
  </si>
  <si>
    <t>1231</t>
  </si>
  <si>
    <t>ビックシティギターズ</t>
    <phoneticPr fontId="2"/>
  </si>
  <si>
    <t>451-0031</t>
    <phoneticPr fontId="2"/>
  </si>
  <si>
    <t>4-30-14</t>
    <phoneticPr fontId="2"/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</si>
  <si>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</si>
  <si>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</si>
  <si>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</si>
  <si>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</si>
  <si>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</si>
  <si>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</si>
  <si>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</si>
  <si>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</si>
  <si>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</si>
  <si>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</si>
  <si>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</si>
  <si>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</si>
  <si>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</si>
  <si>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</si>
  <si>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</si>
  <si>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</si>
  <si>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</si>
  <si>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</si>
  <si>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</si>
  <si>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</si>
  <si>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</si>
  <si>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</si>
  <si>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</si>
  <si>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</si>
  <si>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</si>
  <si>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</si>
  <si>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</si>
  <si>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</si>
  <si>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</si>
  <si>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</si>
  <si>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</si>
  <si>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</si>
  <si>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</si>
  <si>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</si>
  <si>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</si>
  <si>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</si>
  <si>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</si>
  <si>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</si>
  <si>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</si>
  <si>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</si>
  <si>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</si>
  <si>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</si>
  <si>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</si>
  <si>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</si>
  <si>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</si>
  <si>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</si>
  <si>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</si>
  <si>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</si>
  <si>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</si>
  <si>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</si>
  <si>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</si>
  <si>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</si>
  <si>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</si>
  <si>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</si>
  <si>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</si>
  <si>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</si>
  <si>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</si>
  <si>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</si>
  <si>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</si>
  <si>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</si>
  <si>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</si>
  <si>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</si>
  <si>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</si>
  <si>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</si>
  <si>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</si>
  <si>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</si>
  <si>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</si>
  <si>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</si>
  <si>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</si>
  <si>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</si>
  <si>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</si>
  <si>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</si>
  <si>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</si>
  <si>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</si>
  <si>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</si>
  <si>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</si>
  <si>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</si>
  <si>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</si>
  <si>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</si>
  <si>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</si>
  <si>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</si>
  <si>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</si>
  <si>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</si>
  <si>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</si>
  <si>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</si>
  <si>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</si>
  <si>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</si>
  <si>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</si>
  <si>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</si>
  <si>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</si>
  <si>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</si>
  <si>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</si>
  <si>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</si>
  <si>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</si>
  <si>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</si>
  <si>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</si>
  <si>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</si>
  <si>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</si>
  <si>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</si>
  <si>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</si>
  <si>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</si>
  <si>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</si>
  <si>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</si>
  <si>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</si>
  <si>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</si>
  <si>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</si>
  <si>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</si>
  <si>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</si>
  <si>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</si>
  <si>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</si>
  <si>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</si>
  <si>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</si>
  <si>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</si>
  <si>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</si>
  <si>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</si>
  <si>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</si>
  <si>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</si>
  <si>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</si>
  <si>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</si>
  <si>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</si>
  <si>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</si>
  <si>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</si>
  <si>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</si>
  <si>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</si>
  <si>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</si>
  <si>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</si>
  <si>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</si>
  <si>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</si>
  <si>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</si>
  <si>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</si>
  <si>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</si>
  <si>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</si>
  <si>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</si>
  <si>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</si>
  <si>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</si>
  <si>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</si>
  <si>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</si>
  <si>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</si>
  <si>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</si>
  <si>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</si>
  <si>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</si>
  <si>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</si>
  <si>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</si>
  <si>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</si>
  <si>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</si>
  <si>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</si>
  <si>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</si>
  <si>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</si>
  <si>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</si>
  <si>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</si>
  <si>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</si>
  <si>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</si>
  <si>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</si>
  <si>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</si>
  <si>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</si>
  <si>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</si>
  <si>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</si>
  <si>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</si>
  <si>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</si>
  <si>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</si>
  <si>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</si>
  <si>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</si>
  <si>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</si>
  <si>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</si>
  <si>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</si>
  <si>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</si>
  <si>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</si>
  <si>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</si>
  <si>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</si>
  <si>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</si>
  <si>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</si>
  <si>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</si>
  <si>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</si>
  <si>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</si>
  <si>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</si>
  <si>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</si>
  <si>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</si>
  <si>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</si>
  <si>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</si>
  <si>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</si>
  <si>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</si>
  <si>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</si>
  <si>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</si>
  <si>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</si>
  <si>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</si>
  <si>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</si>
  <si>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</si>
  <si>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</si>
  <si>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</si>
  <si>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</si>
  <si>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</si>
  <si>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</si>
  <si>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</si>
  <si>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</si>
  <si>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</si>
  <si>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</si>
  <si>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</si>
  <si>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</si>
  <si>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</si>
  <si>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</si>
  <si>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</si>
  <si>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</si>
  <si>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</si>
  <si>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</si>
  <si>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</si>
  <si>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</si>
  <si>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</si>
  <si>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</si>
  <si>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</si>
  <si>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</si>
  <si>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</si>
  <si>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</si>
  <si>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</si>
  <si>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</si>
  <si>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</si>
  <si>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</si>
  <si>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</si>
  <si>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</si>
  <si>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</si>
  <si>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</si>
  <si>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</si>
  <si>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</si>
  <si>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</si>
  <si>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</si>
  <si>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</si>
  <si>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</si>
  <si>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</si>
  <si>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</si>
  <si>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</si>
  <si>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</si>
  <si>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</si>
  <si>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</si>
  <si>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</si>
  <si>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</si>
  <si>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</si>
  <si>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</si>
  <si>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</si>
  <si>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</si>
  <si>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</si>
  <si>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</si>
  <si>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</si>
  <si>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</si>
  <si>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</si>
  <si>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</si>
  <si>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</si>
  <si>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</si>
  <si>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</si>
  <si>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</si>
  <si>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</si>
  <si>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</si>
  <si>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</si>
  <si>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</si>
  <si>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</si>
  <si>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</si>
  <si>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</si>
  <si>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</si>
  <si>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</si>
  <si>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</si>
  <si>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</si>
  <si>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</si>
  <si>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</si>
  <si>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</si>
  <si>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</si>
  <si>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</si>
  <si>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</si>
  <si>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</si>
  <si>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</si>
  <si>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</si>
  <si>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</si>
  <si>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</si>
  <si>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</si>
  <si>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</si>
  <si>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</si>
  <si>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</si>
  <si>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</si>
  <si>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</si>
  <si>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</si>
  <si>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</si>
  <si>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</si>
  <si>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</si>
  <si>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</si>
  <si>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</si>
  <si>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</si>
  <si>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</si>
  <si>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</si>
  <si>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</si>
  <si>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</si>
  <si>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</si>
  <si>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</si>
  <si>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</si>
  <si>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</si>
  <si>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</si>
  <si>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</si>
  <si>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</si>
  <si>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</si>
  <si>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</si>
  <si>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</si>
  <si>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</si>
  <si>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</si>
  <si>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</si>
  <si>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</si>
  <si>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</si>
  <si>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</si>
  <si>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</si>
  <si>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</si>
  <si>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</si>
  <si>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</si>
  <si>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</si>
  <si>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</si>
  <si>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</si>
  <si>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</si>
  <si>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</si>
  <si>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</si>
  <si>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</si>
  <si>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</si>
  <si>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</si>
  <si>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</si>
  <si>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</si>
  <si>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</si>
  <si>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</si>
  <si>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</si>
  <si>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</si>
  <si>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</si>
  <si>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</si>
  <si>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</si>
  <si>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</si>
  <si>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</si>
  <si>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</si>
  <si>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</si>
  <si>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</si>
  <si>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</si>
  <si>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</si>
  <si>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2929</t>
  </si>
  <si>
    <t>2930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</si>
  <si>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</si>
  <si>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</si>
  <si>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</si>
  <si>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</si>
  <si>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</si>
  <si>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</si>
  <si>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</si>
  <si>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</si>
  <si>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</si>
  <si>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</si>
  <si>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</si>
  <si>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</si>
  <si>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</si>
  <si>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</si>
  <si>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</si>
  <si>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</si>
  <si>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</si>
  <si>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</si>
  <si>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</si>
  <si>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</si>
  <si>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</si>
  <si>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</si>
  <si>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</si>
  <si>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</si>
  <si>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</si>
  <si>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</si>
  <si>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</si>
  <si>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</si>
  <si>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</si>
  <si>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</si>
  <si>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</si>
  <si>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</si>
  <si>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</si>
  <si>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</si>
  <si>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</si>
  <si>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</si>
  <si>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</si>
  <si>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</si>
  <si>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</si>
  <si>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</si>
  <si>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</si>
  <si>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</si>
  <si>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</si>
  <si>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</si>
  <si>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</si>
  <si>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</si>
  <si>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</si>
  <si>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</si>
  <si>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</si>
  <si>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2980</t>
  </si>
  <si>
    <t>2981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</si>
  <si>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</si>
  <si>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</si>
  <si>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</si>
  <si>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</si>
  <si>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</si>
  <si>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</si>
  <si>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</si>
  <si>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</si>
  <si>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</si>
  <si>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</si>
  <si>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</si>
  <si>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</si>
  <si>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</si>
  <si>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</si>
  <si>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</si>
  <si>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</si>
  <si>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</si>
  <si>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</si>
  <si>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</si>
  <si>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</si>
  <si>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</si>
  <si>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</si>
  <si>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</si>
  <si>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</si>
  <si>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</si>
  <si>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</si>
  <si>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</si>
  <si>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</si>
  <si>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</si>
  <si>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</si>
  <si>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</si>
  <si>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</si>
  <si>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</si>
  <si>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</si>
  <si>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</si>
  <si>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</si>
  <si>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</si>
  <si>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</si>
  <si>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</si>
  <si>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</si>
  <si>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</si>
  <si>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</si>
  <si>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</si>
  <si>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</si>
  <si>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</si>
  <si>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</si>
  <si>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</si>
  <si>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</si>
  <si>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</si>
  <si>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</si>
  <si>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</si>
  <si>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</si>
  <si>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</si>
  <si>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</si>
  <si>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</si>
  <si>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</si>
  <si>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</si>
  <si>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</si>
  <si>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</si>
  <si>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</si>
  <si>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</si>
  <si>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</si>
  <si>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</si>
  <si>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</si>
  <si>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</si>
  <si>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</si>
  <si>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</si>
  <si>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</si>
  <si>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</si>
  <si>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</si>
  <si>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</si>
  <si>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</si>
  <si>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</si>
  <si>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</si>
  <si>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</si>
  <si>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</si>
  <si>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</si>
  <si>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</si>
  <si>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</si>
  <si>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</si>
  <si>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</si>
  <si>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</si>
  <si>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</si>
  <si>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</si>
  <si>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</si>
  <si>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</si>
  <si>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</si>
  <si>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</si>
  <si>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</si>
  <si>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</si>
  <si>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</si>
  <si>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</si>
  <si>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</si>
  <si>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</si>
  <si>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</si>
  <si>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</si>
  <si>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</si>
  <si>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</si>
  <si>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</si>
  <si>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</si>
  <si>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</si>
  <si>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</si>
  <si>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</si>
  <si>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</si>
  <si>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</si>
  <si>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</si>
  <si>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</si>
  <si>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</si>
  <si>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</si>
  <si>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</si>
  <si>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</si>
  <si>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</si>
  <si>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</si>
  <si>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</si>
  <si>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</si>
  <si>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</si>
  <si>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</si>
  <si>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</si>
  <si>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</si>
  <si>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</si>
  <si>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</si>
  <si>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</si>
  <si>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</si>
  <si>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</si>
  <si>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</si>
  <si>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</si>
  <si>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</si>
  <si>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</si>
  <si>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</si>
  <si>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</si>
  <si>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</si>
  <si>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</si>
  <si>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</si>
  <si>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</si>
  <si>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</si>
  <si>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</si>
  <si>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</si>
  <si>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</si>
  <si>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</si>
  <si>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</si>
  <si>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</si>
  <si>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</si>
  <si>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</si>
  <si>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</si>
  <si>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</si>
  <si>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</si>
  <si>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</si>
  <si>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</si>
  <si>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</si>
  <si>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</si>
  <si>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</si>
  <si>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</si>
  <si>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</si>
  <si>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</si>
  <si>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</si>
  <si>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</si>
  <si>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</si>
  <si>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</si>
  <si>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</si>
  <si>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</si>
  <si>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</si>
  <si>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</si>
  <si>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</si>
  <si>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</si>
  <si>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</si>
  <si>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</si>
  <si>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</si>
  <si>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</si>
  <si>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</si>
  <si>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</si>
  <si>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</si>
  <si>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</si>
  <si>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</si>
  <si>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</si>
  <si>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</si>
  <si>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</si>
  <si>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</si>
  <si>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</si>
  <si>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</si>
  <si>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</si>
  <si>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</si>
  <si>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</si>
  <si>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</si>
  <si>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</si>
  <si>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</si>
  <si>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</si>
  <si>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</si>
  <si>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027586</t>
  </si>
  <si>
    <t>Bass Japan Direct</t>
  </si>
  <si>
    <t>#57224</t>
  </si>
  <si>
    <t>3169</t>
  </si>
  <si>
    <t>イオンモール甲府昭和店</t>
  </si>
  <si>
    <t>3170</t>
  </si>
  <si>
    <t>029002</t>
    <phoneticPr fontId="2"/>
  </si>
  <si>
    <t>JMリペア</t>
  </si>
  <si>
    <t>3171</t>
  </si>
  <si>
    <t>027587</t>
  </si>
  <si>
    <t>JAZZ  PICK XH ベッコウ</t>
  </si>
  <si>
    <t>3172</t>
  </si>
  <si>
    <t>029001</t>
    <phoneticPr fontId="2"/>
  </si>
  <si>
    <t>GLBリペア　ナット交換</t>
  </si>
  <si>
    <t>3173</t>
  </si>
  <si>
    <t>フレットすり合わせ修理</t>
  </si>
  <si>
    <t>3174</t>
  </si>
  <si>
    <t>027588</t>
  </si>
  <si>
    <t>ST-C CDG/R CR</t>
  </si>
  <si>
    <t>#57233</t>
  </si>
  <si>
    <t>3175</t>
  </si>
  <si>
    <t>027589</t>
  </si>
  <si>
    <t>CLIMB-6OX BG/P GO</t>
  </si>
  <si>
    <t>#57137</t>
  </si>
  <si>
    <t>3176</t>
  </si>
  <si>
    <t>027590</t>
  </si>
  <si>
    <t>宇賀神氏修理</t>
  </si>
  <si>
    <t>すり合わせ、ネック調整</t>
  </si>
  <si>
    <t>3177</t>
  </si>
  <si>
    <t>027591</t>
  </si>
  <si>
    <t>#57234</t>
  </si>
  <si>
    <t>3178</t>
  </si>
  <si>
    <t>027592</t>
  </si>
  <si>
    <t>JB-5A TBU/E CR</t>
  </si>
  <si>
    <t>#57235</t>
  </si>
  <si>
    <t>3179</t>
  </si>
  <si>
    <t>027593</t>
  </si>
  <si>
    <t>#57236</t>
  </si>
  <si>
    <t>3180</t>
  </si>
  <si>
    <t>027594</t>
  </si>
  <si>
    <t>RM-DX VWH/R CR</t>
  </si>
  <si>
    <t>#57237</t>
  </si>
  <si>
    <t>3181</t>
  </si>
  <si>
    <t>028001</t>
    <phoneticPr fontId="2"/>
  </si>
  <si>
    <t>WF-2400 CR</t>
  </si>
  <si>
    <t>3182</t>
  </si>
  <si>
    <t>028002</t>
  </si>
  <si>
    <t>ST-C VWH/R CR</t>
  </si>
  <si>
    <t>#57239</t>
  </si>
  <si>
    <t>3183</t>
  </si>
  <si>
    <t>028003</t>
  </si>
  <si>
    <t>#57240</t>
  </si>
  <si>
    <t>3184</t>
  </si>
  <si>
    <t>028004</t>
  </si>
  <si>
    <t>JB-5-311OX TR/R CR</t>
  </si>
  <si>
    <t>#56769</t>
  </si>
  <si>
    <t>3185</t>
  </si>
  <si>
    <t>028005</t>
  </si>
  <si>
    <t>#TK0014</t>
  </si>
  <si>
    <t>3186</t>
  </si>
  <si>
    <t>028006</t>
  </si>
  <si>
    <t>#57241</t>
  </si>
  <si>
    <t>3187</t>
  </si>
  <si>
    <t>028007</t>
  </si>
  <si>
    <t>M02</t>
  </si>
  <si>
    <t>ベースプラネット</t>
  </si>
  <si>
    <t>#57238</t>
  </si>
  <si>
    <t>3188</t>
  </si>
  <si>
    <t>028008</t>
  </si>
  <si>
    <t>3189</t>
  </si>
  <si>
    <t>028009</t>
  </si>
  <si>
    <t>#57242</t>
  </si>
  <si>
    <t>3190</t>
  </si>
  <si>
    <t>028010</t>
  </si>
  <si>
    <t>千葉店</t>
    <phoneticPr fontId="2"/>
  </si>
  <si>
    <t>P-90 ピックアップカバーBK</t>
  </si>
  <si>
    <t>3191</t>
  </si>
  <si>
    <t>イベント代</t>
  </si>
  <si>
    <t>3192</t>
  </si>
  <si>
    <t>JJ-4修理</t>
  </si>
  <si>
    <t>3193</t>
  </si>
  <si>
    <t>#57245</t>
  </si>
  <si>
    <t>3194</t>
  </si>
  <si>
    <t>028014</t>
  </si>
  <si>
    <t>ST-C OT/M CR</t>
  </si>
  <si>
    <t>#57246</t>
  </si>
  <si>
    <t>3195</t>
  </si>
  <si>
    <t>#57247</t>
  </si>
  <si>
    <t>3196</t>
  </si>
  <si>
    <t>028016</t>
  </si>
  <si>
    <t>#57248</t>
  </si>
  <si>
    <t>3197</t>
  </si>
  <si>
    <t>028017</t>
  </si>
  <si>
    <t>3198</t>
  </si>
  <si>
    <t>028018</t>
  </si>
  <si>
    <t>新宿PePe店</t>
  </si>
  <si>
    <t>3199</t>
  </si>
  <si>
    <t>CLIMB-5OX WN/E GO</t>
  </si>
  <si>
    <t>#57081</t>
  </si>
  <si>
    <t>3200</t>
  </si>
  <si>
    <t>028019</t>
  </si>
  <si>
    <t>林勇吾様</t>
  </si>
  <si>
    <t>JB-4C TBK/M CR</t>
  </si>
  <si>
    <t>#57251</t>
  </si>
  <si>
    <t>3201</t>
  </si>
  <si>
    <t>3202</t>
  </si>
  <si>
    <t>028020</t>
  </si>
  <si>
    <t>秋元健太郎様</t>
  </si>
  <si>
    <t>RM P/G製作　WH3P</t>
  </si>
  <si>
    <t>3203</t>
  </si>
  <si>
    <t>3204</t>
  </si>
  <si>
    <t>028021</t>
  </si>
  <si>
    <t>#57250</t>
  </si>
  <si>
    <t>3205</t>
  </si>
  <si>
    <t>028022</t>
  </si>
  <si>
    <t>3206</t>
  </si>
  <si>
    <t>028023</t>
  </si>
  <si>
    <t>MBC-5TN AE/E GO</t>
  </si>
  <si>
    <t>#0023</t>
  </si>
  <si>
    <t>3207</t>
  </si>
  <si>
    <t>028024</t>
  </si>
  <si>
    <t>#KO0070</t>
  </si>
  <si>
    <t>3208</t>
  </si>
  <si>
    <t>028025</t>
  </si>
  <si>
    <t>#58006</t>
  </si>
  <si>
    <t>3209</t>
  </si>
  <si>
    <t>028026</t>
  </si>
  <si>
    <t>#57226</t>
    <phoneticPr fontId="2"/>
  </si>
  <si>
    <t>3210</t>
  </si>
  <si>
    <t>028027</t>
  </si>
  <si>
    <t>3211</t>
  </si>
  <si>
    <t>3212</t>
  </si>
  <si>
    <t>028028</t>
  </si>
  <si>
    <t>JB-4 LIMITED N/E CR</t>
  </si>
  <si>
    <t>#57252</t>
  </si>
  <si>
    <t>3213</t>
  </si>
  <si>
    <t>028029</t>
  </si>
  <si>
    <t>#57255</t>
  </si>
  <si>
    <t>3214</t>
  </si>
  <si>
    <t>028030</t>
  </si>
  <si>
    <t>#57249</t>
    <phoneticPr fontId="2"/>
  </si>
  <si>
    <t>3215</t>
  </si>
  <si>
    <t>028031</t>
  </si>
  <si>
    <t>3216</t>
  </si>
  <si>
    <t>028032</t>
  </si>
  <si>
    <t>(有)プラグイン　chuya-online.com　</t>
  </si>
  <si>
    <t>3217</t>
  </si>
  <si>
    <t>3218</t>
  </si>
  <si>
    <t>ウッドフィンガーレット</t>
  </si>
  <si>
    <t>3219</t>
  </si>
  <si>
    <t>3220</t>
  </si>
  <si>
    <t>028033</t>
  </si>
  <si>
    <t>3221</t>
  </si>
  <si>
    <t>ビックシティギターズ</t>
  </si>
  <si>
    <t>ST-35th TR/M GO</t>
  </si>
  <si>
    <t>#57260</t>
  </si>
  <si>
    <t>3222</t>
  </si>
  <si>
    <t>028034</t>
  </si>
  <si>
    <t>JJ-4 修理</t>
  </si>
  <si>
    <t>3223</t>
  </si>
  <si>
    <t>3224</t>
  </si>
  <si>
    <t>028035</t>
  </si>
  <si>
    <t>3225</t>
  </si>
  <si>
    <t>3226</t>
  </si>
  <si>
    <t>ムーンTシャツ　ネイビーL　</t>
  </si>
  <si>
    <t>3227</t>
  </si>
  <si>
    <t>028036</t>
  </si>
  <si>
    <t>#57261</t>
  </si>
  <si>
    <t>3228</t>
  </si>
  <si>
    <t>028037</t>
  </si>
  <si>
    <t>#57256</t>
  </si>
  <si>
    <t>3229</t>
  </si>
  <si>
    <t>028038</t>
  </si>
  <si>
    <t>林田様</t>
  </si>
  <si>
    <t>JJ用ジャックプレート　CR</t>
  </si>
  <si>
    <t>3230</t>
  </si>
  <si>
    <t>エンドピン　CR set</t>
  </si>
  <si>
    <t>3231</t>
  </si>
  <si>
    <t>山崎ガット修理</t>
  </si>
  <si>
    <t>3232</t>
  </si>
  <si>
    <t>028039</t>
  </si>
  <si>
    <t>ムーンTシャツ　ピンク　ブルーL</t>
  </si>
  <si>
    <t>3233</t>
  </si>
  <si>
    <t>3234</t>
  </si>
  <si>
    <t>3235</t>
  </si>
  <si>
    <t>#57225</t>
  </si>
  <si>
    <t>3236</t>
  </si>
  <si>
    <t>028040</t>
  </si>
  <si>
    <t>#57262</t>
  </si>
  <si>
    <t>3237</t>
  </si>
  <si>
    <t>3238</t>
  </si>
  <si>
    <t>028041</t>
  </si>
  <si>
    <t>#57253</t>
  </si>
  <si>
    <t>3239</t>
  </si>
  <si>
    <t>028042</t>
  </si>
  <si>
    <t>3240</t>
  </si>
  <si>
    <t>第二四半期リベート</t>
  </si>
  <si>
    <t>3241</t>
  </si>
  <si>
    <t>029004</t>
    <phoneticPr fontId="2"/>
  </si>
  <si>
    <t>ベースビス</t>
  </si>
  <si>
    <t>3242</t>
  </si>
  <si>
    <t>029005</t>
  </si>
  <si>
    <t>JJ-5 リペア</t>
  </si>
  <si>
    <t>支店合計</t>
    <rPh sb="0" eb="2">
      <t>シテン</t>
    </rPh>
    <rPh sb="2" eb="4">
      <t>ゴウケイ</t>
    </rPh>
    <phoneticPr fontId="2"/>
  </si>
  <si>
    <t>メニューシート</t>
    <phoneticPr fontId="2"/>
  </si>
  <si>
    <t>月毎合計</t>
    <rPh sb="0" eb="2">
      <t>ツキゴト</t>
    </rPh>
    <rPh sb="2" eb="4">
      <t>ゴウケイ</t>
    </rPh>
    <phoneticPr fontId="2"/>
  </si>
  <si>
    <t>支店合計比率</t>
    <rPh sb="0" eb="2">
      <t>シテン</t>
    </rPh>
    <rPh sb="2" eb="4">
      <t>ゴウケイ</t>
    </rPh>
    <rPh sb="4" eb="6">
      <t>ヒリツ</t>
    </rPh>
    <phoneticPr fontId="2"/>
  </si>
  <si>
    <t>1232</t>
  </si>
  <si>
    <t>ドルフィンギターズ</t>
    <phoneticPr fontId="2"/>
  </si>
  <si>
    <t>564-0063</t>
    <phoneticPr fontId="2"/>
  </si>
  <si>
    <t>1-23-34第2梓ビル5F</t>
    <rPh sb="7" eb="9">
      <t>ダイニ</t>
    </rPh>
    <rPh sb="9" eb="10">
      <t>アズサ</t>
    </rPh>
    <phoneticPr fontId="2"/>
  </si>
  <si>
    <t>3243</t>
  </si>
  <si>
    <t>029021</t>
    <phoneticPr fontId="2"/>
  </si>
  <si>
    <t>リフレット、セットアップ　</t>
  </si>
  <si>
    <t>3244</t>
  </si>
  <si>
    <t>028043</t>
  </si>
  <si>
    <t>#57257</t>
  </si>
  <si>
    <t>3245</t>
  </si>
  <si>
    <t>3246</t>
  </si>
  <si>
    <t>3247</t>
  </si>
  <si>
    <t>#57268</t>
  </si>
  <si>
    <t>3248</t>
  </si>
  <si>
    <t>#00029</t>
  </si>
  <si>
    <t>3249</t>
  </si>
  <si>
    <t>028044</t>
  </si>
  <si>
    <t>3250</t>
  </si>
  <si>
    <t>028045</t>
  </si>
  <si>
    <t>RM-DXII FR/R CR</t>
  </si>
  <si>
    <t>#57272</t>
  </si>
  <si>
    <t>3251</t>
  </si>
  <si>
    <t>028046</t>
  </si>
  <si>
    <t>ドルフィンギターズ</t>
  </si>
  <si>
    <t>再配線</t>
  </si>
  <si>
    <t>3252</t>
  </si>
  <si>
    <t>028047</t>
  </si>
  <si>
    <t>（有）ヨネザワ楽器</t>
  </si>
  <si>
    <t>JJ-5 フレット交換</t>
  </si>
  <si>
    <t>B</t>
    <phoneticPr fontId="2"/>
  </si>
  <si>
    <t>3253</t>
  </si>
  <si>
    <t>028048</t>
  </si>
  <si>
    <t>#57271</t>
  </si>
  <si>
    <t>3254</t>
  </si>
  <si>
    <t>028049</t>
  </si>
  <si>
    <t>#57270</t>
  </si>
  <si>
    <t>3255</t>
  </si>
  <si>
    <t>028050</t>
  </si>
  <si>
    <t>ST-OX WN/R GO</t>
  </si>
  <si>
    <t>#57273</t>
  </si>
  <si>
    <t>3256</t>
  </si>
  <si>
    <t>028051</t>
  </si>
  <si>
    <t>JB-4C TBT/E GO</t>
  </si>
  <si>
    <t>#57274</t>
  </si>
  <si>
    <t>3257</t>
  </si>
  <si>
    <t>028052</t>
  </si>
  <si>
    <t>山崎RMリペア</t>
  </si>
  <si>
    <t>3258</t>
  </si>
  <si>
    <t>028053</t>
  </si>
  <si>
    <t>#KO0071</t>
    <phoneticPr fontId="2"/>
  </si>
  <si>
    <t>3259</t>
  </si>
  <si>
    <t>028054</t>
  </si>
  <si>
    <t>#56579</t>
  </si>
  <si>
    <t>3260</t>
  </si>
  <si>
    <t>028055</t>
  </si>
  <si>
    <t>3261</t>
  </si>
  <si>
    <t>028056</t>
  </si>
  <si>
    <t>ムーンストラップ　MS-900 BK</t>
  </si>
  <si>
    <t>3262</t>
  </si>
  <si>
    <t>028057</t>
  </si>
  <si>
    <t>JB-5 ノイズ処理、ペグ交換</t>
  </si>
  <si>
    <t>3263</t>
  </si>
  <si>
    <t>028059</t>
  </si>
  <si>
    <t xml:space="preserve">JB-5 SUTOH SWH </t>
  </si>
  <si>
    <t>#57243</t>
  </si>
  <si>
    <t>3264</t>
  </si>
  <si>
    <t>028060</t>
  </si>
  <si>
    <t>#0024</t>
  </si>
  <si>
    <t>3265</t>
  </si>
  <si>
    <t>028061</t>
  </si>
  <si>
    <t>#57258</t>
  </si>
  <si>
    <t>3266</t>
  </si>
  <si>
    <t>028062</t>
  </si>
  <si>
    <t>JB-5A CRT/E GO</t>
    <phoneticPr fontId="2"/>
  </si>
  <si>
    <t>#57275</t>
  </si>
  <si>
    <t>3267</t>
  </si>
  <si>
    <t>028063</t>
  </si>
  <si>
    <t>ソルティドック修理</t>
  </si>
  <si>
    <t>3268</t>
  </si>
  <si>
    <t>028058</t>
  </si>
  <si>
    <t>#57277</t>
  </si>
  <si>
    <t>3269</t>
  </si>
  <si>
    <t>028064</t>
  </si>
  <si>
    <t>#57278</t>
  </si>
  <si>
    <t>3270</t>
  </si>
  <si>
    <t>028065</t>
  </si>
  <si>
    <t>#57266</t>
  </si>
  <si>
    <t>3271</t>
  </si>
  <si>
    <t>028066</t>
  </si>
  <si>
    <t>#57279</t>
  </si>
  <si>
    <t>3272</t>
  </si>
  <si>
    <t>028067</t>
  </si>
  <si>
    <t>3273</t>
  </si>
  <si>
    <t>3274</t>
  </si>
  <si>
    <t>028068</t>
  </si>
  <si>
    <t>#TK0015</t>
  </si>
  <si>
    <t>3275</t>
  </si>
  <si>
    <t>028069</t>
  </si>
  <si>
    <t>#57280</t>
  </si>
  <si>
    <t>3276</t>
  </si>
  <si>
    <t>028070</t>
  </si>
  <si>
    <t>#57281</t>
  </si>
  <si>
    <t>3277</t>
  </si>
  <si>
    <t>028071</t>
  </si>
  <si>
    <t>#57282</t>
  </si>
  <si>
    <t>3278</t>
  </si>
  <si>
    <t>#LG00029</t>
  </si>
  <si>
    <t>3279</t>
  </si>
  <si>
    <t>JJ-4 LARRY BK</t>
  </si>
  <si>
    <t>#LG0030</t>
  </si>
  <si>
    <t>3280</t>
  </si>
  <si>
    <t>#57283</t>
  </si>
  <si>
    <t>3281</t>
  </si>
  <si>
    <t>RM-Jr BK/R CR</t>
  </si>
  <si>
    <t>#57284</t>
  </si>
  <si>
    <t>3282</t>
  </si>
  <si>
    <t>#57285</t>
  </si>
  <si>
    <t>3283</t>
  </si>
  <si>
    <t>#57286</t>
  </si>
  <si>
    <t>3284</t>
  </si>
  <si>
    <t>RM-Jr BK/R CR</t>
    <phoneticPr fontId="2"/>
  </si>
  <si>
    <t>#57287</t>
  </si>
  <si>
    <t>3285</t>
  </si>
  <si>
    <t>RM-Jr VWH/R CR</t>
  </si>
  <si>
    <t>#57288</t>
  </si>
  <si>
    <t>3286</t>
  </si>
  <si>
    <t>#57289</t>
  </si>
  <si>
    <t>3287</t>
  </si>
  <si>
    <t>#57290</t>
  </si>
  <si>
    <t>3288</t>
  </si>
  <si>
    <t>RM-Jr 3TS/R CR</t>
  </si>
  <si>
    <t>#57291</t>
  </si>
  <si>
    <t>3289</t>
  </si>
  <si>
    <t>#57292</t>
  </si>
  <si>
    <t>3290</t>
  </si>
  <si>
    <t>#57293</t>
  </si>
  <si>
    <t>3291</t>
  </si>
  <si>
    <t>ケースストラップ</t>
  </si>
  <si>
    <t>3292</t>
  </si>
  <si>
    <t>3293</t>
  </si>
  <si>
    <t>#57296</t>
  </si>
  <si>
    <t>3294</t>
  </si>
  <si>
    <t>PJ-4C BT/R CR</t>
  </si>
  <si>
    <t>#57269</t>
  </si>
  <si>
    <t>3295</t>
  </si>
  <si>
    <t>TE修理</t>
  </si>
  <si>
    <t>3296</t>
  </si>
  <si>
    <t>#57294</t>
  </si>
  <si>
    <t>3297</t>
  </si>
  <si>
    <t>達成率（予算700万）</t>
    <rPh sb="1" eb="4">
      <t>タッセイリツ</t>
    </rPh>
    <rPh sb="9" eb="10">
      <t>マン</t>
    </rPh>
    <rPh sb="10" eb="11">
      <t>マン</t>
    </rPh>
    <phoneticPr fontId="2"/>
  </si>
  <si>
    <t>3298</t>
  </si>
  <si>
    <t>JB-5A SWH/M GO</t>
  </si>
  <si>
    <t>#57298</t>
  </si>
  <si>
    <t>3299</t>
  </si>
  <si>
    <t>JB-4A DCAR/E CR</t>
  </si>
  <si>
    <t>#57299</t>
  </si>
  <si>
    <t>3300</t>
  </si>
  <si>
    <t>#57300</t>
  </si>
  <si>
    <t>3301</t>
  </si>
  <si>
    <t>JAZZ PICK 1.00mm</t>
  </si>
  <si>
    <t>イオンモール草津店</t>
  </si>
  <si>
    <t>110</t>
  </si>
  <si>
    <t>136</t>
  </si>
  <si>
    <t>136</t>
    <phoneticPr fontId="2"/>
  </si>
  <si>
    <t>108</t>
  </si>
  <si>
    <t>108</t>
    <phoneticPr fontId="2"/>
  </si>
  <si>
    <t>544</t>
  </si>
  <si>
    <t>135</t>
  </si>
  <si>
    <t>135</t>
    <phoneticPr fontId="2"/>
  </si>
  <si>
    <t>1207</t>
  </si>
  <si>
    <t>101</t>
    <phoneticPr fontId="2"/>
  </si>
  <si>
    <t>138</t>
    <phoneticPr fontId="2"/>
  </si>
  <si>
    <t>108</t>
    <phoneticPr fontId="2"/>
  </si>
  <si>
    <t>1207</t>
    <phoneticPr fontId="2"/>
  </si>
  <si>
    <t>135</t>
    <phoneticPr fontId="2"/>
  </si>
  <si>
    <t>110</t>
    <phoneticPr fontId="2"/>
  </si>
  <si>
    <t>918</t>
    <phoneticPr fontId="2"/>
  </si>
  <si>
    <t>136</t>
    <phoneticPr fontId="2"/>
  </si>
  <si>
    <t>101</t>
    <phoneticPr fontId="2"/>
  </si>
  <si>
    <t>801</t>
    <phoneticPr fontId="2"/>
  </si>
  <si>
    <t>602</t>
    <phoneticPr fontId="2"/>
  </si>
  <si>
    <t>102</t>
    <phoneticPr fontId="2"/>
  </si>
  <si>
    <t>506</t>
    <phoneticPr fontId="2"/>
  </si>
  <si>
    <t>1216</t>
    <phoneticPr fontId="2"/>
  </si>
  <si>
    <t>525</t>
    <phoneticPr fontId="2"/>
  </si>
  <si>
    <t>164</t>
    <phoneticPr fontId="2"/>
  </si>
  <si>
    <t>1015</t>
    <phoneticPr fontId="2"/>
  </si>
  <si>
    <t>121</t>
    <phoneticPr fontId="2"/>
  </si>
  <si>
    <t>168</t>
    <phoneticPr fontId="2"/>
  </si>
  <si>
    <t>544</t>
    <phoneticPr fontId="2"/>
  </si>
  <si>
    <t>1224</t>
    <phoneticPr fontId="2"/>
  </si>
  <si>
    <t>921</t>
    <phoneticPr fontId="2"/>
  </si>
  <si>
    <t>1208</t>
    <phoneticPr fontId="2"/>
  </si>
  <si>
    <t>1227</t>
    <phoneticPr fontId="2"/>
  </si>
  <si>
    <t>1211</t>
    <phoneticPr fontId="2"/>
  </si>
  <si>
    <t>912</t>
    <phoneticPr fontId="2"/>
  </si>
  <si>
    <t>0</t>
    <phoneticPr fontId="2"/>
  </si>
  <si>
    <t>0</t>
    <phoneticPr fontId="2"/>
  </si>
  <si>
    <t>1229</t>
    <phoneticPr fontId="2"/>
  </si>
  <si>
    <t>1230</t>
    <phoneticPr fontId="2"/>
  </si>
  <si>
    <t>1231</t>
    <phoneticPr fontId="2"/>
  </si>
  <si>
    <t>161</t>
  </si>
  <si>
    <t>合計請求金額が\30.000以下の場合、振り込み手数料のご負担をお願い致します。</t>
    <rPh sb="0" eb="2">
      <t>ゴウケイ</t>
    </rPh>
    <rPh sb="2" eb="4">
      <t>セイキュウ</t>
    </rPh>
    <rPh sb="4" eb="6">
      <t>キンガク</t>
    </rPh>
    <rPh sb="14" eb="16">
      <t>イカ</t>
    </rPh>
    <rPh sb="17" eb="19">
      <t>バアイ</t>
    </rPh>
    <rPh sb="20" eb="21">
      <t>フ</t>
    </rPh>
    <rPh sb="22" eb="23">
      <t>コ</t>
    </rPh>
    <rPh sb="24" eb="27">
      <t>テスウリョウ</t>
    </rPh>
    <rPh sb="29" eb="31">
      <t>フタン</t>
    </rPh>
    <rPh sb="33" eb="34">
      <t>ネガ</t>
    </rPh>
    <rPh sb="35" eb="36">
      <t>イタ</t>
    </rPh>
    <phoneticPr fontId="2"/>
  </si>
  <si>
    <t>振込銀行：　多摩信用金庫　永山支店（普）0183239 株式会社ムーンギターズ</t>
    <rPh sb="0" eb="2">
      <t>フリコミ</t>
    </rPh>
    <rPh sb="2" eb="4">
      <t>ギンコウ</t>
    </rPh>
    <rPh sb="6" eb="8">
      <t>タマ</t>
    </rPh>
    <rPh sb="8" eb="10">
      <t>シンヨウ</t>
    </rPh>
    <rPh sb="10" eb="12">
      <t>キンコ</t>
    </rPh>
    <rPh sb="13" eb="15">
      <t>ナガヤマ</t>
    </rPh>
    <rPh sb="15" eb="17">
      <t>シテン</t>
    </rPh>
    <rPh sb="18" eb="19">
      <t>ススム</t>
    </rPh>
    <rPh sb="28" eb="30">
      <t>カブシキ</t>
    </rPh>
    <rPh sb="30" eb="32">
      <t>カイシャ</t>
    </rPh>
    <phoneticPr fontId="2"/>
  </si>
  <si>
    <t>3302</t>
  </si>
  <si>
    <t>JB-4A CRT/E GO</t>
  </si>
  <si>
    <t>#57297</t>
  </si>
  <si>
    <t>3303</t>
  </si>
  <si>
    <t>J04</t>
  </si>
  <si>
    <t>神田営業部</t>
  </si>
  <si>
    <t>神田営業部</t>
    <rPh sb="0" eb="2">
      <t>カンダ</t>
    </rPh>
    <rPh sb="2" eb="5">
      <t>エイギョウブ</t>
    </rPh>
    <phoneticPr fontId="2"/>
  </si>
  <si>
    <t>3304</t>
  </si>
  <si>
    <t>JB-4OX OT/R CR</t>
  </si>
  <si>
    <t>#57301</t>
  </si>
  <si>
    <t>3305</t>
  </si>
  <si>
    <t>#57244</t>
  </si>
  <si>
    <t>3306</t>
  </si>
  <si>
    <t>#58007</t>
  </si>
  <si>
    <t>3307</t>
  </si>
  <si>
    <t>3308</t>
  </si>
  <si>
    <t>000</t>
  </si>
  <si>
    <t>リードマン</t>
  </si>
  <si>
    <t>OX-PB</t>
  </si>
  <si>
    <t>3309</t>
  </si>
  <si>
    <t>JB-4A TR/E CR</t>
  </si>
  <si>
    <t>#57267</t>
  </si>
  <si>
    <t>3310</t>
  </si>
  <si>
    <t>3311</t>
  </si>
  <si>
    <t>Tシャツ　XL</t>
  </si>
  <si>
    <t>029002</t>
    <phoneticPr fontId="2"/>
  </si>
  <si>
    <t>3312</t>
  </si>
  <si>
    <t>029003</t>
  </si>
  <si>
    <t>#LG0031</t>
  </si>
  <si>
    <t>3313</t>
  </si>
  <si>
    <t>029004</t>
  </si>
  <si>
    <t>佐山勇太様</t>
  </si>
  <si>
    <t>3314</t>
  </si>
  <si>
    <t>3315</t>
  </si>
  <si>
    <t>029006</t>
  </si>
  <si>
    <t>3316</t>
  </si>
  <si>
    <t>029007</t>
  </si>
  <si>
    <t>938</t>
  </si>
  <si>
    <t>B用ピック　WH</t>
    <phoneticPr fontId="2"/>
  </si>
  <si>
    <t>254-0031</t>
    <phoneticPr fontId="2"/>
  </si>
  <si>
    <t>9-87</t>
    <phoneticPr fontId="2"/>
  </si>
  <si>
    <t>末日</t>
    <rPh sb="0" eb="1">
      <t>マツジツ</t>
    </rPh>
    <phoneticPr fontId="2"/>
  </si>
  <si>
    <t>K12</t>
    <phoneticPr fontId="2"/>
  </si>
  <si>
    <t>JB-5 A</t>
    <phoneticPr fontId="2"/>
  </si>
  <si>
    <t>JB-5A TR/E CR</t>
    <phoneticPr fontId="2"/>
  </si>
  <si>
    <t>#56579</t>
    <phoneticPr fontId="2"/>
  </si>
  <si>
    <t>3317</t>
  </si>
  <si>
    <t>029008</t>
  </si>
  <si>
    <t>#58005</t>
  </si>
  <si>
    <t>3318</t>
  </si>
  <si>
    <t>029009</t>
  </si>
  <si>
    <t>138</t>
  </si>
  <si>
    <t>3319</t>
  </si>
  <si>
    <t>029010</t>
  </si>
  <si>
    <t>JB-5 P/G製作</t>
  </si>
  <si>
    <t>3320</t>
  </si>
  <si>
    <t>029011</t>
  </si>
  <si>
    <t>札幌パルコ店</t>
  </si>
  <si>
    <t>#57306</t>
  </si>
  <si>
    <t>3321</t>
  </si>
  <si>
    <t>029012</t>
  </si>
  <si>
    <t>ダク</t>
  </si>
  <si>
    <t>JJ-4OX CG/E CR</t>
  </si>
  <si>
    <t>#57307</t>
  </si>
  <si>
    <t>3322</t>
  </si>
  <si>
    <t>029013</t>
  </si>
  <si>
    <t>#57309</t>
    <phoneticPr fontId="2"/>
  </si>
  <si>
    <t>RM-DXII BK/M CR</t>
    <phoneticPr fontId="2"/>
  </si>
  <si>
    <t>3323</t>
  </si>
  <si>
    <t>029014</t>
  </si>
  <si>
    <t>#57310</t>
  </si>
  <si>
    <t>3324</t>
  </si>
  <si>
    <t>029015</t>
  </si>
  <si>
    <t>JM-LIMITED BT/R CR</t>
  </si>
  <si>
    <t>#57311</t>
  </si>
  <si>
    <t>3325</t>
  </si>
  <si>
    <t>029016</t>
  </si>
  <si>
    <t>#57312</t>
  </si>
  <si>
    <t>029015</t>
    <phoneticPr fontId="2"/>
  </si>
  <si>
    <t>#57313</t>
  </si>
  <si>
    <t>3324</t>
    <phoneticPr fontId="2"/>
  </si>
  <si>
    <t>JM-LIMITED DR/R CR</t>
  </si>
  <si>
    <t>#57302</t>
  </si>
  <si>
    <t>#57303</t>
  </si>
  <si>
    <t>#57304</t>
  </si>
  <si>
    <t>029016</t>
    <phoneticPr fontId="2"/>
  </si>
  <si>
    <t>3325</t>
    <phoneticPr fontId="2"/>
  </si>
  <si>
    <t>#57314</t>
  </si>
  <si>
    <t>029013</t>
    <phoneticPr fontId="2"/>
  </si>
  <si>
    <t>GB-8 CR</t>
  </si>
  <si>
    <t>029017</t>
    <phoneticPr fontId="2"/>
  </si>
  <si>
    <t>3324</t>
    <phoneticPr fontId="2"/>
  </si>
  <si>
    <t>029018</t>
  </si>
  <si>
    <t>エンドピン交換</t>
  </si>
  <si>
    <t>3326</t>
  </si>
  <si>
    <t>029019</t>
  </si>
  <si>
    <t>JJ-5B WN/E BK FL</t>
  </si>
  <si>
    <t>#57315</t>
  </si>
  <si>
    <t>A01</t>
    <phoneticPr fontId="2"/>
  </si>
  <si>
    <t>ロックハウス池袋</t>
    <phoneticPr fontId="2"/>
  </si>
  <si>
    <t>3327</t>
  </si>
  <si>
    <t>029020</t>
  </si>
  <si>
    <t>#57316</t>
  </si>
  <si>
    <t>3328</t>
  </si>
  <si>
    <t>029021</t>
  </si>
  <si>
    <t>サカイ楽器</t>
  </si>
  <si>
    <t>JB-4MB SBU/R CR</t>
  </si>
  <si>
    <t>3329</t>
  </si>
  <si>
    <t>029022</t>
  </si>
  <si>
    <t>JMフレット交換</t>
  </si>
  <si>
    <t>#57317</t>
    <phoneticPr fontId="2"/>
  </si>
  <si>
    <t>#57320</t>
  </si>
  <si>
    <t>JB-5A TBK/E CR</t>
    <phoneticPr fontId="2"/>
  </si>
  <si>
    <t>3330</t>
  </si>
  <si>
    <t>029023</t>
  </si>
  <si>
    <t>RM 40th Anv BK/R GO</t>
  </si>
  <si>
    <t>#57322</t>
  </si>
  <si>
    <t>3331</t>
  </si>
  <si>
    <t>029024</t>
  </si>
  <si>
    <t>JJ-4B TR/E BK</t>
  </si>
  <si>
    <t>#57326</t>
  </si>
  <si>
    <t>3332</t>
  </si>
  <si>
    <t>029025</t>
  </si>
  <si>
    <t>#57323</t>
  </si>
  <si>
    <t>3333</t>
  </si>
  <si>
    <t>029026</t>
  </si>
  <si>
    <t>ベースプラネット</t>
    <phoneticPr fontId="2"/>
  </si>
  <si>
    <t>3334</t>
  </si>
  <si>
    <t>029027</t>
  </si>
  <si>
    <t>164</t>
  </si>
  <si>
    <t>#57249</t>
  </si>
  <si>
    <t>3335</t>
  </si>
  <si>
    <t>029028</t>
  </si>
  <si>
    <t>#57338</t>
  </si>
  <si>
    <t>3336</t>
  </si>
  <si>
    <t>029029</t>
  </si>
  <si>
    <t>#57324</t>
  </si>
  <si>
    <t>3337</t>
  </si>
  <si>
    <t>029030</t>
  </si>
  <si>
    <t>P-90カバー　IV</t>
  </si>
  <si>
    <t>ネックセットブッシュ GO set</t>
    <phoneticPr fontId="2"/>
  </si>
  <si>
    <t>3338</t>
  </si>
  <si>
    <t>029031</t>
  </si>
  <si>
    <t>3339</t>
  </si>
  <si>
    <t>029032</t>
  </si>
  <si>
    <t>吉田仁</t>
  </si>
  <si>
    <t>なんだ屋</t>
  </si>
  <si>
    <t>なんだ屋</t>
    <rPh sb="3" eb="4">
      <t>ヤ</t>
    </rPh>
    <phoneticPr fontId="2"/>
  </si>
  <si>
    <t>997-0031</t>
    <phoneticPr fontId="2"/>
  </si>
  <si>
    <t>11-12吉田ビル</t>
    <rPh sb="4" eb="6">
      <t>ヨシダ</t>
    </rPh>
    <phoneticPr fontId="2"/>
  </si>
  <si>
    <t>末日</t>
    <rPh sb="0" eb="1">
      <t>マツジツ</t>
    </rPh>
    <phoneticPr fontId="2"/>
  </si>
  <si>
    <t>3340</t>
  </si>
  <si>
    <t>029033</t>
  </si>
  <si>
    <t>165</t>
  </si>
  <si>
    <t>#57339</t>
  </si>
  <si>
    <t>なんだ屋</t>
    <rPh sb="3" eb="4">
      <t>ヤ</t>
    </rPh>
    <phoneticPr fontId="2"/>
  </si>
  <si>
    <t>3341</t>
  </si>
  <si>
    <t>029034</t>
  </si>
  <si>
    <t>#57340</t>
  </si>
  <si>
    <t>3342</t>
  </si>
  <si>
    <t>029035</t>
  </si>
  <si>
    <t>RM-DXII CPG/R CR</t>
  </si>
  <si>
    <t>#57295</t>
  </si>
  <si>
    <t>3343</t>
  </si>
  <si>
    <t>029036</t>
  </si>
  <si>
    <t>H-TL ピック</t>
  </si>
  <si>
    <t>H-ベッコウ　ピック</t>
  </si>
  <si>
    <t>3344</t>
  </si>
  <si>
    <t>029037</t>
  </si>
  <si>
    <t>K26</t>
  </si>
  <si>
    <t>DST 40th Anv DCR</t>
  </si>
  <si>
    <t>#57331</t>
  </si>
  <si>
    <t>3345</t>
  </si>
  <si>
    <t>029038</t>
  </si>
  <si>
    <t>#57325</t>
  </si>
  <si>
    <t>*</t>
    <phoneticPr fontId="2"/>
  </si>
  <si>
    <t>3346</t>
  </si>
  <si>
    <t>029039</t>
  </si>
  <si>
    <t>#57341</t>
  </si>
  <si>
    <t>3347</t>
  </si>
  <si>
    <t>029040</t>
  </si>
  <si>
    <t>JB-4MB BT/R CR</t>
  </si>
  <si>
    <t>#57336</t>
  </si>
  <si>
    <t>3348</t>
  </si>
  <si>
    <t>029041</t>
  </si>
  <si>
    <t>#57342</t>
  </si>
  <si>
    <t>3349</t>
  </si>
  <si>
    <t>029042</t>
  </si>
  <si>
    <t>918</t>
  </si>
  <si>
    <t>DST 40th Anv TBU</t>
  </si>
  <si>
    <t>#57332</t>
  </si>
  <si>
    <t>RM 40th Anv BK/R GO</t>
    <phoneticPr fontId="2"/>
  </si>
  <si>
    <t>3350</t>
  </si>
  <si>
    <t>029043</t>
  </si>
  <si>
    <t>須藤氏クリニック代</t>
  </si>
  <si>
    <t>ムーン Tシャツ　ネイビー</t>
  </si>
  <si>
    <t>K21</t>
    <phoneticPr fontId="2"/>
  </si>
  <si>
    <t>PICK</t>
    <phoneticPr fontId="2"/>
  </si>
  <si>
    <t>コクーンシティさいたま新都心</t>
  </si>
  <si>
    <t>コクーンシティさいたま新都心</t>
    <rPh sb="11" eb="12">
      <t>シン</t>
    </rPh>
    <rPh sb="12" eb="14">
      <t>トシン</t>
    </rPh>
    <phoneticPr fontId="2"/>
  </si>
  <si>
    <t>330-0843</t>
    <phoneticPr fontId="2"/>
  </si>
  <si>
    <t>3351</t>
  </si>
  <si>
    <t>029044</t>
  </si>
  <si>
    <t>3352</t>
  </si>
  <si>
    <t>029045</t>
  </si>
  <si>
    <t>イオンモール名取店</t>
  </si>
  <si>
    <t>3353</t>
  </si>
  <si>
    <t>029046</t>
  </si>
  <si>
    <t>3354</t>
  </si>
  <si>
    <t>029047</t>
  </si>
  <si>
    <t>3355</t>
  </si>
  <si>
    <t>029048</t>
  </si>
  <si>
    <t>#57343</t>
  </si>
  <si>
    <t>3356</t>
  </si>
  <si>
    <t>029049</t>
  </si>
  <si>
    <t>JB-4MB 3TS/R CR</t>
  </si>
  <si>
    <t>#57335</t>
  </si>
  <si>
    <t>3357</t>
  </si>
  <si>
    <t>029050</t>
  </si>
  <si>
    <t>フィフティワンギターズ</t>
  </si>
  <si>
    <t>DST 40th Anv TBK</t>
  </si>
  <si>
    <t>#57333</t>
  </si>
  <si>
    <t>3358</t>
  </si>
  <si>
    <t>029051</t>
  </si>
  <si>
    <t>JB-5A TPK/E CR</t>
  </si>
  <si>
    <t>#57328</t>
  </si>
  <si>
    <t>#57327</t>
  </si>
  <si>
    <t>3358</t>
    <phoneticPr fontId="2"/>
  </si>
  <si>
    <t>029051</t>
    <phoneticPr fontId="2"/>
  </si>
  <si>
    <t>#0019</t>
  </si>
  <si>
    <t>JB-4MB 40th Anv OWH/R CR</t>
  </si>
  <si>
    <t>#57329</t>
  </si>
  <si>
    <t>029051</t>
    <phoneticPr fontId="2"/>
  </si>
  <si>
    <t>3358</t>
    <phoneticPr fontId="2"/>
  </si>
  <si>
    <t>3359</t>
  </si>
  <si>
    <t>029052</t>
  </si>
  <si>
    <t>MBC-5TN BPO/E GO</t>
  </si>
  <si>
    <t>#0012</t>
  </si>
  <si>
    <t>3360</t>
  </si>
  <si>
    <t>029053</t>
  </si>
  <si>
    <t>STボディ製作</t>
  </si>
  <si>
    <t>3361</t>
  </si>
  <si>
    <t>029054</t>
  </si>
  <si>
    <t>JAZZ PICK ベッコウ　H</t>
  </si>
  <si>
    <t>3362</t>
  </si>
  <si>
    <t>029055</t>
  </si>
  <si>
    <t>XH-TL ピック</t>
  </si>
  <si>
    <t>M-TD ピック</t>
  </si>
  <si>
    <t>3363</t>
  </si>
  <si>
    <t>029056</t>
  </si>
  <si>
    <t>3364</t>
  </si>
  <si>
    <t>029057</t>
  </si>
  <si>
    <t>#57231</t>
  </si>
  <si>
    <t>3365</t>
  </si>
  <si>
    <t>029058</t>
  </si>
  <si>
    <t>RM-DXII SPK/R CR</t>
  </si>
  <si>
    <t>#57344</t>
  </si>
  <si>
    <t>1233</t>
  </si>
  <si>
    <t>(株)日本娯楽　LM事業部</t>
    <rPh sb="0" eb="3">
      <t>カブ</t>
    </rPh>
    <rPh sb="3" eb="5">
      <t>ニホン</t>
    </rPh>
    <rPh sb="5" eb="7">
      <t>ゴラク</t>
    </rPh>
    <rPh sb="10" eb="13">
      <t>ジギョウブ</t>
    </rPh>
    <phoneticPr fontId="2"/>
  </si>
  <si>
    <t>722-0014</t>
    <phoneticPr fontId="2"/>
  </si>
  <si>
    <t>末日</t>
    <rPh sb="0" eb="2">
      <t>マツジツ</t>
    </rPh>
    <phoneticPr fontId="2"/>
  </si>
  <si>
    <t>2-7-6</t>
    <phoneticPr fontId="2"/>
  </si>
  <si>
    <t>3366</t>
  </si>
  <si>
    <t>029059</t>
  </si>
  <si>
    <t>(株)日本娯楽　LM事業部</t>
  </si>
  <si>
    <t>JB-4C LPB/R BK</t>
  </si>
  <si>
    <t>#57345</t>
  </si>
  <si>
    <t>D132</t>
  </si>
  <si>
    <t>D132</t>
    <phoneticPr fontId="2"/>
  </si>
  <si>
    <t>月平均</t>
    <rPh sb="0" eb="3">
      <t>ツキヘイキン</t>
    </rPh>
    <phoneticPr fontId="2"/>
  </si>
  <si>
    <t>月平均</t>
    <phoneticPr fontId="2"/>
  </si>
  <si>
    <t>3367</t>
  </si>
  <si>
    <t>029060</t>
  </si>
  <si>
    <t>#57346</t>
  </si>
  <si>
    <t>3368</t>
  </si>
  <si>
    <t>029061</t>
  </si>
  <si>
    <t>ST- OX N/M GO</t>
  </si>
  <si>
    <t>#57347</t>
  </si>
  <si>
    <t>3369</t>
  </si>
  <si>
    <t>029062</t>
  </si>
  <si>
    <t>ST-C SWH/R CR</t>
  </si>
  <si>
    <t>#57348</t>
  </si>
  <si>
    <t>B</t>
    <phoneticPr fontId="2"/>
  </si>
  <si>
    <t>3370</t>
  </si>
  <si>
    <t>029063</t>
  </si>
  <si>
    <t>3371</t>
  </si>
  <si>
    <t>029064</t>
  </si>
  <si>
    <t>#57349</t>
  </si>
  <si>
    <t>お茶の水本店SOUTH</t>
  </si>
  <si>
    <t>3374</t>
  </si>
  <si>
    <t>3375</t>
  </si>
  <si>
    <t>029068</t>
  </si>
  <si>
    <t>#57353</t>
  </si>
  <si>
    <t>3376</t>
  </si>
  <si>
    <t>029069</t>
  </si>
  <si>
    <t>ST-OX WNC/E GO</t>
  </si>
  <si>
    <t>#57308</t>
  </si>
  <si>
    <t>3377</t>
  </si>
  <si>
    <t>029070</t>
  </si>
  <si>
    <t>STアーム　A7 GO</t>
  </si>
  <si>
    <t>3378</t>
  </si>
  <si>
    <t>029071</t>
  </si>
  <si>
    <t>3379</t>
  </si>
  <si>
    <t>029072</t>
  </si>
  <si>
    <t>3380</t>
  </si>
  <si>
    <t>029073</t>
  </si>
  <si>
    <t>DST 40th Anv CGN</t>
  </si>
  <si>
    <t>#57330</t>
  </si>
  <si>
    <t>3381</t>
  </si>
  <si>
    <t>029074</t>
  </si>
  <si>
    <t>#57321</t>
  </si>
  <si>
    <t>1233</t>
    <phoneticPr fontId="2"/>
  </si>
  <si>
    <t>590-0024</t>
    <phoneticPr fontId="2"/>
  </si>
  <si>
    <t>フィフティワンギターズ</t>
    <phoneticPr fontId="2"/>
  </si>
  <si>
    <t>4丁4-4</t>
    <rPh sb="1" eb="2">
      <t>チョウ</t>
    </rPh>
    <phoneticPr fontId="2"/>
  </si>
  <si>
    <t>3382</t>
  </si>
  <si>
    <t>029075</t>
  </si>
  <si>
    <t>937</t>
  </si>
  <si>
    <t>#57354</t>
  </si>
  <si>
    <t>フィフティワンギターズ</t>
    <phoneticPr fontId="2"/>
  </si>
  <si>
    <t>D</t>
    <phoneticPr fontId="2"/>
  </si>
  <si>
    <t>A</t>
    <phoneticPr fontId="2"/>
  </si>
  <si>
    <t>BD</t>
    <phoneticPr fontId="2"/>
  </si>
  <si>
    <t>3383</t>
  </si>
  <si>
    <t>029076</t>
  </si>
  <si>
    <t>#57254</t>
  </si>
  <si>
    <t>3384</t>
  </si>
  <si>
    <t>029077</t>
  </si>
  <si>
    <t>102</t>
  </si>
  <si>
    <t>GM-OX 3TS/R CR</t>
  </si>
  <si>
    <t>#57358</t>
  </si>
  <si>
    <t>029067</t>
  </si>
  <si>
    <t>921</t>
    <phoneticPr fontId="2"/>
  </si>
  <si>
    <t>T02</t>
    <phoneticPr fontId="2"/>
  </si>
  <si>
    <t>大阪店</t>
    <rPh sb="0" eb="2">
      <t>オオサカ</t>
    </rPh>
    <rPh sb="2" eb="3">
      <t>テン</t>
    </rPh>
    <phoneticPr fontId="2"/>
  </si>
  <si>
    <t>K9</t>
    <phoneticPr fontId="2"/>
  </si>
  <si>
    <t>JB-4MB 40th Anv BK/R CR</t>
    <phoneticPr fontId="2"/>
  </si>
  <si>
    <t>#57334</t>
    <phoneticPr fontId="2"/>
  </si>
  <si>
    <t>B</t>
    <phoneticPr fontId="2"/>
  </si>
  <si>
    <t>3385</t>
  </si>
  <si>
    <t>029078</t>
  </si>
  <si>
    <t>#57359</t>
  </si>
  <si>
    <t>3386</t>
  </si>
  <si>
    <t>029079</t>
  </si>
  <si>
    <t>#57319</t>
  </si>
  <si>
    <t>3387</t>
  </si>
  <si>
    <t>029080</t>
  </si>
  <si>
    <t>JB-4 LIMITED VWH</t>
  </si>
  <si>
    <t>#57360</t>
  </si>
  <si>
    <t>3388</t>
  </si>
  <si>
    <t>029081</t>
  </si>
  <si>
    <t>#57355</t>
  </si>
  <si>
    <t>JB-4 LIMITED BK</t>
    <phoneticPr fontId="2"/>
  </si>
  <si>
    <t>3389</t>
  </si>
  <si>
    <t>029082</t>
  </si>
  <si>
    <t>#57361</t>
  </si>
  <si>
    <t>3390</t>
  </si>
  <si>
    <t>029083</t>
  </si>
  <si>
    <t>#57370</t>
  </si>
  <si>
    <t>3391</t>
  </si>
  <si>
    <t>029084</t>
  </si>
  <si>
    <t>#57276</t>
  </si>
  <si>
    <t>3392</t>
  </si>
  <si>
    <t>029085</t>
  </si>
  <si>
    <t>#57371</t>
  </si>
  <si>
    <t>ST-C ON/R CR</t>
    <phoneticPr fontId="2"/>
  </si>
  <si>
    <t>3393</t>
  </si>
  <si>
    <t>029086</t>
  </si>
  <si>
    <t>JB-4LF ON/R CR</t>
  </si>
  <si>
    <t>#57372</t>
  </si>
  <si>
    <t>3394</t>
  </si>
  <si>
    <t>029087</t>
  </si>
  <si>
    <t>PB-4LF 3TS/R CR</t>
  </si>
  <si>
    <t>#57373</t>
  </si>
  <si>
    <t>3395</t>
  </si>
  <si>
    <t>029088</t>
  </si>
  <si>
    <t>#57374</t>
  </si>
  <si>
    <t>3396</t>
  </si>
  <si>
    <t>029089</t>
  </si>
  <si>
    <t>ST-OX TR/M GO</t>
  </si>
  <si>
    <t>#57375</t>
  </si>
  <si>
    <t>3397</t>
  </si>
  <si>
    <t>029090</t>
  </si>
  <si>
    <t>#57376</t>
  </si>
  <si>
    <t>3398</t>
  </si>
  <si>
    <t>JMナット交換</t>
  </si>
  <si>
    <t>3399</t>
  </si>
  <si>
    <t>JB-5 2連ポット取り付け</t>
  </si>
  <si>
    <t>3400</t>
  </si>
  <si>
    <t>029093</t>
  </si>
  <si>
    <t>#57106</t>
  </si>
  <si>
    <t>029005</t>
    <phoneticPr fontId="2"/>
  </si>
  <si>
    <t>029551</t>
    <phoneticPr fontId="2"/>
  </si>
  <si>
    <t>3401</t>
  </si>
  <si>
    <t>029094</t>
  </si>
  <si>
    <t>JAZZ H ピック</t>
  </si>
  <si>
    <t>3402</t>
  </si>
  <si>
    <t>029095</t>
  </si>
  <si>
    <t>PB-4 LIMITED PWH</t>
  </si>
  <si>
    <t>#57357</t>
  </si>
  <si>
    <t>3403</t>
  </si>
  <si>
    <t>029096</t>
  </si>
  <si>
    <t>VILLEX VB1</t>
  </si>
  <si>
    <t>D</t>
    <phoneticPr fontId="2"/>
  </si>
  <si>
    <t>3404</t>
  </si>
  <si>
    <t>029097</t>
  </si>
  <si>
    <t>AGUILAR OBP-3TK</t>
  </si>
  <si>
    <t>B18</t>
  </si>
  <si>
    <t>商品センター</t>
  </si>
  <si>
    <t>商品センター</t>
    <rPh sb="0" eb="2">
      <t>ショウヒン</t>
    </rPh>
    <phoneticPr fontId="2"/>
  </si>
  <si>
    <t>3405</t>
  </si>
  <si>
    <t>029098</t>
  </si>
  <si>
    <t>B用　ギグケース</t>
  </si>
  <si>
    <t>MS-900 BR</t>
  </si>
  <si>
    <t>3406</t>
  </si>
  <si>
    <t>029099</t>
  </si>
  <si>
    <t>KUWABARA JB-5 set</t>
  </si>
  <si>
    <t>3407</t>
  </si>
  <si>
    <t>029100</t>
  </si>
  <si>
    <t>PB-4LF OWH/R CR</t>
  </si>
  <si>
    <t>#57377</t>
  </si>
  <si>
    <t>3408</t>
  </si>
  <si>
    <t>029101</t>
  </si>
  <si>
    <t>ST-C BK/R CR</t>
  </si>
  <si>
    <t>#57378</t>
  </si>
  <si>
    <t>3409</t>
  </si>
  <si>
    <t>029102</t>
  </si>
  <si>
    <t>TE-C OWH/R CR</t>
  </si>
  <si>
    <t>#57379</t>
  </si>
  <si>
    <t>3410</t>
  </si>
  <si>
    <t>029103</t>
  </si>
  <si>
    <t>#57265</t>
  </si>
  <si>
    <t>JB-4A TPK/E CR</t>
  </si>
  <si>
    <t>#57264</t>
  </si>
  <si>
    <t>3411</t>
  </si>
  <si>
    <t>3412</t>
  </si>
  <si>
    <t>029065</t>
    <phoneticPr fontId="2"/>
  </si>
  <si>
    <t>029066</t>
    <phoneticPr fontId="2"/>
  </si>
  <si>
    <t>ルーク・セリック</t>
  </si>
  <si>
    <t>JB-5A BK/E CR</t>
  </si>
  <si>
    <t>#57381</t>
    <phoneticPr fontId="2"/>
  </si>
  <si>
    <t>JB-4LF BT/R CR</t>
  </si>
  <si>
    <t>#57382</t>
  </si>
  <si>
    <t>PB-4LF BT/R CR</t>
  </si>
  <si>
    <t>#57383</t>
  </si>
  <si>
    <t>PB-4LF OT/R CR</t>
  </si>
  <si>
    <t>#57384</t>
  </si>
  <si>
    <t>TE-C SBU/R CR</t>
  </si>
  <si>
    <t>#57385</t>
  </si>
  <si>
    <t>JB-4LF IBM/R CR</t>
  </si>
  <si>
    <t>#57386</t>
  </si>
  <si>
    <t>JB-4 LIMITED BK</t>
  </si>
  <si>
    <t>TE-C BT/R CR</t>
  </si>
  <si>
    <t>#57387</t>
  </si>
  <si>
    <t>#57390</t>
  </si>
  <si>
    <t>#57318</t>
  </si>
  <si>
    <t>RM-DXII CB/R GO</t>
    <phoneticPr fontId="2"/>
  </si>
  <si>
    <t>029091</t>
  </si>
  <si>
    <t>029092</t>
  </si>
  <si>
    <t>イオンモール幕張新都心店</t>
  </si>
  <si>
    <t>#57368</t>
  </si>
  <si>
    <t>#57366</t>
  </si>
  <si>
    <t>#KO0073</t>
  </si>
  <si>
    <t>#KO0074</t>
  </si>
  <si>
    <t>#TK0016</t>
  </si>
  <si>
    <t>ST KADOMATSU</t>
  </si>
  <si>
    <t>#TK0017</t>
  </si>
  <si>
    <t>末日</t>
    <rPh sb="0" eb="2">
      <t>マツジツ</t>
    </rPh>
    <phoneticPr fontId="2"/>
  </si>
  <si>
    <t>#57391</t>
  </si>
  <si>
    <t>147</t>
  </si>
  <si>
    <t>（株）ＯＮＧ</t>
  </si>
  <si>
    <t>ST KYOJI YAMAMOTO</t>
  </si>
  <si>
    <t>#57263</t>
  </si>
  <si>
    <t>末日</t>
    <rPh sb="0" eb="1">
      <t>マツジツ</t>
    </rPh>
    <phoneticPr fontId="2"/>
  </si>
  <si>
    <t>馬渡様修理</t>
  </si>
  <si>
    <t>ネック加工</t>
  </si>
  <si>
    <t>JB-4A OT/R CR</t>
  </si>
  <si>
    <t>#57394</t>
  </si>
  <si>
    <t>月</t>
    <rPh sb="0" eb="1">
      <t>ツキ</t>
    </rPh>
    <phoneticPr fontId="2"/>
  </si>
  <si>
    <t>目標額</t>
    <rPh sb="0" eb="3">
      <t>モクヒョウガク</t>
    </rPh>
    <phoneticPr fontId="2"/>
  </si>
  <si>
    <t>担当／合計額</t>
    <rPh sb="0" eb="2">
      <t>タントウ</t>
    </rPh>
    <rPh sb="3" eb="6">
      <t>ゴウケイガク</t>
    </rPh>
    <phoneticPr fontId="2"/>
  </si>
  <si>
    <t>１ヶ月毎に計算</t>
    <rPh sb="2" eb="3">
      <t>ゲツ</t>
    </rPh>
    <rPh sb="3" eb="4">
      <t>ゴト</t>
    </rPh>
    <rPh sb="5" eb="7">
      <t>ケイサン</t>
    </rPh>
    <phoneticPr fontId="2"/>
  </si>
  <si>
    <t>1月</t>
    <phoneticPr fontId="2"/>
  </si>
  <si>
    <t>A</t>
    <phoneticPr fontId="2"/>
  </si>
  <si>
    <t>B</t>
    <phoneticPr fontId="2"/>
  </si>
  <si>
    <t>C</t>
    <phoneticPr fontId="2"/>
  </si>
  <si>
    <t>月平均</t>
    <rPh sb="0" eb="1">
      <t>ツキ</t>
    </rPh>
    <rPh sb="1" eb="3">
      <t>ヘイキン</t>
    </rPh>
    <phoneticPr fontId="2"/>
  </si>
  <si>
    <t>JB-4 LIMITED BK/R CR</t>
  </si>
  <si>
    <t>#57367</t>
  </si>
  <si>
    <t>#57369</t>
  </si>
  <si>
    <t>029104</t>
  </si>
  <si>
    <t>グランディベース東京</t>
    <phoneticPr fontId="2"/>
  </si>
  <si>
    <t>PB-4MB 40th SWH</t>
  </si>
  <si>
    <t>#57396</t>
  </si>
  <si>
    <t>JB-5 SHIMONO</t>
  </si>
  <si>
    <t>#57397</t>
  </si>
  <si>
    <t>#57380</t>
  </si>
  <si>
    <t>029105</t>
  </si>
  <si>
    <t>525</t>
  </si>
  <si>
    <t>#57398</t>
  </si>
  <si>
    <t>丸井錦糸町店</t>
  </si>
  <si>
    <t>丸井錦糸町店</t>
    <rPh sb="0" eb="2">
      <t>マルイ</t>
    </rPh>
    <rPh sb="2" eb="5">
      <t>キンシチョウ</t>
    </rPh>
    <rPh sb="5" eb="6">
      <t>テン</t>
    </rPh>
    <phoneticPr fontId="2"/>
  </si>
  <si>
    <t>3413</t>
  </si>
  <si>
    <t>029106</t>
  </si>
  <si>
    <t>3414</t>
  </si>
  <si>
    <t>029107</t>
  </si>
  <si>
    <t>3415</t>
  </si>
  <si>
    <t>029108</t>
  </si>
  <si>
    <t>937</t>
    <phoneticPr fontId="2"/>
  </si>
  <si>
    <t>長野店</t>
  </si>
  <si>
    <t>バッテリーボックス</t>
  </si>
  <si>
    <t>仙台イービーンズ店</t>
  </si>
  <si>
    <t>ららぽーと横浜店</t>
  </si>
  <si>
    <t>横浜店</t>
  </si>
  <si>
    <t>E00</t>
  </si>
  <si>
    <t>ST修理</t>
  </si>
  <si>
    <t>JB-LIMITED 3TS/R CR</t>
  </si>
  <si>
    <t>イオンモール綾川店</t>
  </si>
  <si>
    <t>久御山店</t>
  </si>
  <si>
    <t>小倉リバーウォーク店</t>
  </si>
  <si>
    <t>D122</t>
  </si>
  <si>
    <t>オンラインストア</t>
  </si>
  <si>
    <t>エミフルMASAKI店</t>
  </si>
  <si>
    <t>ムーンTシャツ</t>
  </si>
  <si>
    <t>ららぽーと甲子園店</t>
  </si>
  <si>
    <t>3416</t>
  </si>
  <si>
    <t>029109</t>
  </si>
  <si>
    <t>#57399</t>
  </si>
  <si>
    <t>GM-OX BM/M CK</t>
    <phoneticPr fontId="2"/>
  </si>
  <si>
    <t>機種ID</t>
  </si>
  <si>
    <t>本体ID</t>
    <rPh sb="0" eb="2">
      <t>ホンタイ</t>
    </rPh>
    <phoneticPr fontId="2"/>
  </si>
  <si>
    <t>HK1</t>
    <phoneticPr fontId="2"/>
  </si>
  <si>
    <t>ST</t>
    <phoneticPr fontId="2"/>
  </si>
  <si>
    <t>HK2</t>
  </si>
  <si>
    <t>TE</t>
    <phoneticPr fontId="2"/>
  </si>
  <si>
    <t>HK3</t>
  </si>
  <si>
    <t>RM</t>
    <phoneticPr fontId="2"/>
  </si>
  <si>
    <t>HK4</t>
  </si>
  <si>
    <t>AT</t>
    <phoneticPr fontId="2"/>
  </si>
  <si>
    <t>HK5</t>
  </si>
  <si>
    <t>HK6</t>
  </si>
  <si>
    <t>HK7</t>
  </si>
  <si>
    <t>HK8</t>
  </si>
  <si>
    <t>HK9</t>
  </si>
  <si>
    <t>HK10</t>
  </si>
  <si>
    <t>HK11</t>
  </si>
  <si>
    <t>JB-4 A</t>
    <phoneticPr fontId="2"/>
  </si>
  <si>
    <t>HK12</t>
  </si>
  <si>
    <t>JB-5 A</t>
    <phoneticPr fontId="2"/>
  </si>
  <si>
    <t>HK13</t>
  </si>
  <si>
    <t>GM</t>
    <phoneticPr fontId="2"/>
  </si>
  <si>
    <t>HK14</t>
  </si>
  <si>
    <t>PB-4</t>
    <phoneticPr fontId="2"/>
  </si>
  <si>
    <t>HK15</t>
  </si>
  <si>
    <t>PB-5</t>
    <phoneticPr fontId="2"/>
  </si>
  <si>
    <t>HK16</t>
  </si>
  <si>
    <t>CLIMB-5</t>
    <phoneticPr fontId="2"/>
  </si>
  <si>
    <t>HK17</t>
  </si>
  <si>
    <t>CLIMB-6</t>
    <phoneticPr fontId="2"/>
  </si>
  <si>
    <t>HK18</t>
  </si>
  <si>
    <t>RK</t>
    <phoneticPr fontId="2"/>
  </si>
  <si>
    <t>HK19</t>
  </si>
  <si>
    <t>VD</t>
    <phoneticPr fontId="2"/>
  </si>
  <si>
    <t>HK20</t>
  </si>
  <si>
    <t>DST</t>
    <phoneticPr fontId="2"/>
  </si>
  <si>
    <t>HK21</t>
  </si>
  <si>
    <t>JM</t>
    <phoneticPr fontId="2"/>
  </si>
  <si>
    <t>HK22</t>
  </si>
  <si>
    <t>CTE</t>
    <phoneticPr fontId="2"/>
  </si>
  <si>
    <t>HK23</t>
  </si>
  <si>
    <t>MBC-5TN</t>
    <phoneticPr fontId="2"/>
  </si>
  <si>
    <t>HK24</t>
  </si>
  <si>
    <t>MBC-6TN</t>
    <phoneticPr fontId="2"/>
  </si>
  <si>
    <t>A</t>
    <phoneticPr fontId="2"/>
  </si>
  <si>
    <t>B</t>
    <phoneticPr fontId="2"/>
  </si>
  <si>
    <t>*</t>
    <phoneticPr fontId="2"/>
  </si>
  <si>
    <t>*</t>
    <phoneticPr fontId="2"/>
  </si>
  <si>
    <t>*</t>
    <phoneticPr fontId="2"/>
  </si>
  <si>
    <t>年間本体平均単価</t>
    <rPh sb="0" eb="1">
      <t>ネンカン</t>
    </rPh>
    <rPh sb="1" eb="3">
      <t>ホンタイ</t>
    </rPh>
    <rPh sb="4" eb="6">
      <t>ヘイキン</t>
    </rPh>
    <rPh sb="6" eb="8">
      <t>タンカ</t>
    </rPh>
    <phoneticPr fontId="2"/>
  </si>
  <si>
    <t>本数</t>
    <rPh sb="0" eb="1">
      <t>ホンスウ</t>
    </rPh>
    <phoneticPr fontId="2"/>
  </si>
  <si>
    <t>ギター</t>
    <phoneticPr fontId="2"/>
  </si>
  <si>
    <t>ベース</t>
    <phoneticPr fontId="2"/>
  </si>
  <si>
    <t>Ｇ比率</t>
    <rPh sb="1" eb="3">
      <t>ヒリツ</t>
    </rPh>
    <phoneticPr fontId="2"/>
  </si>
  <si>
    <t>Ｂ比率</t>
    <rPh sb="1" eb="3">
      <t>ヒリツ</t>
    </rPh>
    <phoneticPr fontId="2"/>
  </si>
  <si>
    <t>製品本体</t>
    <rPh sb="0" eb="2">
      <t>セイヒン</t>
    </rPh>
    <rPh sb="2" eb="4">
      <t>ホンタイ</t>
    </rPh>
    <phoneticPr fontId="2"/>
  </si>
  <si>
    <t>＊＝ギター</t>
    <phoneticPr fontId="2"/>
  </si>
  <si>
    <t>月平均本数</t>
    <rPh sb="0" eb="3">
      <t>ツキヘイキン</t>
    </rPh>
    <rPh sb="3" eb="5">
      <t>ホンスウ</t>
    </rPh>
    <phoneticPr fontId="2"/>
  </si>
  <si>
    <t>3417</t>
  </si>
  <si>
    <t>029110</t>
  </si>
  <si>
    <t>JB-4C TBB/R CR</t>
  </si>
  <si>
    <t>#57350</t>
  </si>
  <si>
    <t>3418</t>
  </si>
  <si>
    <t>029111</t>
  </si>
  <si>
    <t xml:space="preserve">JJ-4 LARRY </t>
  </si>
  <si>
    <t>3419</t>
  </si>
  <si>
    <t>029112</t>
  </si>
  <si>
    <t>#57400</t>
  </si>
  <si>
    <t>3420</t>
  </si>
  <si>
    <t>029113</t>
  </si>
  <si>
    <t>#KO0075</t>
  </si>
  <si>
    <t>3421</t>
  </si>
  <si>
    <t>029114</t>
  </si>
  <si>
    <t>JB-4 LIMITED 3TS</t>
  </si>
  <si>
    <t>#57365</t>
  </si>
  <si>
    <t>3422</t>
  </si>
  <si>
    <t>029115</t>
  </si>
  <si>
    <t>DST BK/R CR</t>
  </si>
  <si>
    <t>#57401</t>
  </si>
  <si>
    <t>3423</t>
  </si>
  <si>
    <t>029116</t>
  </si>
  <si>
    <t>RM 40th Anv SWH</t>
  </si>
  <si>
    <t>#57404</t>
  </si>
  <si>
    <t>A</t>
    <phoneticPr fontId="2"/>
  </si>
  <si>
    <t>B</t>
    <phoneticPr fontId="2"/>
  </si>
  <si>
    <t>3424</t>
  </si>
  <si>
    <t>029117</t>
  </si>
  <si>
    <t>905</t>
  </si>
  <si>
    <t>バルトリーニ　BC5C-T</t>
  </si>
  <si>
    <t>3425</t>
  </si>
  <si>
    <t>029118</t>
  </si>
  <si>
    <t>#57408</t>
    <phoneticPr fontId="2"/>
  </si>
  <si>
    <t>3426</t>
  </si>
  <si>
    <t>029119</t>
  </si>
  <si>
    <t>#57363</t>
  </si>
  <si>
    <t>3427</t>
  </si>
  <si>
    <t>029120</t>
  </si>
  <si>
    <t>JB-4C TSB/R CR</t>
  </si>
  <si>
    <t>#57351</t>
  </si>
  <si>
    <t>3428</t>
  </si>
  <si>
    <t>029121</t>
  </si>
  <si>
    <t>#57409</t>
  </si>
  <si>
    <t>3429</t>
  </si>
  <si>
    <t>029122</t>
  </si>
  <si>
    <t>JB-4C TLG/R CR</t>
  </si>
  <si>
    <t>#57352</t>
  </si>
  <si>
    <t>3430</t>
  </si>
  <si>
    <t>TE すり合わせ他　リペア</t>
  </si>
  <si>
    <t>029582</t>
    <phoneticPr fontId="2"/>
  </si>
  <si>
    <t>3431</t>
  </si>
  <si>
    <t>029583</t>
  </si>
  <si>
    <t>XH 1.20 WH ティアドロップピック</t>
  </si>
  <si>
    <t>3432</t>
  </si>
  <si>
    <t>029584</t>
  </si>
  <si>
    <t>ムーンTシャツ　NB XL</t>
  </si>
  <si>
    <t>029584</t>
    <phoneticPr fontId="2"/>
  </si>
  <si>
    <t>3432</t>
    <phoneticPr fontId="2"/>
  </si>
  <si>
    <t>Guitar/Bassの比率</t>
    <rPh sb="12" eb="14">
      <t>ヒリツ</t>
    </rPh>
    <phoneticPr fontId="2"/>
  </si>
  <si>
    <t>3433</t>
  </si>
  <si>
    <t>029585</t>
  </si>
  <si>
    <t>168</t>
  </si>
  <si>
    <t>プリ交換</t>
  </si>
  <si>
    <t>3434</t>
  </si>
  <si>
    <t>029586</t>
  </si>
  <si>
    <t>安東様</t>
  </si>
  <si>
    <t>P/G他</t>
  </si>
  <si>
    <t>3435</t>
  </si>
  <si>
    <t>029587</t>
  </si>
  <si>
    <t>MOON B用ハードケース</t>
  </si>
  <si>
    <t>末日</t>
    <rPh sb="0" eb="1">
      <t>マツジツ</t>
    </rPh>
    <phoneticPr fontId="2"/>
  </si>
  <si>
    <t>長野店</t>
    <rPh sb="0" eb="2">
      <t>ナガノ</t>
    </rPh>
    <rPh sb="2" eb="3">
      <t>テン</t>
    </rPh>
    <phoneticPr fontId="2"/>
  </si>
  <si>
    <t>3436</t>
  </si>
  <si>
    <t>029588</t>
  </si>
  <si>
    <t>#57392</t>
  </si>
  <si>
    <t>3437</t>
  </si>
  <si>
    <t>029589</t>
  </si>
  <si>
    <t>#57422</t>
  </si>
  <si>
    <t>3438</t>
  </si>
  <si>
    <t>029590</t>
  </si>
  <si>
    <t>#57423</t>
  </si>
  <si>
    <t>3439</t>
  </si>
  <si>
    <t>029591</t>
  </si>
  <si>
    <t>#57424</t>
  </si>
  <si>
    <t>3440</t>
  </si>
  <si>
    <t>029592</t>
  </si>
  <si>
    <t>#57425</t>
  </si>
  <si>
    <t>3441</t>
  </si>
  <si>
    <t>029593</t>
  </si>
  <si>
    <t>#57427</t>
  </si>
  <si>
    <t>3442</t>
  </si>
  <si>
    <t>029594</t>
  </si>
  <si>
    <t>#57428</t>
  </si>
  <si>
    <t>3443</t>
  </si>
  <si>
    <t>029595</t>
  </si>
  <si>
    <t>OXALIS JBC set</t>
  </si>
  <si>
    <t>3444</t>
  </si>
  <si>
    <t>029596</t>
  </si>
  <si>
    <t>#57429</t>
  </si>
  <si>
    <t>3445</t>
  </si>
  <si>
    <t>029597</t>
  </si>
  <si>
    <t>D133</t>
  </si>
  <si>
    <t>D133</t>
    <phoneticPr fontId="2"/>
  </si>
  <si>
    <t>ららぽーと富士見店</t>
  </si>
  <si>
    <t>ららぽーと富士見店</t>
    <rPh sb="5" eb="8">
      <t>フジミ</t>
    </rPh>
    <rPh sb="8" eb="9">
      <t>テン</t>
    </rPh>
    <phoneticPr fontId="2"/>
  </si>
  <si>
    <t>#57393</t>
    <phoneticPr fontId="2"/>
  </si>
  <si>
    <t>3446</t>
  </si>
  <si>
    <t>029598</t>
  </si>
  <si>
    <t>3447</t>
  </si>
  <si>
    <t>029599</t>
  </si>
  <si>
    <t>TE 40th Anv SWH</t>
  </si>
  <si>
    <t>#57426</t>
  </si>
  <si>
    <t>3448</t>
  </si>
  <si>
    <t>029600</t>
  </si>
  <si>
    <t>#57407</t>
  </si>
  <si>
    <t>3449</t>
  </si>
  <si>
    <t>029601</t>
  </si>
  <si>
    <t>#57421</t>
  </si>
  <si>
    <t>3450</t>
  </si>
  <si>
    <t>029602</t>
  </si>
  <si>
    <t>029603</t>
  </si>
  <si>
    <t>#57305</t>
  </si>
  <si>
    <t>3452</t>
  </si>
  <si>
    <t>#57362</t>
  </si>
  <si>
    <t>029972</t>
    <phoneticPr fontId="2"/>
  </si>
  <si>
    <t>029604</t>
  </si>
  <si>
    <t>JB-4 40th Anv OT</t>
  </si>
  <si>
    <t>#57337</t>
  </si>
  <si>
    <t>3453</t>
  </si>
  <si>
    <t>029605</t>
  </si>
  <si>
    <t>#57403</t>
  </si>
  <si>
    <t>3454</t>
  </si>
  <si>
    <t>029606</t>
  </si>
  <si>
    <t>TE 40th Anv WN</t>
  </si>
  <si>
    <t>#57410</t>
  </si>
  <si>
    <t>3455</t>
  </si>
  <si>
    <t>029607</t>
  </si>
  <si>
    <t>RM 40th Anv WN</t>
  </si>
  <si>
    <t>#57411</t>
  </si>
  <si>
    <t>3456</t>
  </si>
  <si>
    <t>029608</t>
  </si>
  <si>
    <t>#TK0018</t>
    <phoneticPr fontId="2"/>
  </si>
  <si>
    <t>3457</t>
  </si>
  <si>
    <t>029609</t>
  </si>
  <si>
    <t>ST-C CAR/E BK</t>
  </si>
  <si>
    <t>#57438</t>
  </si>
  <si>
    <t>3458</t>
  </si>
  <si>
    <t>029610</t>
  </si>
  <si>
    <t>JMすり合わせ他</t>
  </si>
  <si>
    <t>3459</t>
  </si>
  <si>
    <t>029611</t>
  </si>
  <si>
    <t>3460</t>
  </si>
  <si>
    <t>029612</t>
  </si>
  <si>
    <t>#57419</t>
  </si>
  <si>
    <t>3461</t>
  </si>
  <si>
    <t>029613</t>
  </si>
  <si>
    <t>JB-4C LPB/R CR</t>
  </si>
  <si>
    <t>#57412</t>
  </si>
  <si>
    <t>3462</t>
  </si>
  <si>
    <t>029614</t>
  </si>
  <si>
    <t>RM 40th Anv CHR</t>
  </si>
  <si>
    <t>#57432</t>
  </si>
  <si>
    <t>RM 40th Anv BK</t>
  </si>
  <si>
    <t>#57433</t>
  </si>
  <si>
    <t>RM 40th AnV TVY</t>
  </si>
  <si>
    <t>#57434</t>
  </si>
  <si>
    <t>RM 40th Anv TVW</t>
  </si>
  <si>
    <t>#57435</t>
  </si>
  <si>
    <t>RM 40th Anv PHB</t>
  </si>
  <si>
    <t>#57436</t>
  </si>
  <si>
    <t>RM 40th Anv CB</t>
  </si>
  <si>
    <t>029614</t>
    <phoneticPr fontId="2"/>
  </si>
  <si>
    <t>3462</t>
    <phoneticPr fontId="2"/>
  </si>
  <si>
    <t>B</t>
    <phoneticPr fontId="2"/>
  </si>
  <si>
    <t>3463</t>
  </si>
  <si>
    <t>029615</t>
  </si>
  <si>
    <t>JB-4MB 40th Anv 3TS</t>
  </si>
  <si>
    <t>#57439</t>
  </si>
  <si>
    <t>3464</t>
  </si>
  <si>
    <t>029616</t>
  </si>
  <si>
    <t>JB-4MB 40th Anv SWH</t>
  </si>
  <si>
    <t>#57440</t>
    <phoneticPr fontId="2"/>
  </si>
  <si>
    <t>#57416</t>
    <phoneticPr fontId="2"/>
  </si>
  <si>
    <t>3465</t>
  </si>
  <si>
    <t>029617</t>
  </si>
  <si>
    <t>#57364</t>
  </si>
  <si>
    <t>801</t>
  </si>
  <si>
    <t>3466</t>
  </si>
  <si>
    <t>029618</t>
  </si>
  <si>
    <t>#57417</t>
  </si>
  <si>
    <t>3467</t>
  </si>
  <si>
    <t>029619</t>
  </si>
  <si>
    <t>#57406</t>
  </si>
  <si>
    <t>3468</t>
  </si>
  <si>
    <t>029620</t>
  </si>
  <si>
    <t>PJ-5 3TS/R CR</t>
  </si>
  <si>
    <t>#57441</t>
  </si>
  <si>
    <t>#57443</t>
  </si>
  <si>
    <t>3470</t>
  </si>
  <si>
    <t>029622</t>
  </si>
  <si>
    <t>プリアンプ交換他</t>
  </si>
  <si>
    <t>クラフトジャック</t>
  </si>
  <si>
    <t>3471</t>
  </si>
  <si>
    <t>029623</t>
  </si>
  <si>
    <t>ベースセンターリペア</t>
  </si>
  <si>
    <t>A</t>
    <phoneticPr fontId="2"/>
  </si>
  <si>
    <t>7月</t>
    <phoneticPr fontId="2"/>
  </si>
  <si>
    <t>3472</t>
  </si>
  <si>
    <t>029624</t>
  </si>
  <si>
    <t>MOON M WH オニギリ型ピック</t>
  </si>
  <si>
    <t>3473</t>
  </si>
  <si>
    <t>029625</t>
  </si>
  <si>
    <t>JB-5 SUTOH MODEL</t>
  </si>
  <si>
    <t>#57389</t>
  </si>
  <si>
    <t>3474</t>
  </si>
  <si>
    <t>029626</t>
  </si>
  <si>
    <t>MOON TD-H PICK</t>
  </si>
  <si>
    <t>MOON T-シャツ　L PINK</t>
  </si>
  <si>
    <t>MOON G用ハードケース</t>
  </si>
  <si>
    <t>3475</t>
  </si>
  <si>
    <t>029627</t>
  </si>
  <si>
    <t>#57418</t>
  </si>
  <si>
    <t>3476</t>
  </si>
  <si>
    <t>029628</t>
  </si>
  <si>
    <t>MOON JAZZ PICK XH 1.5</t>
  </si>
  <si>
    <t>3477</t>
  </si>
  <si>
    <t>029629</t>
  </si>
  <si>
    <t>JJ-4OX TBK/E BK</t>
  </si>
  <si>
    <t>#57259</t>
  </si>
  <si>
    <t>3478</t>
  </si>
  <si>
    <t>029630</t>
  </si>
  <si>
    <t>西原育夫氏</t>
  </si>
  <si>
    <t>CLIMB-5 ジャック交換</t>
  </si>
  <si>
    <t>山屋楽器</t>
  </si>
  <si>
    <t>山屋楽器</t>
    <rPh sb="0" eb="2">
      <t>ヤマヤ</t>
    </rPh>
    <rPh sb="2" eb="4">
      <t>ガッキ</t>
    </rPh>
    <phoneticPr fontId="2"/>
  </si>
  <si>
    <t>923-0861</t>
    <phoneticPr fontId="2"/>
  </si>
  <si>
    <t>ナ39-1</t>
    <phoneticPr fontId="2"/>
  </si>
  <si>
    <t>20日</t>
    <rPh sb="2" eb="3">
      <t>ヒ</t>
    </rPh>
    <phoneticPr fontId="2"/>
  </si>
  <si>
    <t>3479</t>
  </si>
  <si>
    <t>029631</t>
  </si>
  <si>
    <t>516</t>
  </si>
  <si>
    <t>#57388</t>
  </si>
  <si>
    <t>（株）ヘッドワックスオーガナイゼーション</t>
  </si>
  <si>
    <t>（株）ヘッドワックスオーガナイゼーション</t>
    <rPh sb="0" eb="3">
      <t>カブ</t>
    </rPh>
    <phoneticPr fontId="2"/>
  </si>
  <si>
    <t>102-0071</t>
    <phoneticPr fontId="2"/>
  </si>
  <si>
    <t>2-5-5イシカワBLD 4F</t>
    <phoneticPr fontId="2"/>
  </si>
  <si>
    <t>末日</t>
    <rPh sb="0" eb="2">
      <t>マツジツ</t>
    </rPh>
    <phoneticPr fontId="2"/>
  </si>
  <si>
    <t>3480</t>
  </si>
  <si>
    <t>029632</t>
  </si>
  <si>
    <t>HEIDI NAO PICK</t>
  </si>
  <si>
    <t>3481</t>
  </si>
  <si>
    <t>029633</t>
  </si>
  <si>
    <t>#57431</t>
  </si>
  <si>
    <t>3482</t>
  </si>
  <si>
    <t>029634</t>
  </si>
  <si>
    <t>MOON STRAP MS-350</t>
  </si>
  <si>
    <t>3483</t>
  </si>
  <si>
    <t>029635</t>
  </si>
  <si>
    <t>#57444</t>
  </si>
  <si>
    <t>3484</t>
  </si>
  <si>
    <t>029636</t>
  </si>
  <si>
    <t>#57445</t>
  </si>
  <si>
    <t>3485</t>
  </si>
  <si>
    <t>029637</t>
  </si>
  <si>
    <t>フィール旭川店</t>
  </si>
  <si>
    <t>3486</t>
  </si>
  <si>
    <t>029638</t>
  </si>
  <si>
    <t>#57446</t>
  </si>
  <si>
    <t>3487</t>
  </si>
  <si>
    <t>029639</t>
  </si>
  <si>
    <t>3488</t>
  </si>
  <si>
    <t>029640</t>
  </si>
  <si>
    <t>3489</t>
  </si>
  <si>
    <t>029641</t>
  </si>
  <si>
    <t>RM-DXII CAR/R CR</t>
  </si>
  <si>
    <t>#57447</t>
  </si>
  <si>
    <t>3490</t>
  </si>
  <si>
    <t>029642</t>
  </si>
  <si>
    <t>3491</t>
  </si>
  <si>
    <t>029643</t>
  </si>
  <si>
    <t>RM-DXII ON/R CR</t>
  </si>
  <si>
    <t>#57450</t>
  </si>
  <si>
    <t>3492</t>
  </si>
  <si>
    <t>029644</t>
  </si>
  <si>
    <t>3493</t>
  </si>
  <si>
    <t>029645</t>
  </si>
  <si>
    <t>#KO0076</t>
  </si>
  <si>
    <t>3494</t>
  </si>
  <si>
    <t>029646</t>
  </si>
  <si>
    <t>#KO0077</t>
  </si>
  <si>
    <t>3495</t>
  </si>
  <si>
    <t>029647</t>
  </si>
  <si>
    <t>3496</t>
  </si>
  <si>
    <t>029648</t>
  </si>
  <si>
    <t>#57454</t>
  </si>
  <si>
    <t>ST-MB 3TS/J CR</t>
    <phoneticPr fontId="2"/>
  </si>
  <si>
    <t>3497</t>
  </si>
  <si>
    <t>029649</t>
  </si>
  <si>
    <t>#57455</t>
  </si>
  <si>
    <t>3498</t>
  </si>
  <si>
    <t>029650</t>
  </si>
  <si>
    <t>#57456</t>
  </si>
  <si>
    <t>3499</t>
  </si>
  <si>
    <t>029651</t>
  </si>
  <si>
    <t>JJ-4B TBU/E BK</t>
  </si>
  <si>
    <t>#57452</t>
  </si>
  <si>
    <t>3500</t>
  </si>
  <si>
    <t>029652</t>
  </si>
  <si>
    <t>#57457</t>
  </si>
  <si>
    <t>3501</t>
  </si>
  <si>
    <t>029653</t>
  </si>
  <si>
    <t>石原　裕様</t>
  </si>
  <si>
    <t>XTCT交換他</t>
  </si>
  <si>
    <t>A</t>
    <phoneticPr fontId="2"/>
  </si>
  <si>
    <t>3502</t>
  </si>
  <si>
    <t>029654</t>
  </si>
  <si>
    <t>#57458</t>
  </si>
  <si>
    <t>3503</t>
  </si>
  <si>
    <t>029655</t>
  </si>
  <si>
    <t>#57459</t>
  </si>
  <si>
    <t>3504</t>
  </si>
  <si>
    <t>029656</t>
  </si>
  <si>
    <t>#57460</t>
  </si>
  <si>
    <t>お茶の水駅前店</t>
    <phoneticPr fontId="2"/>
  </si>
  <si>
    <t>3505</t>
  </si>
  <si>
    <t>029657</t>
  </si>
  <si>
    <t>#57461</t>
  </si>
  <si>
    <t>3506</t>
  </si>
  <si>
    <t>029658</t>
  </si>
  <si>
    <t>#57462</t>
  </si>
  <si>
    <t>3507</t>
  </si>
  <si>
    <t>029659</t>
  </si>
  <si>
    <t>藤原様</t>
  </si>
  <si>
    <t>3508</t>
  </si>
  <si>
    <t>029660</t>
  </si>
  <si>
    <t>#57463</t>
  </si>
  <si>
    <t>029659</t>
    <phoneticPr fontId="2"/>
  </si>
  <si>
    <t>3509</t>
  </si>
  <si>
    <t>3510</t>
  </si>
  <si>
    <t>029661</t>
  </si>
  <si>
    <t>JAZZ PICK 1.0mm ベッコウ</t>
  </si>
  <si>
    <t>MOON Tシャツ　PINK L</t>
  </si>
  <si>
    <t>MOON Tシャツ　NAVY M</t>
  </si>
  <si>
    <t>3511</t>
  </si>
  <si>
    <t>029662</t>
  </si>
  <si>
    <t>3512</t>
  </si>
  <si>
    <t>029663</t>
  </si>
  <si>
    <t>#57442</t>
  </si>
  <si>
    <t>3513</t>
  </si>
  <si>
    <t>029664</t>
  </si>
  <si>
    <t>#57420</t>
  </si>
  <si>
    <t>3514</t>
  </si>
  <si>
    <t>029665</t>
  </si>
  <si>
    <t>#57465</t>
  </si>
  <si>
    <t>JB-4MB 40th Anv BK</t>
    <phoneticPr fontId="2"/>
  </si>
  <si>
    <t>3515</t>
  </si>
  <si>
    <t>029666</t>
  </si>
  <si>
    <t>JB-5MB 40th Anv BLD</t>
  </si>
  <si>
    <t>#57466</t>
  </si>
  <si>
    <t>3516</t>
  </si>
  <si>
    <t>029667</t>
  </si>
  <si>
    <t>PJ-4MB 40th Anv OWH</t>
  </si>
  <si>
    <t>3517</t>
  </si>
  <si>
    <t>029668</t>
  </si>
  <si>
    <t>#57468</t>
  </si>
  <si>
    <t>#57467</t>
    <phoneticPr fontId="2"/>
  </si>
  <si>
    <t>3518</t>
  </si>
  <si>
    <t>029669</t>
  </si>
  <si>
    <t>#57469</t>
  </si>
  <si>
    <t>3519</t>
  </si>
  <si>
    <t>029670</t>
  </si>
  <si>
    <t>TE-C BSB/M CR</t>
  </si>
  <si>
    <t>#57470</t>
  </si>
  <si>
    <t>3520</t>
  </si>
  <si>
    <t>029671</t>
  </si>
  <si>
    <t>3521</t>
  </si>
  <si>
    <t>029672</t>
  </si>
  <si>
    <t>3522</t>
  </si>
  <si>
    <t>029673</t>
  </si>
  <si>
    <t>PB-4C SWH/M CR</t>
  </si>
  <si>
    <t>#57471</t>
  </si>
  <si>
    <t>3523</t>
  </si>
  <si>
    <t>029674</t>
  </si>
  <si>
    <t>#57472</t>
  </si>
  <si>
    <t>3524</t>
  </si>
  <si>
    <t>029675</t>
  </si>
  <si>
    <t>604</t>
  </si>
  <si>
    <t>#57473</t>
  </si>
  <si>
    <t>3525</t>
  </si>
  <si>
    <t>029676</t>
  </si>
  <si>
    <t>#57474</t>
    <phoneticPr fontId="2"/>
  </si>
  <si>
    <t>3526</t>
  </si>
  <si>
    <t>029677</t>
  </si>
  <si>
    <t>JBエンドピン修理</t>
  </si>
  <si>
    <t>3527</t>
  </si>
  <si>
    <t>029678</t>
  </si>
  <si>
    <t>JB-4 LIMITED SBU</t>
  </si>
  <si>
    <t>#57475</t>
  </si>
  <si>
    <t>個人別の年間通しての粗利と本数の月平均</t>
    <rPh sb="0" eb="3">
      <t>コジンベツ</t>
    </rPh>
    <rPh sb="4" eb="6">
      <t>ネンカン</t>
    </rPh>
    <rPh sb="6" eb="7">
      <t>トオ</t>
    </rPh>
    <rPh sb="10" eb="12">
      <t>アラリ</t>
    </rPh>
    <rPh sb="13" eb="15">
      <t>ホンスウ</t>
    </rPh>
    <rPh sb="16" eb="17">
      <t>ツキ</t>
    </rPh>
    <rPh sb="17" eb="19">
      <t>ヘイキン</t>
    </rPh>
    <phoneticPr fontId="2"/>
  </si>
  <si>
    <t>3528</t>
  </si>
  <si>
    <t>029679</t>
  </si>
  <si>
    <t>大野様</t>
  </si>
  <si>
    <t>ポット、ジャック交換</t>
  </si>
  <si>
    <t>3529</t>
  </si>
  <si>
    <t>029680</t>
  </si>
  <si>
    <t>#57476</t>
  </si>
  <si>
    <t>3530</t>
  </si>
  <si>
    <t>029681</t>
  </si>
  <si>
    <t>PJ-5MB 40th Anv WNC</t>
  </si>
  <si>
    <t>#57477</t>
  </si>
  <si>
    <t>3531</t>
  </si>
  <si>
    <t>029682</t>
  </si>
  <si>
    <t>PB-4MB 40th Anv 3TS</t>
  </si>
  <si>
    <t>#57479</t>
  </si>
  <si>
    <t>3532</t>
  </si>
  <si>
    <t>029683</t>
  </si>
  <si>
    <t>#57480</t>
  </si>
  <si>
    <t>3533</t>
  </si>
  <si>
    <t>029684</t>
  </si>
  <si>
    <t>#57481</t>
  </si>
  <si>
    <t>GM-OX TBK/R CR</t>
  </si>
  <si>
    <t>#57482</t>
  </si>
  <si>
    <t>#57484</t>
  </si>
  <si>
    <t>3534</t>
  </si>
  <si>
    <t>029685</t>
  </si>
  <si>
    <t>#57483</t>
  </si>
  <si>
    <t>3535</t>
  </si>
  <si>
    <t>029686</t>
  </si>
  <si>
    <t>#57485</t>
  </si>
  <si>
    <t>3536</t>
  </si>
  <si>
    <t>029687</t>
  </si>
  <si>
    <t>ST-C OT/R CR</t>
  </si>
  <si>
    <t>#57486</t>
    <phoneticPr fontId="2"/>
  </si>
  <si>
    <t>3537</t>
  </si>
  <si>
    <t>029688</t>
  </si>
  <si>
    <t>#57487</t>
  </si>
  <si>
    <t>3538</t>
  </si>
  <si>
    <t>029689</t>
  </si>
  <si>
    <t>JB-4A TWH/E CR</t>
  </si>
  <si>
    <t>#57451</t>
  </si>
  <si>
    <t>3539</t>
  </si>
  <si>
    <t>029690</t>
  </si>
  <si>
    <t>JJ-4 ピックガード取り付け</t>
  </si>
  <si>
    <t>#57489</t>
  </si>
  <si>
    <t>宮崎様</t>
  </si>
  <si>
    <t>MBC修理</t>
  </si>
  <si>
    <t>PB-4MB 40th Anv OT</t>
  </si>
  <si>
    <t>#57492</t>
  </si>
  <si>
    <t>GM-OX TBK/R GO</t>
  </si>
  <si>
    <t>#57493</t>
  </si>
  <si>
    <t>#KO0078</t>
  </si>
  <si>
    <t>OXALIS JB set</t>
  </si>
  <si>
    <t>ベースペグビス　CR</t>
  </si>
  <si>
    <t>#57490</t>
  </si>
  <si>
    <t>RM-DXII TBK/R CR</t>
  </si>
  <si>
    <t>#57449</t>
  </si>
  <si>
    <t>#57494</t>
    <phoneticPr fontId="2"/>
  </si>
  <si>
    <t>3540</t>
  </si>
  <si>
    <t>029691</t>
  </si>
  <si>
    <t>PJ-MB 40th Anv MBU</t>
  </si>
  <si>
    <t>#57495</t>
  </si>
  <si>
    <t>3541</t>
  </si>
  <si>
    <t>029692</t>
  </si>
  <si>
    <t>PJ-MB 40th Anv MBK</t>
  </si>
  <si>
    <t>#57496</t>
  </si>
  <si>
    <t>3542</t>
  </si>
  <si>
    <t>029693</t>
  </si>
  <si>
    <t>PJ-MB 40th Anv MRD</t>
  </si>
  <si>
    <t>#57497</t>
  </si>
  <si>
    <t>3543</t>
  </si>
  <si>
    <t>029694</t>
  </si>
  <si>
    <t>#57498</t>
  </si>
  <si>
    <t>3544</t>
  </si>
  <si>
    <t>029695</t>
  </si>
  <si>
    <t>#57499</t>
  </si>
  <si>
    <t>3545</t>
  </si>
  <si>
    <t>029696</t>
  </si>
  <si>
    <t>#57500</t>
  </si>
  <si>
    <t>3546</t>
  </si>
  <si>
    <t>029697</t>
  </si>
  <si>
    <t>#57501</t>
  </si>
  <si>
    <t>G-CLUB TOKYO店</t>
  </si>
  <si>
    <t>Dr.Sound店</t>
  </si>
  <si>
    <t>3547</t>
  </si>
  <si>
    <t>029698</t>
  </si>
  <si>
    <t>#57505</t>
  </si>
  <si>
    <t>3548</t>
  </si>
  <si>
    <t>029699</t>
  </si>
  <si>
    <t>赤羽アピレ店</t>
  </si>
  <si>
    <t>3549</t>
  </si>
  <si>
    <t>029700</t>
  </si>
  <si>
    <t>#57506</t>
  </si>
  <si>
    <t>3550</t>
  </si>
  <si>
    <t>LPフレット交換</t>
  </si>
  <si>
    <t>029993</t>
    <phoneticPr fontId="2"/>
  </si>
  <si>
    <t>3551</t>
  </si>
  <si>
    <t>029994</t>
  </si>
  <si>
    <t>3552</t>
  </si>
  <si>
    <t>029995</t>
  </si>
  <si>
    <t>#57478</t>
  </si>
  <si>
    <t>3553</t>
  </si>
  <si>
    <t>029996</t>
  </si>
  <si>
    <t>#57491</t>
    <phoneticPr fontId="2"/>
  </si>
  <si>
    <t>3554</t>
  </si>
  <si>
    <t>029997</t>
  </si>
  <si>
    <t>#57507</t>
  </si>
  <si>
    <t>3555</t>
  </si>
  <si>
    <t>029998</t>
  </si>
  <si>
    <t>#57508</t>
  </si>
  <si>
    <t>3556</t>
  </si>
  <si>
    <t>029999</t>
  </si>
  <si>
    <t>JB-5MB 40th Anv ON</t>
  </si>
  <si>
    <t>#57510</t>
  </si>
  <si>
    <t>3557</t>
  </si>
  <si>
    <t>030000</t>
  </si>
  <si>
    <t>#57491</t>
  </si>
  <si>
    <t>3558</t>
  </si>
  <si>
    <t>030001</t>
  </si>
  <si>
    <t>JJ-5M WN/E GO</t>
  </si>
  <si>
    <t>#57511</t>
  </si>
  <si>
    <t>#57491</t>
    <phoneticPr fontId="2"/>
  </si>
  <si>
    <t>3559</t>
  </si>
  <si>
    <t>030002</t>
  </si>
  <si>
    <t>アンディ・カー</t>
  </si>
  <si>
    <t>3560</t>
  </si>
  <si>
    <t>030003</t>
  </si>
  <si>
    <t>ジョン・マッカート</t>
  </si>
  <si>
    <t>TE-C 3TS/M CR</t>
  </si>
  <si>
    <t>3561</t>
  </si>
  <si>
    <t>030004</t>
  </si>
  <si>
    <t>3562</t>
  </si>
  <si>
    <t>030005</t>
  </si>
  <si>
    <t>3563</t>
  </si>
  <si>
    <t>GM OKAMINE LTD  #6</t>
  </si>
  <si>
    <t>029699</t>
    <phoneticPr fontId="2"/>
  </si>
  <si>
    <t>3564</t>
  </si>
  <si>
    <t>GM OKAMINE LTD #6</t>
  </si>
  <si>
    <t>3565</t>
  </si>
  <si>
    <t>#57504</t>
  </si>
  <si>
    <t>3566</t>
  </si>
  <si>
    <t>030002</t>
    <phoneticPr fontId="2"/>
  </si>
  <si>
    <t>030005</t>
    <phoneticPr fontId="2"/>
  </si>
  <si>
    <t>3567</t>
  </si>
  <si>
    <t>#57395</t>
  </si>
  <si>
    <t>030004</t>
    <phoneticPr fontId="2"/>
  </si>
  <si>
    <t>3568</t>
  </si>
  <si>
    <t>JB-5 SHIMONO MODEL</t>
  </si>
  <si>
    <t>030003</t>
    <phoneticPr fontId="2"/>
  </si>
  <si>
    <t>3569</t>
  </si>
  <si>
    <t>030006</t>
    <phoneticPr fontId="2"/>
  </si>
  <si>
    <t>3570</t>
  </si>
  <si>
    <t>3571</t>
  </si>
  <si>
    <t>030007</t>
  </si>
  <si>
    <t>#57512</t>
  </si>
  <si>
    <t>3572</t>
  </si>
  <si>
    <t>030008</t>
  </si>
  <si>
    <t>#57513</t>
  </si>
  <si>
    <t>3573</t>
  </si>
  <si>
    <t>030009</t>
  </si>
  <si>
    <t>#57514</t>
  </si>
  <si>
    <t>3574</t>
  </si>
  <si>
    <t>030010</t>
  </si>
  <si>
    <t>TE-C ON/M CR</t>
  </si>
  <si>
    <t>#57515</t>
  </si>
  <si>
    <t>3575</t>
  </si>
  <si>
    <t>030011</t>
  </si>
  <si>
    <t>#57516</t>
  </si>
  <si>
    <t>3576</t>
  </si>
  <si>
    <t>030012</t>
  </si>
  <si>
    <t>JJ-5 SUTOU MODEL</t>
  </si>
  <si>
    <t>#57517</t>
  </si>
  <si>
    <t>草津A・SQUARE店</t>
  </si>
  <si>
    <t>3577</t>
  </si>
  <si>
    <t>030013</t>
  </si>
  <si>
    <t>RM-DXII BM/R CR</t>
  </si>
  <si>
    <t>#57518</t>
  </si>
  <si>
    <t>3578</t>
  </si>
  <si>
    <t>030014</t>
  </si>
  <si>
    <t>波江野様</t>
  </si>
  <si>
    <t>3579</t>
  </si>
  <si>
    <t>030015</t>
  </si>
  <si>
    <t>メタルノブ</t>
  </si>
  <si>
    <t>ミニスィッチ</t>
  </si>
  <si>
    <t>3580</t>
  </si>
  <si>
    <t>030016</t>
  </si>
  <si>
    <t>フレット交換他</t>
  </si>
  <si>
    <t>3581</t>
  </si>
  <si>
    <t>030017</t>
  </si>
  <si>
    <t>#57519</t>
  </si>
  <si>
    <t>3582</t>
  </si>
  <si>
    <t>030018</t>
  </si>
  <si>
    <t>#57520</t>
  </si>
  <si>
    <t>3583</t>
  </si>
  <si>
    <t>030019</t>
  </si>
  <si>
    <t>#57521</t>
  </si>
  <si>
    <t>S05</t>
  </si>
  <si>
    <t>S05</t>
    <phoneticPr fontId="2"/>
  </si>
  <si>
    <t>卸営業グループ</t>
  </si>
  <si>
    <t>卸営業グループ</t>
    <rPh sb="0" eb="1">
      <t>オロシ</t>
    </rPh>
    <rPh sb="1" eb="3">
      <t>エイギョウ</t>
    </rPh>
    <phoneticPr fontId="2"/>
  </si>
  <si>
    <t>3584</t>
  </si>
  <si>
    <t>030020</t>
  </si>
  <si>
    <t>A</t>
    <phoneticPr fontId="2"/>
  </si>
  <si>
    <t>3585</t>
  </si>
  <si>
    <t>030021</t>
  </si>
  <si>
    <t>#57526</t>
  </si>
  <si>
    <t>JB-4 LIMITED SWH</t>
  </si>
  <si>
    <t>#57527</t>
  </si>
  <si>
    <t>#57528</t>
  </si>
  <si>
    <t>JB-4 LIMITED ON</t>
  </si>
  <si>
    <t>#57529</t>
  </si>
  <si>
    <t>#57530</t>
  </si>
  <si>
    <t>#57531</t>
  </si>
  <si>
    <t>#57532</t>
  </si>
  <si>
    <t>#57533</t>
  </si>
  <si>
    <t>#KOOO79</t>
  </si>
  <si>
    <t>JJ-5OX N/M CR</t>
  </si>
  <si>
    <t>#57534</t>
  </si>
  <si>
    <t>3586</t>
  </si>
  <si>
    <t>030022</t>
  </si>
  <si>
    <t>JB-4A BLD/E CR</t>
  </si>
  <si>
    <t>#57535</t>
  </si>
  <si>
    <t>3587</t>
  </si>
  <si>
    <t>030023</t>
  </si>
  <si>
    <t>#57536</t>
  </si>
  <si>
    <t>#57537</t>
  </si>
  <si>
    <t>#57538</t>
  </si>
  <si>
    <t>3588</t>
  </si>
  <si>
    <t>030024</t>
  </si>
  <si>
    <t>#57539</t>
  </si>
  <si>
    <t>3589</t>
  </si>
  <si>
    <t>030025</t>
  </si>
  <si>
    <t>RM 40th Anv BK/R CR</t>
  </si>
  <si>
    <t>3590</t>
  </si>
  <si>
    <t>030026</t>
  </si>
  <si>
    <t>D</t>
    <phoneticPr fontId="2"/>
  </si>
  <si>
    <t>3591</t>
  </si>
  <si>
    <t>030027</t>
  </si>
  <si>
    <t>3592</t>
  </si>
  <si>
    <t>030028</t>
  </si>
  <si>
    <t>#57540</t>
  </si>
  <si>
    <t>3593</t>
  </si>
  <si>
    <t>030029</t>
  </si>
  <si>
    <t>#57541</t>
  </si>
  <si>
    <t>3594</t>
  </si>
  <si>
    <t>030030</t>
  </si>
  <si>
    <t>佐用様リペア</t>
  </si>
  <si>
    <t>RMネック交換</t>
  </si>
  <si>
    <t>3595</t>
  </si>
  <si>
    <t>交換パーツ代</t>
  </si>
  <si>
    <t>030030</t>
    <phoneticPr fontId="2"/>
  </si>
  <si>
    <t>3596</t>
  </si>
  <si>
    <t>030031</t>
  </si>
  <si>
    <t>GM OKAMINE BT #1</t>
  </si>
  <si>
    <t>#KO0072</t>
  </si>
  <si>
    <t>3597</t>
  </si>
  <si>
    <t>030032</t>
  </si>
  <si>
    <t>3598</t>
  </si>
  <si>
    <t>030033</t>
  </si>
  <si>
    <t>3599</t>
  </si>
  <si>
    <t>030034</t>
  </si>
  <si>
    <t>#57547</t>
  </si>
  <si>
    <t>3600</t>
  </si>
  <si>
    <t>030035</t>
  </si>
  <si>
    <t>RM-DXII VWH/R CR</t>
  </si>
  <si>
    <t>#57548</t>
  </si>
  <si>
    <t>3601</t>
  </si>
  <si>
    <t>030036</t>
  </si>
  <si>
    <t>#57549</t>
  </si>
  <si>
    <t>3602</t>
  </si>
  <si>
    <t>030037</t>
  </si>
  <si>
    <t>RM-DXII PHB/R CR</t>
  </si>
  <si>
    <t>#57550</t>
  </si>
  <si>
    <t>3603</t>
  </si>
  <si>
    <t>030038</t>
  </si>
  <si>
    <t>#57551</t>
  </si>
  <si>
    <t>3604</t>
  </si>
  <si>
    <t>030039</t>
  </si>
  <si>
    <t>佐用様</t>
  </si>
  <si>
    <t>RM-DXII ISV/R CR</t>
  </si>
  <si>
    <t>3605</t>
  </si>
  <si>
    <t>030040</t>
  </si>
  <si>
    <t>MOON T-シャツ　ネイビー</t>
  </si>
  <si>
    <t>3606</t>
  </si>
  <si>
    <t>030041</t>
  </si>
  <si>
    <t>3607</t>
  </si>
  <si>
    <t>030042</t>
  </si>
  <si>
    <t>3608</t>
  </si>
  <si>
    <t>030043</t>
  </si>
  <si>
    <t>塚田様</t>
  </si>
  <si>
    <t>GM BK3P P/G</t>
  </si>
  <si>
    <t>MOON MS-350</t>
  </si>
  <si>
    <t>3609</t>
  </si>
  <si>
    <t>030044</t>
  </si>
  <si>
    <t>3610</t>
  </si>
  <si>
    <t>030045</t>
  </si>
  <si>
    <t>3611</t>
  </si>
  <si>
    <t>030046</t>
  </si>
  <si>
    <t>3612</t>
  </si>
  <si>
    <t>030047</t>
  </si>
  <si>
    <t>GLB プリアンプ交換</t>
  </si>
  <si>
    <t>3613</t>
  </si>
  <si>
    <t>030048</t>
  </si>
  <si>
    <t>912</t>
  </si>
  <si>
    <t>3614</t>
  </si>
  <si>
    <t>030049</t>
  </si>
  <si>
    <t>3615</t>
  </si>
  <si>
    <t>030050</t>
  </si>
  <si>
    <t>3616</t>
  </si>
  <si>
    <t>030051</t>
  </si>
  <si>
    <t>GM OKAMINE #4.5 LGM</t>
  </si>
  <si>
    <t>#KO0080</t>
  </si>
  <si>
    <t>3617</t>
  </si>
  <si>
    <t>030052</t>
  </si>
  <si>
    <t>パーツ代</t>
  </si>
  <si>
    <t>U-BOXメガストア</t>
  </si>
  <si>
    <t>U-BOXメガストア</t>
    <phoneticPr fontId="2"/>
  </si>
  <si>
    <t>3618</t>
  </si>
  <si>
    <t>030053</t>
  </si>
  <si>
    <t>CLIMB ノブ　×5</t>
  </si>
  <si>
    <t>3619</t>
  </si>
  <si>
    <t>030054</t>
  </si>
  <si>
    <t>3620</t>
  </si>
  <si>
    <t>030055</t>
  </si>
  <si>
    <t>#57542</t>
  </si>
  <si>
    <t>3621</t>
  </si>
  <si>
    <t>030056</t>
  </si>
  <si>
    <t>RM-Jr ON/R CR</t>
  </si>
  <si>
    <t>#57546</t>
    <phoneticPr fontId="2"/>
  </si>
  <si>
    <t>3622</t>
  </si>
  <si>
    <t>030057</t>
  </si>
  <si>
    <t>#57545</t>
  </si>
  <si>
    <t>3623</t>
  </si>
  <si>
    <t>030058</t>
  </si>
  <si>
    <t>ST配線</t>
  </si>
  <si>
    <t>3624</t>
  </si>
  <si>
    <t>030059</t>
  </si>
  <si>
    <t>地域</t>
    <rPh sb="0" eb="2">
      <t>チイキ</t>
    </rPh>
    <phoneticPr fontId="2"/>
  </si>
  <si>
    <t>北海道</t>
    <rPh sb="0" eb="3">
      <t>ホッカイドウ</t>
    </rPh>
    <phoneticPr fontId="2"/>
  </si>
  <si>
    <t>東北</t>
    <rPh sb="0" eb="2">
      <t>トウホク</t>
    </rPh>
    <phoneticPr fontId="2"/>
  </si>
  <si>
    <t>関東</t>
    <rPh sb="0" eb="2">
      <t>カントウ</t>
    </rPh>
    <phoneticPr fontId="2"/>
  </si>
  <si>
    <t>九州</t>
    <rPh sb="0" eb="2">
      <t>キュウシュウ</t>
    </rPh>
    <phoneticPr fontId="2"/>
  </si>
  <si>
    <t>記</t>
    <rPh sb="0" eb="1">
      <t>キ</t>
    </rPh>
    <phoneticPr fontId="2"/>
  </si>
  <si>
    <t>北陸</t>
    <rPh sb="0" eb="2">
      <t>ホクリク</t>
    </rPh>
    <phoneticPr fontId="2"/>
  </si>
  <si>
    <t>関西</t>
    <rPh sb="0" eb="2">
      <t>カンサイ</t>
    </rPh>
    <phoneticPr fontId="2"/>
  </si>
  <si>
    <t>???????????</t>
    <phoneticPr fontId="2"/>
  </si>
  <si>
    <t>年売上</t>
    <rPh sb="0" eb="1">
      <t>ネン</t>
    </rPh>
    <rPh sb="1" eb="3">
      <t>ウリアゲ</t>
    </rPh>
    <phoneticPr fontId="2"/>
  </si>
  <si>
    <t>北海道</t>
    <rPh sb="0" eb="3">
      <t>ホッカイドウ</t>
    </rPh>
    <phoneticPr fontId="2"/>
  </si>
  <si>
    <t>東北</t>
    <rPh sb="0" eb="2">
      <t>トウホク</t>
    </rPh>
    <phoneticPr fontId="2"/>
  </si>
  <si>
    <t>関東</t>
    <rPh sb="0" eb="2">
      <t>カントウ</t>
    </rPh>
    <phoneticPr fontId="2"/>
  </si>
  <si>
    <t>北陸</t>
    <rPh sb="0" eb="2">
      <t>ホクリク</t>
    </rPh>
    <phoneticPr fontId="2"/>
  </si>
  <si>
    <t>不明</t>
    <rPh sb="0" eb="2">
      <t>フメイ</t>
    </rPh>
    <phoneticPr fontId="2"/>
  </si>
  <si>
    <t>月売上</t>
    <rPh sb="0" eb="1">
      <t>ツキ</t>
    </rPh>
    <rPh sb="1" eb="2">
      <t>ウ</t>
    </rPh>
    <rPh sb="2" eb="3">
      <t>ア</t>
    </rPh>
    <phoneticPr fontId="2"/>
  </si>
  <si>
    <t>関東</t>
    <phoneticPr fontId="2"/>
  </si>
  <si>
    <t>関西</t>
    <phoneticPr fontId="2"/>
  </si>
  <si>
    <t>北海道</t>
    <phoneticPr fontId="2"/>
  </si>
  <si>
    <t>北陸</t>
    <phoneticPr fontId="2"/>
  </si>
  <si>
    <t>九州</t>
    <phoneticPr fontId="2"/>
  </si>
  <si>
    <t>名古屋茶屋店</t>
    <phoneticPr fontId="2"/>
  </si>
  <si>
    <t>名古屋ギター&amp;リペア</t>
    <phoneticPr fontId="2"/>
  </si>
  <si>
    <t>070-0031</t>
    <phoneticPr fontId="2"/>
  </si>
  <si>
    <t>277-0871</t>
    <phoneticPr fontId="2"/>
  </si>
  <si>
    <t>346-0106</t>
    <phoneticPr fontId="2"/>
  </si>
  <si>
    <t>857-0863</t>
    <phoneticPr fontId="2"/>
  </si>
  <si>
    <t>480-1100</t>
    <phoneticPr fontId="2"/>
  </si>
  <si>
    <t>D127</t>
    <phoneticPr fontId="2"/>
  </si>
  <si>
    <t>イオンモール長久手</t>
    <phoneticPr fontId="2"/>
  </si>
  <si>
    <t>D131</t>
    <phoneticPr fontId="2"/>
  </si>
  <si>
    <t>a</t>
    <phoneticPr fontId="2"/>
  </si>
  <si>
    <t>（株）インフィニティ・ブロダクツ</t>
    <rPh sb="0" eb="3">
      <t>カブ</t>
    </rPh>
    <phoneticPr fontId="2"/>
  </si>
  <si>
    <t>194-0203</t>
    <phoneticPr fontId="2"/>
  </si>
  <si>
    <t>D135</t>
  </si>
  <si>
    <t>D134</t>
  </si>
  <si>
    <t>あべのand店</t>
    <rPh sb="6" eb="7">
      <t>テン</t>
    </rPh>
    <phoneticPr fontId="2"/>
  </si>
  <si>
    <t>セレオ国分寺</t>
    <rPh sb="3" eb="6">
      <t>コクブンジ</t>
    </rPh>
    <phoneticPr fontId="2"/>
  </si>
  <si>
    <t>601-8601</t>
    <phoneticPr fontId="2"/>
  </si>
  <si>
    <t>D136</t>
    <phoneticPr fontId="2"/>
  </si>
  <si>
    <t>3625</t>
  </si>
  <si>
    <t>030060</t>
  </si>
  <si>
    <t>#57553</t>
  </si>
  <si>
    <t>3629</t>
  </si>
  <si>
    <t>030064</t>
  </si>
  <si>
    <t>#57557</t>
  </si>
  <si>
    <t>3630</t>
  </si>
  <si>
    <t>030065</t>
  </si>
  <si>
    <t>河合様</t>
  </si>
  <si>
    <t>JJ-5 SUTOH TR</t>
  </si>
  <si>
    <t>3634</t>
  </si>
  <si>
    <t>030069</t>
  </si>
  <si>
    <t>#57561</t>
  </si>
  <si>
    <t>3635</t>
  </si>
  <si>
    <t>030070</t>
  </si>
  <si>
    <t>511</t>
  </si>
  <si>
    <t>テンション</t>
  </si>
  <si>
    <t>ピックアップ交換他</t>
  </si>
  <si>
    <t>#57464</t>
  </si>
  <si>
    <t>RM-DXII SWH/R GO</t>
  </si>
  <si>
    <t>#57552</t>
  </si>
  <si>
    <t>3626</t>
  </si>
  <si>
    <t>030061</t>
  </si>
  <si>
    <t>JB-5C ON/R CR</t>
  </si>
  <si>
    <t>#57554</t>
  </si>
  <si>
    <t>3627</t>
  </si>
  <si>
    <t>030062</t>
  </si>
  <si>
    <t>PB-5C 3TS/R CR</t>
  </si>
  <si>
    <t>#57555</t>
  </si>
  <si>
    <t>3628</t>
  </si>
  <si>
    <t>030063</t>
  </si>
  <si>
    <t>JB-5C 3TS/R CR</t>
  </si>
  <si>
    <t>#57556</t>
  </si>
  <si>
    <t>#57413</t>
  </si>
  <si>
    <t>3631</t>
  </si>
  <si>
    <t>030066</t>
  </si>
  <si>
    <t>#57543</t>
  </si>
  <si>
    <t>3632</t>
  </si>
  <si>
    <t>030067</t>
  </si>
  <si>
    <t>JB-5C CAR/R CR</t>
  </si>
  <si>
    <t>#57563</t>
  </si>
  <si>
    <t>3633</t>
  </si>
  <si>
    <t>030068</t>
  </si>
  <si>
    <t>JB-5A BT/E CR</t>
  </si>
  <si>
    <t>#57564</t>
  </si>
  <si>
    <t>3636</t>
  </si>
  <si>
    <t>030071</t>
  </si>
  <si>
    <t>#57524</t>
  </si>
  <si>
    <t>3637</t>
  </si>
  <si>
    <t>030072</t>
  </si>
  <si>
    <t>#57567</t>
  </si>
  <si>
    <t>3638</t>
  </si>
  <si>
    <t>030073</t>
  </si>
  <si>
    <t>JB-4A TGR/M CR</t>
  </si>
  <si>
    <t>#57568</t>
  </si>
  <si>
    <t>3639</t>
  </si>
  <si>
    <t>030074</t>
  </si>
  <si>
    <t>#57569</t>
  </si>
  <si>
    <t>3640</t>
  </si>
  <si>
    <t>030075</t>
  </si>
  <si>
    <t>#57415</t>
  </si>
  <si>
    <t>3641</t>
  </si>
  <si>
    <t>030076</t>
  </si>
  <si>
    <t>#57570</t>
  </si>
  <si>
    <t>3642</t>
  </si>
  <si>
    <t>030077</t>
  </si>
  <si>
    <t>#57578</t>
  </si>
  <si>
    <t>3643</t>
  </si>
  <si>
    <t>030078</t>
  </si>
  <si>
    <t>#57579</t>
  </si>
  <si>
    <t>3644</t>
  </si>
  <si>
    <t>030079</t>
  </si>
  <si>
    <t>#57580</t>
  </si>
  <si>
    <t>3645</t>
  </si>
  <si>
    <t>030080</t>
  </si>
  <si>
    <t>#57582</t>
  </si>
  <si>
    <t>3646</t>
  </si>
  <si>
    <t>030081</t>
  </si>
  <si>
    <t>GB-707-5 GO set</t>
  </si>
  <si>
    <t>3647</t>
  </si>
  <si>
    <t>030082</t>
  </si>
  <si>
    <t>#57583</t>
  </si>
  <si>
    <t>3649</t>
  </si>
  <si>
    <t>030084</t>
  </si>
  <si>
    <t>#57585</t>
  </si>
  <si>
    <t>3650</t>
  </si>
  <si>
    <t>030085</t>
  </si>
  <si>
    <t>あべのand店</t>
  </si>
  <si>
    <t>3651</t>
  </si>
  <si>
    <t>030086</t>
  </si>
  <si>
    <t>3652</t>
  </si>
  <si>
    <t>030087</t>
  </si>
  <si>
    <t>セレオ国分寺</t>
  </si>
  <si>
    <t>3657</t>
  </si>
  <si>
    <t>030092</t>
  </si>
  <si>
    <t>#57589</t>
  </si>
  <si>
    <t>3658</t>
  </si>
  <si>
    <t>030093</t>
  </si>
  <si>
    <t>JB-4 LIMITED TBU</t>
  </si>
  <si>
    <t>#57590</t>
  </si>
  <si>
    <t>3659</t>
  </si>
  <si>
    <t>030094</t>
  </si>
  <si>
    <t>#57591</t>
  </si>
  <si>
    <t>3660</t>
  </si>
  <si>
    <t>030095</t>
  </si>
  <si>
    <t>JB-4 LIMITED TR</t>
  </si>
  <si>
    <t>#57592</t>
  </si>
  <si>
    <t>3665</t>
  </si>
  <si>
    <t>030100</t>
  </si>
  <si>
    <t>RM-Jr SWH/R CR</t>
  </si>
  <si>
    <t>#57577</t>
  </si>
  <si>
    <t>3670</t>
  </si>
  <si>
    <t>030105</t>
  </si>
  <si>
    <t>#57601</t>
  </si>
  <si>
    <t>#57599</t>
  </si>
  <si>
    <t>3671</t>
  </si>
  <si>
    <t>030106</t>
  </si>
  <si>
    <t>#57562</t>
  </si>
  <si>
    <t>3672</t>
  </si>
  <si>
    <t>030107</t>
  </si>
  <si>
    <t>JM-LIMITED LPB</t>
  </si>
  <si>
    <t>#57602</t>
  </si>
  <si>
    <t>#57603</t>
  </si>
  <si>
    <t>#57604</t>
  </si>
  <si>
    <t>JM-LIMITED SBU</t>
  </si>
  <si>
    <t>#57605</t>
  </si>
  <si>
    <t>#57606</t>
  </si>
  <si>
    <t>3675</t>
  </si>
  <si>
    <t>030110</t>
  </si>
  <si>
    <t>3676</t>
  </si>
  <si>
    <t>030111</t>
  </si>
  <si>
    <t>3634</t>
    <phoneticPr fontId="2"/>
  </si>
  <si>
    <t>JB-4MB 40th SLG/R CR</t>
  </si>
  <si>
    <t>#57565</t>
  </si>
  <si>
    <t>JJ-4B N/M CR</t>
  </si>
  <si>
    <t>#57566</t>
  </si>
  <si>
    <t>3648</t>
  </si>
  <si>
    <t>030083</t>
  </si>
  <si>
    <t>#57584</t>
  </si>
  <si>
    <t>3654</t>
  </si>
  <si>
    <t>030089</t>
  </si>
  <si>
    <t>#57576</t>
  </si>
  <si>
    <t>3655</t>
  </si>
  <si>
    <t>030090</t>
  </si>
  <si>
    <t>#57575</t>
  </si>
  <si>
    <t>3661</t>
  </si>
  <si>
    <t>030096</t>
  </si>
  <si>
    <t>#57593</t>
  </si>
  <si>
    <t>3664</t>
  </si>
  <si>
    <t>030099</t>
  </si>
  <si>
    <t>GM OKAMINE LGM #5</t>
  </si>
  <si>
    <t>#KO0081</t>
  </si>
  <si>
    <t>3666</t>
  </si>
  <si>
    <t>030101</t>
  </si>
  <si>
    <t>#57596</t>
  </si>
  <si>
    <t>3667</t>
  </si>
  <si>
    <t>030102</t>
  </si>
  <si>
    <t>PB-4MB 40th Anv PMG</t>
  </si>
  <si>
    <t>#57600</t>
  </si>
  <si>
    <t>3668</t>
  </si>
  <si>
    <t>030103</t>
  </si>
  <si>
    <t>GM P/G製作</t>
  </si>
  <si>
    <t>3669</t>
  </si>
  <si>
    <t>030104</t>
  </si>
  <si>
    <t>佐藤哲也氏</t>
  </si>
  <si>
    <t>JJ-5E TR/E CR</t>
  </si>
  <si>
    <t>3673</t>
  </si>
  <si>
    <t>030108</t>
  </si>
  <si>
    <t>#57607</t>
  </si>
  <si>
    <t>3653</t>
  </si>
  <si>
    <t>030088</t>
  </si>
  <si>
    <t>JB-5C N/M CR</t>
  </si>
  <si>
    <t>#57587</t>
  </si>
  <si>
    <t>3662</t>
  </si>
  <si>
    <t>030097</t>
  </si>
  <si>
    <t>JB-5MB 40th Anv 3TS</t>
  </si>
  <si>
    <t>#57586</t>
  </si>
  <si>
    <t>3663</t>
  </si>
  <si>
    <t>030098</t>
  </si>
  <si>
    <t>PB-5MB 40th BK</t>
  </si>
  <si>
    <t>#57595</t>
  </si>
  <si>
    <t>3674</t>
  </si>
  <si>
    <t>030109</t>
  </si>
  <si>
    <t>#57609</t>
  </si>
  <si>
    <t>吉田　仁</t>
  </si>
  <si>
    <t>ムーンTシャツ　NV XL</t>
    <phoneticPr fontId="2"/>
  </si>
  <si>
    <t>ピック　TL-M</t>
  </si>
  <si>
    <t>ムーンTシャツ　PK S</t>
  </si>
  <si>
    <t>126</t>
  </si>
  <si>
    <t>（株）インフィニティ・プロダクツ</t>
  </si>
  <si>
    <t>STネック　WN/E</t>
  </si>
  <si>
    <t>#57616</t>
  </si>
  <si>
    <t>#57523</t>
    <phoneticPr fontId="2"/>
  </si>
  <si>
    <t>TE-C WNC/E GO</t>
  </si>
  <si>
    <t>#57405</t>
  </si>
  <si>
    <t>GB-11 CR</t>
    <phoneticPr fontId="2"/>
  </si>
  <si>
    <t>#57502</t>
  </si>
  <si>
    <t>#57618</t>
  </si>
  <si>
    <t>イオンモール浜松市野店</t>
  </si>
  <si>
    <t>#57581</t>
  </si>
  <si>
    <t>JJ-4OX TR/E CR</t>
  </si>
  <si>
    <t>#57573</t>
  </si>
  <si>
    <t>#57622</t>
  </si>
  <si>
    <t>#57623</t>
  </si>
  <si>
    <t>3675</t>
    <phoneticPr fontId="2"/>
  </si>
  <si>
    <t>GLB修理</t>
  </si>
  <si>
    <t>久御山店</t>
    <phoneticPr fontId="2"/>
  </si>
  <si>
    <t>D</t>
    <phoneticPr fontId="2"/>
  </si>
  <si>
    <t>3678</t>
  </si>
  <si>
    <t>030113</t>
  </si>
  <si>
    <t>#57625</t>
  </si>
  <si>
    <t>3679</t>
  </si>
  <si>
    <t>030114</t>
  </si>
  <si>
    <t>#57626</t>
  </si>
  <si>
    <t>3680</t>
  </si>
  <si>
    <t>030115</t>
  </si>
  <si>
    <t>JB-5 LIMITED TBU</t>
  </si>
  <si>
    <t>#57615</t>
  </si>
  <si>
    <t>3681</t>
  </si>
  <si>
    <t>030116</t>
  </si>
  <si>
    <t>#57610</t>
  </si>
  <si>
    <t>GM LIMITED SWH/E CR</t>
  </si>
  <si>
    <t>#57617</t>
  </si>
  <si>
    <t>3677</t>
  </si>
  <si>
    <t>030112</t>
  </si>
  <si>
    <t>#57624</t>
  </si>
  <si>
    <t>3656</t>
  </si>
  <si>
    <t>030091</t>
  </si>
  <si>
    <t>#57588</t>
  </si>
  <si>
    <t>TE-C CAR/R CR</t>
  </si>
  <si>
    <t>#57619</t>
  </si>
  <si>
    <t>TE-C WNC/R CR</t>
  </si>
  <si>
    <t>#57620</t>
  </si>
  <si>
    <t>ST-C SWH/R GO</t>
    <phoneticPr fontId="2"/>
  </si>
  <si>
    <t>#57621</t>
  </si>
  <si>
    <t>CLIMB-5OX DOB/E CR</t>
  </si>
  <si>
    <t>#57628</t>
  </si>
  <si>
    <t>#57525</t>
  </si>
  <si>
    <t>#57571</t>
  </si>
  <si>
    <t>#57414</t>
  </si>
  <si>
    <t>#67614</t>
  </si>
  <si>
    <t>#57687</t>
  </si>
  <si>
    <t>RM-DXII BK/R CR HL</t>
  </si>
  <si>
    <t>3682</t>
  </si>
  <si>
    <t>030117</t>
  </si>
  <si>
    <t>#57574</t>
  </si>
  <si>
    <t>3683</t>
  </si>
  <si>
    <t>030118</t>
  </si>
  <si>
    <t>RM-DXII OT/R CR</t>
  </si>
  <si>
    <t>#57613</t>
  </si>
  <si>
    <t>3684</t>
  </si>
  <si>
    <t>030119</t>
  </si>
  <si>
    <t>#57402</t>
  </si>
  <si>
    <t>3685</t>
  </si>
  <si>
    <t>030120</t>
  </si>
  <si>
    <t>3686</t>
  </si>
  <si>
    <t>030121</t>
  </si>
  <si>
    <t>JB-4C ABS/R CR</t>
  </si>
  <si>
    <t>#57635</t>
  </si>
  <si>
    <t>不明</t>
    <phoneticPr fontId="2"/>
  </si>
  <si>
    <t>東北</t>
    <phoneticPr fontId="2"/>
  </si>
  <si>
    <t>直販</t>
    <phoneticPr fontId="2"/>
  </si>
  <si>
    <t>直販</t>
    <rPh sb="0" eb="2">
      <t>チョクハン</t>
    </rPh>
    <phoneticPr fontId="2"/>
  </si>
  <si>
    <t>2019/2/20</t>
    <phoneticPr fontId="2"/>
  </si>
  <si>
    <t>3687</t>
  </si>
  <si>
    <t>030122</t>
  </si>
  <si>
    <t>#57639</t>
  </si>
  <si>
    <t>3688</t>
  </si>
  <si>
    <t>030123</t>
  </si>
  <si>
    <t>#57636</t>
  </si>
  <si>
    <t>3689</t>
  </si>
  <si>
    <t>030124</t>
  </si>
  <si>
    <t>#57637</t>
  </si>
  <si>
    <t>3690</t>
  </si>
  <si>
    <t>030125</t>
  </si>
  <si>
    <t>#57638</t>
  </si>
  <si>
    <t>3691</t>
  </si>
  <si>
    <t>030126</t>
  </si>
  <si>
    <t>3692</t>
  </si>
  <si>
    <t>030127</t>
  </si>
  <si>
    <t>JJ-4OX N/WG GO</t>
  </si>
  <si>
    <t>#57640</t>
  </si>
  <si>
    <t>3693</t>
  </si>
  <si>
    <t>030128</t>
  </si>
  <si>
    <t>JJ-4OX WN/WG BK</t>
  </si>
  <si>
    <t>#57641</t>
  </si>
  <si>
    <t>3694</t>
  </si>
  <si>
    <t>030129</t>
  </si>
  <si>
    <t>#57633</t>
  </si>
  <si>
    <t>3695</t>
  </si>
  <si>
    <t>030130</t>
  </si>
  <si>
    <t>#57642</t>
  </si>
  <si>
    <t>3696</t>
  </si>
  <si>
    <t>030131</t>
  </si>
  <si>
    <t>JJ-4OX SWH/WG GO</t>
  </si>
  <si>
    <t>#57643</t>
  </si>
  <si>
    <t>3697</t>
  </si>
  <si>
    <t>030132</t>
  </si>
  <si>
    <t>JJ-4OX WN/WG GO</t>
  </si>
  <si>
    <t>#57644</t>
  </si>
  <si>
    <t>2  月</t>
    <phoneticPr fontId="2"/>
  </si>
  <si>
    <t>2019年達成額</t>
    <phoneticPr fontId="2"/>
  </si>
  <si>
    <t>3698</t>
  </si>
  <si>
    <t>030133</t>
  </si>
  <si>
    <t>#57645</t>
  </si>
  <si>
    <t>3699</t>
  </si>
  <si>
    <t>030134</t>
  </si>
  <si>
    <t>吉田　仁様</t>
  </si>
  <si>
    <t>3700</t>
  </si>
  <si>
    <t>030135</t>
  </si>
  <si>
    <t>#57646</t>
  </si>
  <si>
    <t>JJ-4B KN/WG BK</t>
    <phoneticPr fontId="2"/>
  </si>
  <si>
    <t>3701</t>
  </si>
  <si>
    <t>030136</t>
  </si>
  <si>
    <t>JM-LIMITED SWH</t>
  </si>
  <si>
    <t>#57647</t>
  </si>
  <si>
    <t>JM-LIMITED BK</t>
  </si>
  <si>
    <t>JM-LIMITED WHB</t>
  </si>
  <si>
    <t>#57649</t>
  </si>
  <si>
    <t>#57648</t>
    <phoneticPr fontId="2"/>
  </si>
  <si>
    <t>3702</t>
  </si>
  <si>
    <t>030137</t>
  </si>
  <si>
    <t>#57650</t>
  </si>
  <si>
    <t>3703</t>
  </si>
  <si>
    <t>030138</t>
  </si>
  <si>
    <t>#KO0082</t>
  </si>
  <si>
    <t>3704</t>
  </si>
  <si>
    <t>030139</t>
  </si>
  <si>
    <t>3705</t>
  </si>
  <si>
    <t>030140</t>
  </si>
  <si>
    <t>B用ピック　BK,WH各100</t>
  </si>
  <si>
    <t xml:space="preserve">サイトゼロ </t>
  </si>
  <si>
    <t>030140</t>
    <phoneticPr fontId="2"/>
  </si>
  <si>
    <t>JJ-4B KN/WG BK</t>
  </si>
  <si>
    <t>2月達成額</t>
    <phoneticPr fontId="2"/>
  </si>
  <si>
    <t>3706</t>
  </si>
  <si>
    <t>030141</t>
  </si>
  <si>
    <t>中国・四国</t>
    <rPh sb="0" eb="2">
      <t>チュウゴク</t>
    </rPh>
    <phoneticPr fontId="2"/>
  </si>
  <si>
    <t>東海</t>
    <rPh sb="0" eb="2">
      <t>トウカイ</t>
    </rPh>
    <phoneticPr fontId="2"/>
  </si>
  <si>
    <t>甲信越</t>
    <rPh sb="0" eb="3">
      <t>コウシンエツ</t>
    </rPh>
    <phoneticPr fontId="2"/>
  </si>
  <si>
    <t>中国・四国</t>
    <rPh sb="0" eb="2">
      <t>チュウゴク</t>
    </rPh>
    <rPh sb="3" eb="5">
      <t>シコク</t>
    </rPh>
    <phoneticPr fontId="2"/>
  </si>
  <si>
    <t>東海</t>
    <rPh sb="0" eb="2">
      <t>トウカイ</t>
    </rPh>
    <phoneticPr fontId="2"/>
  </si>
  <si>
    <t>関東</t>
    <phoneticPr fontId="2"/>
  </si>
  <si>
    <t>不明</t>
    <phoneticPr fontId="2"/>
  </si>
  <si>
    <t>中国・四国</t>
    <phoneticPr fontId="2"/>
  </si>
  <si>
    <t>関西</t>
    <phoneticPr fontId="2"/>
  </si>
  <si>
    <t>甲信越</t>
    <phoneticPr fontId="2"/>
  </si>
  <si>
    <t>東海</t>
    <phoneticPr fontId="2"/>
  </si>
  <si>
    <t>中国・四国</t>
    <phoneticPr fontId="2"/>
  </si>
  <si>
    <t>甲信越</t>
    <phoneticPr fontId="2"/>
  </si>
  <si>
    <t>関西</t>
    <phoneticPr fontId="2"/>
  </si>
  <si>
    <t>東海</t>
    <phoneticPr fontId="2"/>
  </si>
  <si>
    <t>関東</t>
    <phoneticPr fontId="2"/>
  </si>
  <si>
    <t>関東</t>
    <phoneticPr fontId="2"/>
  </si>
  <si>
    <t>東海</t>
    <phoneticPr fontId="2"/>
  </si>
  <si>
    <t>不明</t>
    <phoneticPr fontId="2"/>
  </si>
  <si>
    <t>不明</t>
    <phoneticPr fontId="2"/>
  </si>
  <si>
    <t>直販</t>
    <phoneticPr fontId="2"/>
  </si>
  <si>
    <t>九州</t>
    <phoneticPr fontId="2"/>
  </si>
  <si>
    <t>関西</t>
    <phoneticPr fontId="2"/>
  </si>
  <si>
    <t>東海</t>
    <phoneticPr fontId="2"/>
  </si>
  <si>
    <t>東北</t>
    <phoneticPr fontId="2"/>
  </si>
  <si>
    <t>北海道</t>
    <phoneticPr fontId="2"/>
  </si>
  <si>
    <t>九州</t>
    <phoneticPr fontId="2"/>
  </si>
  <si>
    <t>九州</t>
    <phoneticPr fontId="2"/>
  </si>
  <si>
    <t>直販</t>
    <phoneticPr fontId="2"/>
  </si>
  <si>
    <t>甲信越</t>
    <phoneticPr fontId="2"/>
  </si>
  <si>
    <t>東北</t>
    <phoneticPr fontId="2"/>
  </si>
  <si>
    <t>中国・四国</t>
    <phoneticPr fontId="2"/>
  </si>
  <si>
    <t>北海道</t>
    <phoneticPr fontId="2"/>
  </si>
  <si>
    <t>北陸</t>
    <phoneticPr fontId="2"/>
  </si>
  <si>
    <t>直販</t>
    <phoneticPr fontId="2"/>
  </si>
  <si>
    <t>東北</t>
    <phoneticPr fontId="2"/>
  </si>
  <si>
    <t>関東</t>
    <phoneticPr fontId="2"/>
  </si>
  <si>
    <t>2019年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</si>
</sst>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[$-F800]dddd\,\ mmmm\ dd\,\ yyyy"/>
    <numFmt numFmtId="178" formatCode="0_ ;[Red]\-0\ "/>
    <numFmt numFmtId="179" formatCode="#,##0_ ;[Red]\-#,##0\ "/>
    <numFmt numFmtId="180" formatCode="0_ "/>
    <numFmt numFmtId="181" formatCode="#,##0_ "/>
    <numFmt numFmtId="182" formatCode="#0.0"/>
    <numFmt numFmtId="183" formatCode="0;[Red]\-0"/>
    <numFmt numFmtId="184" formatCode="yyyy/mm/dd"/>
    <numFmt numFmtId="185" formatCode="#,##0_);[Red]\(#,##0\)"/>
    <numFmt numFmtId="186" formatCode="0.0%"/>
    <numFmt numFmtId="187" formatCode="0.00_ "/>
    <numFmt numFmtId="188" formatCode="0.0_ "/>
  </numFmts>
  <fonts count="1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22"/>
      <name val="ＭＳ Ｐゴシック"/>
      <family val="3"/>
      <charset val="128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22222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6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medium">
        <color rgb="FF0070C0"/>
      </bottom>
      <diagonal/>
    </border>
    <border>
      <left/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medium">
        <color rgb="FF0314ED"/>
      </left>
      <right style="thin">
        <color rgb="FF0314ED"/>
      </right>
      <top style="medium">
        <color rgb="FF0314ED"/>
      </top>
      <bottom style="thin">
        <color rgb="FF0314ED"/>
      </bottom>
      <diagonal/>
    </border>
    <border>
      <left style="thin">
        <color rgb="FF0314ED"/>
      </left>
      <right style="thin">
        <color rgb="FF0314ED"/>
      </right>
      <top style="medium">
        <color rgb="FF0314ED"/>
      </top>
      <bottom style="thin">
        <color rgb="FF0314ED"/>
      </bottom>
      <diagonal/>
    </border>
    <border>
      <left style="thin">
        <color rgb="FF0314ED"/>
      </left>
      <right style="medium">
        <color rgb="FF0314ED"/>
      </right>
      <top style="medium">
        <color rgb="FF0314ED"/>
      </top>
      <bottom style="thin">
        <color rgb="FF0314ED"/>
      </bottom>
      <diagonal/>
    </border>
    <border>
      <left style="medium">
        <color rgb="FF0314ED"/>
      </left>
      <right style="thin">
        <color rgb="FF0314ED"/>
      </right>
      <top style="thin">
        <color rgb="FF0314ED"/>
      </top>
      <bottom style="medium">
        <color rgb="FF0314ED"/>
      </bottom>
      <diagonal/>
    </border>
    <border>
      <left style="thin">
        <color rgb="FF0314ED"/>
      </left>
      <right style="thin">
        <color rgb="FF0314ED"/>
      </right>
      <top style="thin">
        <color rgb="FF0314ED"/>
      </top>
      <bottom style="medium">
        <color rgb="FF0314ED"/>
      </bottom>
      <diagonal/>
    </border>
    <border>
      <left style="thin">
        <color rgb="FF0314ED"/>
      </left>
      <right style="medium">
        <color rgb="FF0314ED"/>
      </right>
      <top style="thin">
        <color rgb="FF0314ED"/>
      </top>
      <bottom style="medium">
        <color rgb="FF0314ED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FF00"/>
      </left>
      <right style="thin">
        <color rgb="FF00FF00"/>
      </right>
      <top style="medium">
        <color rgb="FF00FF00"/>
      </top>
      <bottom style="medium">
        <color rgb="FF00FF00"/>
      </bottom>
      <diagonal/>
    </border>
    <border>
      <left style="thin">
        <color rgb="FF00FF00"/>
      </left>
      <right style="thin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00FF00"/>
      </left>
      <right style="thin">
        <color rgb="FF00FF00"/>
      </right>
      <top style="medium">
        <color rgb="FF00FF00"/>
      </top>
      <bottom style="thin">
        <color rgb="FF00FF00"/>
      </bottom>
      <diagonal/>
    </border>
    <border>
      <left style="thin">
        <color rgb="FF00FF00"/>
      </left>
      <right style="thin">
        <color rgb="FF00FF00"/>
      </right>
      <top style="medium">
        <color rgb="FF00FF00"/>
      </top>
      <bottom style="thin">
        <color rgb="FF00FF00"/>
      </bottom>
      <diagonal/>
    </border>
    <border>
      <left style="thin">
        <color rgb="FF00FF00"/>
      </left>
      <right style="medium">
        <color rgb="FF00FF00"/>
      </right>
      <top style="medium">
        <color rgb="FF00FF00"/>
      </top>
      <bottom style="thin">
        <color rgb="FF00FF00"/>
      </bottom>
      <diagonal/>
    </border>
    <border>
      <left style="medium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thin">
        <color rgb="FF00FF00"/>
      </bottom>
      <diagonal/>
    </border>
    <border>
      <left style="thin">
        <color rgb="FF00FF00"/>
      </left>
      <right style="medium">
        <color rgb="FF00FF00"/>
      </right>
      <top style="thin">
        <color rgb="FF00FF00"/>
      </top>
      <bottom style="thin">
        <color rgb="FF00FF00"/>
      </bottom>
      <diagonal/>
    </border>
    <border>
      <left style="medium">
        <color rgb="FF0314ED"/>
      </left>
      <right style="thin">
        <color rgb="FF0314ED"/>
      </right>
      <top style="medium">
        <color rgb="FF0314ED"/>
      </top>
      <bottom style="medium">
        <color rgb="FF0314ED"/>
      </bottom>
      <diagonal/>
    </border>
    <border>
      <left style="thin">
        <color rgb="FF0314ED"/>
      </left>
      <right style="thin">
        <color rgb="FF0314ED"/>
      </right>
      <top style="medium">
        <color rgb="FF0314ED"/>
      </top>
      <bottom style="medium">
        <color rgb="FF0314ED"/>
      </bottom>
      <diagonal/>
    </border>
    <border>
      <left style="thin">
        <color rgb="FF0314ED"/>
      </left>
      <right style="medium">
        <color rgb="FF0314ED"/>
      </right>
      <top style="medium">
        <color rgb="FF0314ED"/>
      </top>
      <bottom style="medium">
        <color rgb="FF0314ED"/>
      </bottom>
      <diagonal/>
    </border>
    <border>
      <left style="medium">
        <color rgb="FF0314ED"/>
      </left>
      <right style="thin">
        <color rgb="FF0314ED"/>
      </right>
      <top style="thin">
        <color rgb="FF0314ED"/>
      </top>
      <bottom style="thin">
        <color rgb="FF0314ED"/>
      </bottom>
      <diagonal/>
    </border>
    <border>
      <left style="thin">
        <color rgb="FF0314ED"/>
      </left>
      <right style="thin">
        <color rgb="FF0314ED"/>
      </right>
      <top style="thin">
        <color rgb="FF0314ED"/>
      </top>
      <bottom style="thin">
        <color rgb="FF0314ED"/>
      </bottom>
      <diagonal/>
    </border>
    <border>
      <left style="thin">
        <color rgb="FF0314ED"/>
      </left>
      <right style="medium">
        <color rgb="FF0314ED"/>
      </right>
      <top style="thin">
        <color rgb="FF0314ED"/>
      </top>
      <bottom style="thin">
        <color rgb="FF0314ED"/>
      </bottom>
      <diagonal/>
    </border>
    <border>
      <left style="medium">
        <color indexed="25"/>
      </left>
      <right style="thin">
        <color indexed="25"/>
      </right>
      <top style="medium">
        <color indexed="25"/>
      </top>
      <bottom style="thin">
        <color indexed="25"/>
      </bottom>
      <diagonal/>
    </border>
    <border>
      <left style="thin">
        <color indexed="25"/>
      </left>
      <right style="thin">
        <color indexed="25"/>
      </right>
      <top style="medium">
        <color indexed="25"/>
      </top>
      <bottom style="thin">
        <color indexed="25"/>
      </bottom>
      <diagonal/>
    </border>
    <border>
      <left style="thin">
        <color indexed="25"/>
      </left>
      <right style="medium">
        <color indexed="25"/>
      </right>
      <top style="medium">
        <color indexed="25"/>
      </top>
      <bottom style="thin">
        <color indexed="25"/>
      </bottom>
      <diagonal/>
    </border>
    <border>
      <left style="medium">
        <color indexed="25"/>
      </left>
      <right style="thin">
        <color indexed="25"/>
      </right>
      <top style="thin">
        <color indexed="25"/>
      </top>
      <bottom style="thin">
        <color indexed="25"/>
      </bottom>
      <diagonal/>
    </border>
    <border>
      <left style="thin">
        <color indexed="25"/>
      </left>
      <right style="thin">
        <color indexed="25"/>
      </right>
      <top style="thin">
        <color indexed="25"/>
      </top>
      <bottom style="thin">
        <color indexed="25"/>
      </bottom>
      <diagonal/>
    </border>
    <border>
      <left style="thin">
        <color indexed="25"/>
      </left>
      <right style="medium">
        <color indexed="25"/>
      </right>
      <top style="thin">
        <color indexed="25"/>
      </top>
      <bottom style="thin">
        <color indexed="25"/>
      </bottom>
      <diagonal/>
    </border>
    <border>
      <left style="medium">
        <color indexed="25"/>
      </left>
      <right style="thin">
        <color indexed="25"/>
      </right>
      <top style="thin">
        <color indexed="25"/>
      </top>
      <bottom style="medium">
        <color indexed="25"/>
      </bottom>
      <diagonal/>
    </border>
    <border>
      <left style="thin">
        <color indexed="25"/>
      </left>
      <right style="thin">
        <color indexed="25"/>
      </right>
      <top style="thin">
        <color indexed="25"/>
      </top>
      <bottom style="medium">
        <color indexed="25"/>
      </bottom>
      <diagonal/>
    </border>
    <border>
      <left style="thin">
        <color indexed="25"/>
      </left>
      <right style="medium">
        <color indexed="25"/>
      </right>
      <top style="thin">
        <color indexed="25"/>
      </top>
      <bottom style="medium">
        <color indexed="25"/>
      </bottom>
      <diagonal/>
    </border>
    <border>
      <left style="medium">
        <color indexed="14"/>
      </left>
      <right style="thin">
        <color indexed="14"/>
      </right>
      <top style="medium">
        <color indexed="14"/>
      </top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medium">
        <color indexed="14"/>
      </top>
      <bottom style="thin">
        <color indexed="14"/>
      </bottom>
      <diagonal/>
    </border>
    <border>
      <left style="thin">
        <color indexed="14"/>
      </left>
      <right style="medium">
        <color indexed="14"/>
      </right>
      <top style="medium">
        <color indexed="14"/>
      </top>
      <bottom style="thin">
        <color indexed="14"/>
      </bottom>
      <diagonal/>
    </border>
    <border>
      <left style="medium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 style="medium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medium">
        <color indexed="14"/>
      </bottom>
      <diagonal/>
    </border>
    <border>
      <left style="thin">
        <color indexed="14"/>
      </left>
      <right style="medium">
        <color indexed="14"/>
      </right>
      <top style="thin">
        <color indexed="14"/>
      </top>
      <bottom style="medium">
        <color indexed="14"/>
      </bottom>
      <diagonal/>
    </border>
    <border>
      <left style="medium">
        <color indexed="10"/>
      </left>
      <right style="thin">
        <color indexed="10"/>
      </right>
      <top style="medium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10"/>
      </right>
      <top style="medium">
        <color indexed="10"/>
      </top>
      <bottom style="thin">
        <color indexed="10"/>
      </bottom>
      <diagonal/>
    </border>
    <border>
      <left style="medium">
        <color rgb="FF00FF00"/>
      </left>
      <right style="thin">
        <color rgb="FF00FF00"/>
      </right>
      <top style="thin">
        <color rgb="FF00FF00"/>
      </top>
      <bottom style="medium">
        <color rgb="FF00FF00"/>
      </bottom>
      <diagonal/>
    </border>
    <border>
      <left style="thin">
        <color rgb="FF00FF00"/>
      </left>
      <right style="thin">
        <color rgb="FF00FF00"/>
      </right>
      <top style="thin">
        <color rgb="FF00FF00"/>
      </top>
      <bottom style="medium">
        <color rgb="FF00FF00"/>
      </bottom>
      <diagonal/>
    </border>
    <border>
      <left style="thin">
        <color rgb="FF0314ED"/>
      </left>
      <right/>
      <top style="medium">
        <color rgb="FF0314ED"/>
      </top>
      <bottom style="thin">
        <color rgb="FF0314ED"/>
      </bottom>
      <diagonal/>
    </border>
    <border>
      <left style="thin">
        <color rgb="FF0314ED"/>
      </left>
      <right/>
      <top style="thin">
        <color rgb="FF0314ED"/>
      </top>
      <bottom style="medium">
        <color rgb="FF0314ED"/>
      </bottom>
      <diagonal/>
    </border>
    <border>
      <left style="medium">
        <color theme="5"/>
      </left>
      <right style="thin">
        <color theme="5"/>
      </right>
      <top style="medium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thin">
        <color theme="5"/>
      </bottom>
      <diagonal/>
    </border>
    <border>
      <left style="thin">
        <color theme="5"/>
      </left>
      <right style="medium">
        <color theme="5"/>
      </right>
      <top style="medium">
        <color theme="5"/>
      </top>
      <bottom style="thin">
        <color theme="5"/>
      </bottom>
      <diagonal/>
    </border>
    <border>
      <left style="medium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medium">
        <color theme="5"/>
      </right>
      <top style="thin">
        <color theme="5"/>
      </top>
      <bottom style="medium">
        <color theme="5"/>
      </bottom>
      <diagonal/>
    </border>
    <border>
      <left style="medium">
        <color indexed="14"/>
      </left>
      <right style="thin">
        <color indexed="14"/>
      </right>
      <top style="thin">
        <color indexed="14"/>
      </top>
      <bottom style="medium">
        <color indexed="14"/>
      </bottom>
      <diagonal/>
    </border>
    <border>
      <left style="medium">
        <color rgb="FF0314ED"/>
      </left>
      <right/>
      <top style="medium">
        <color rgb="FF0314ED"/>
      </top>
      <bottom style="thin">
        <color rgb="FF0314ED"/>
      </bottom>
      <diagonal/>
    </border>
    <border>
      <left/>
      <right style="medium">
        <color rgb="FF0314ED"/>
      </right>
      <top style="medium">
        <color rgb="FF0314ED"/>
      </top>
      <bottom style="thin">
        <color rgb="FF0314ED"/>
      </bottom>
      <diagonal/>
    </border>
    <border>
      <left style="medium">
        <color rgb="FF0314ED"/>
      </left>
      <right/>
      <top style="thin">
        <color rgb="FF0314ED"/>
      </top>
      <bottom style="medium">
        <color rgb="FF0314ED"/>
      </bottom>
      <diagonal/>
    </border>
    <border>
      <left/>
      <right style="medium">
        <color rgb="FF0314ED"/>
      </right>
      <top style="thin">
        <color rgb="FF0314ED"/>
      </top>
      <bottom style="medium">
        <color rgb="FF0314ED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thin">
        <color theme="5" tint="-0.24994659260841701"/>
      </bottom>
      <diagonal/>
    </border>
    <border>
      <left style="medium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medium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medium">
        <color theme="5" tint="-0.24994659260841701"/>
      </bottom>
      <diagonal/>
    </border>
    <border>
      <left style="thin">
        <color theme="5" tint="-0.24994659260841701"/>
      </left>
      <right style="medium">
        <color theme="5" tint="-0.24994659260841701"/>
      </right>
      <top style="thin">
        <color theme="5" tint="-0.24994659260841701"/>
      </top>
      <bottom style="medium">
        <color theme="5" tint="-0.24994659260841701"/>
      </bottom>
      <diagonal/>
    </border>
    <border>
      <left style="thin">
        <color indexed="14"/>
      </left>
      <right style="thin">
        <color indexed="14"/>
      </right>
      <top/>
      <bottom/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rgb="FFFF7C80"/>
      </left>
      <right style="thin">
        <color rgb="FFFF7C80"/>
      </right>
      <top style="medium">
        <color rgb="FFFF7C80"/>
      </top>
      <bottom style="thin">
        <color rgb="FFFF7C80"/>
      </bottom>
      <diagonal/>
    </border>
    <border>
      <left style="thin">
        <color rgb="FFFF7C80"/>
      </left>
      <right style="medium">
        <color rgb="FFFF7C80"/>
      </right>
      <top style="medium">
        <color rgb="FFFF7C80"/>
      </top>
      <bottom style="thin">
        <color rgb="FFFF7C80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double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double">
        <color theme="9" tint="-0.24994659260841701"/>
      </bottom>
      <diagonal/>
    </border>
    <border>
      <left style="medium">
        <color rgb="FFFF7C80"/>
      </left>
      <right style="thin">
        <color rgb="FFFF7C80"/>
      </right>
      <top style="thin">
        <color rgb="FFFF7C80"/>
      </top>
      <bottom style="thin">
        <color rgb="FFFF7C80"/>
      </bottom>
      <diagonal/>
    </border>
    <border>
      <left style="thin">
        <color rgb="FFFF7C80"/>
      </left>
      <right style="medium">
        <color rgb="FFFF7C80"/>
      </right>
      <top style="thin">
        <color rgb="FFFF7C80"/>
      </top>
      <bottom style="thin">
        <color rgb="FFFF7C80"/>
      </bottom>
      <diagonal/>
    </border>
    <border>
      <left style="medium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/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rgb="FFFF7C80"/>
      </left>
      <right style="thin">
        <color rgb="FFFF7C80"/>
      </right>
      <top style="thin">
        <color rgb="FFFF7C80"/>
      </top>
      <bottom style="medium">
        <color rgb="FFFF7C80"/>
      </bottom>
      <diagonal/>
    </border>
    <border>
      <left style="thin">
        <color rgb="FFFF7C80"/>
      </left>
      <right style="medium">
        <color rgb="FFFF7C80"/>
      </right>
      <top style="thin">
        <color rgb="FFFF7C80"/>
      </top>
      <bottom style="medium">
        <color rgb="FFFF7C80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rgb="FF0314ED"/>
      </left>
      <right style="thin">
        <color rgb="FF0314ED"/>
      </right>
      <top/>
      <bottom style="thin">
        <color rgb="FF0314ED"/>
      </bottom>
      <diagonal/>
    </border>
    <border>
      <left style="thin">
        <color rgb="FF0314ED"/>
      </left>
      <right style="medium">
        <color rgb="FF0314ED"/>
      </right>
      <top/>
      <bottom style="thin">
        <color rgb="FF0314ED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14"/>
      </left>
      <right style="thin">
        <color indexed="14"/>
      </right>
      <top/>
      <bottom style="medium">
        <color indexed="14"/>
      </bottom>
      <diagonal/>
    </border>
    <border>
      <left style="thin">
        <color indexed="25"/>
      </left>
      <right style="thin">
        <color indexed="25"/>
      </right>
      <top style="thin">
        <color indexed="25"/>
      </top>
      <bottom/>
      <diagonal/>
    </border>
    <border>
      <left style="thin">
        <color indexed="10"/>
      </left>
      <right style="medium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thin">
        <color indexed="10"/>
      </left>
      <right style="medium">
        <color indexed="10"/>
      </right>
      <top style="thin">
        <color indexed="10"/>
      </top>
      <bottom style="medium">
        <color indexed="1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</cellStyleXfs>
  <cellXfs count="619">
    <xf numFmtId="0" fontId="0" fillId="0" borderId="0" xfId="0"/>
    <xf numFmtId="0" fontId="0" fillId="0" borderId="0" xfId="0" quotePrefix="1" applyAlignment="1">
      <alignment horizontal="left"/>
    </xf>
    <xf numFmtId="38" fontId="0" fillId="0" borderId="0" xfId="1" applyFont="1"/>
    <xf numFmtId="0" fontId="0" fillId="0" borderId="1" xfId="0" applyFill="1" applyBorder="1"/>
    <xf numFmtId="0" fontId="0" fillId="0" borderId="1" xfId="0" applyBorder="1"/>
    <xf numFmtId="0" fontId="3" fillId="0" borderId="0" xfId="0" quotePrefix="1" applyFont="1" applyAlignment="1">
      <alignment horizontal="left"/>
    </xf>
    <xf numFmtId="0" fontId="0" fillId="0" borderId="0" xfId="0" quotePrefix="1" applyNumberFormat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left"/>
    </xf>
    <xf numFmtId="38" fontId="3" fillId="0" borderId="0" xfId="1" applyFont="1"/>
    <xf numFmtId="0" fontId="5" fillId="0" borderId="3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0" fillId="0" borderId="3" xfId="0" quotePrefix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/>
    </xf>
    <xf numFmtId="0" fontId="7" fillId="0" borderId="0" xfId="0" applyFont="1" applyAlignment="1">
      <alignment horizontal="left" vertical="top"/>
    </xf>
    <xf numFmtId="0" fontId="0" fillId="0" borderId="0" xfId="0" quotePrefix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6" xfId="0" applyFill="1" applyBorder="1" applyAlignment="1">
      <alignment horizontal="center"/>
    </xf>
    <xf numFmtId="0" fontId="0" fillId="0" borderId="14" xfId="0" applyBorder="1"/>
    <xf numFmtId="14" fontId="0" fillId="0" borderId="18" xfId="0" applyNumberFormat="1" applyBorder="1"/>
    <xf numFmtId="38" fontId="0" fillId="0" borderId="14" xfId="1" applyFont="1" applyFill="1" applyBorder="1"/>
    <xf numFmtId="0" fontId="0" fillId="0" borderId="19" xfId="0" applyBorder="1"/>
    <xf numFmtId="38" fontId="0" fillId="0" borderId="14" xfId="1" applyFont="1" applyBorder="1"/>
    <xf numFmtId="0" fontId="0" fillId="0" borderId="21" xfId="0" applyBorder="1"/>
    <xf numFmtId="38" fontId="0" fillId="0" borderId="21" xfId="1" applyFont="1" applyBorder="1"/>
    <xf numFmtId="0" fontId="0" fillId="0" borderId="22" xfId="0" applyBorder="1"/>
    <xf numFmtId="0" fontId="0" fillId="0" borderId="23" xfId="0" applyBorder="1" applyAlignment="1">
      <alignment horizontal="center"/>
    </xf>
    <xf numFmtId="176" fontId="3" fillId="0" borderId="24" xfId="1" applyNumberFormat="1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4" fontId="0" fillId="0" borderId="24" xfId="0" applyNumberFormat="1" applyBorder="1" applyAlignment="1">
      <alignment horizontal="center"/>
    </xf>
    <xf numFmtId="38" fontId="0" fillId="0" borderId="0" xfId="1" quotePrefix="1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9" xfId="0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38" fontId="0" fillId="0" borderId="9" xfId="1" applyFont="1" applyBorder="1"/>
    <xf numFmtId="14" fontId="0" fillId="0" borderId="33" xfId="0" applyNumberFormat="1" applyBorder="1"/>
    <xf numFmtId="14" fontId="0" fillId="0" borderId="0" xfId="0" quotePrefix="1" applyNumberFormat="1"/>
    <xf numFmtId="0" fontId="0" fillId="0" borderId="1" xfId="0" applyFill="1" applyBorder="1" applyAlignment="1">
      <alignment horizontal="center"/>
    </xf>
    <xf numFmtId="49" fontId="0" fillId="0" borderId="0" xfId="0" applyNumberFormat="1"/>
    <xf numFmtId="0" fontId="0" fillId="0" borderId="0" xfId="0" quotePrefix="1" applyFill="1" applyAlignment="1">
      <alignment horizontal="left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14" xfId="0" quotePrefix="1" applyBorder="1" applyAlignment="1">
      <alignment horizontal="left"/>
    </xf>
    <xf numFmtId="0" fontId="0" fillId="0" borderId="34" xfId="0" quotePrefix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38" fontId="0" fillId="4" borderId="35" xfId="1" quotePrefix="1" applyFont="1" applyFill="1" applyBorder="1" applyAlignment="1">
      <alignment horizontal="center"/>
    </xf>
    <xf numFmtId="14" fontId="0" fillId="0" borderId="38" xfId="0" applyNumberFormat="1" applyBorder="1" applyAlignment="1">
      <alignment horizontal="center"/>
    </xf>
    <xf numFmtId="0" fontId="0" fillId="5" borderId="35" xfId="0" quotePrefix="1" applyFill="1" applyBorder="1" applyAlignment="1">
      <alignment horizontal="center"/>
    </xf>
    <xf numFmtId="38" fontId="0" fillId="0" borderId="12" xfId="1" applyFont="1" applyBorder="1" applyAlignment="1">
      <alignment horizontal="center"/>
    </xf>
    <xf numFmtId="180" fontId="0" fillId="0" borderId="13" xfId="0" applyNumberFormat="1" applyBorder="1" applyAlignment="1">
      <alignment horizontal="right"/>
    </xf>
    <xf numFmtId="0" fontId="0" fillId="0" borderId="8" xfId="0" applyFill="1" applyBorder="1"/>
    <xf numFmtId="0" fontId="0" fillId="0" borderId="8" xfId="0" quotePrefix="1" applyBorder="1" applyAlignment="1">
      <alignment horizontal="left"/>
    </xf>
    <xf numFmtId="0" fontId="0" fillId="0" borderId="10" xfId="0" applyFill="1" applyBorder="1"/>
    <xf numFmtId="180" fontId="0" fillId="0" borderId="41" xfId="0" applyNumberFormat="1" applyBorder="1" applyAlignment="1">
      <alignment horizontal="right"/>
    </xf>
    <xf numFmtId="0" fontId="0" fillId="0" borderId="42" xfId="0" applyBorder="1" applyAlignment="1">
      <alignment horizontal="center" vertical="center"/>
    </xf>
    <xf numFmtId="38" fontId="0" fillId="0" borderId="43" xfId="1" applyFont="1" applyBorder="1" applyAlignment="1">
      <alignment horizontal="center" vertical="center"/>
    </xf>
    <xf numFmtId="0" fontId="0" fillId="3" borderId="8" xfId="0" applyFill="1" applyBorder="1" applyAlignment="1">
      <alignment horizontal="left"/>
    </xf>
    <xf numFmtId="0" fontId="0" fillId="0" borderId="12" xfId="0" applyBorder="1" applyAlignment="1">
      <alignment horizontal="center"/>
    </xf>
    <xf numFmtId="178" fontId="0" fillId="0" borderId="13" xfId="1" applyNumberFormat="1" applyFont="1" applyBorder="1"/>
    <xf numFmtId="0" fontId="0" fillId="0" borderId="8" xfId="0" quotePrefix="1" applyFill="1" applyBorder="1" applyAlignment="1">
      <alignment horizontal="left"/>
    </xf>
    <xf numFmtId="0" fontId="0" fillId="0" borderId="44" xfId="0" applyBorder="1"/>
    <xf numFmtId="38" fontId="0" fillId="0" borderId="45" xfId="1" applyFont="1" applyBorder="1"/>
    <xf numFmtId="0" fontId="0" fillId="0" borderId="46" xfId="0" applyBorder="1" applyAlignment="1">
      <alignment horizontal="center"/>
    </xf>
    <xf numFmtId="38" fontId="0" fillId="0" borderId="47" xfId="1" applyFont="1" applyBorder="1" applyAlignment="1">
      <alignment horizontal="center"/>
    </xf>
    <xf numFmtId="0" fontId="0" fillId="0" borderId="49" xfId="0" applyBorder="1"/>
    <xf numFmtId="38" fontId="0" fillId="0" borderId="50" xfId="1" applyFont="1" applyBorder="1"/>
    <xf numFmtId="0" fontId="0" fillId="0" borderId="52" xfId="0" applyBorder="1"/>
    <xf numFmtId="38" fontId="0" fillId="0" borderId="53" xfId="1" applyFont="1" applyBorder="1"/>
    <xf numFmtId="0" fontId="0" fillId="0" borderId="35" xfId="0" applyBorder="1" applyAlignment="1">
      <alignment horizontal="center"/>
    </xf>
    <xf numFmtId="38" fontId="0" fillId="0" borderId="36" xfId="1" applyFont="1" applyBorder="1" applyAlignment="1">
      <alignment horizontal="center"/>
    </xf>
    <xf numFmtId="0" fontId="0" fillId="0" borderId="55" xfId="0" applyBorder="1"/>
    <xf numFmtId="38" fontId="0" fillId="0" borderId="56" xfId="1" applyFont="1" applyBorder="1"/>
    <xf numFmtId="3" fontId="0" fillId="0" borderId="50" xfId="1" applyNumberFormat="1" applyFont="1" applyBorder="1"/>
    <xf numFmtId="0" fontId="0" fillId="0" borderId="0" xfId="0" applyAlignment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quotePrefix="1" applyBorder="1"/>
    <xf numFmtId="0" fontId="0" fillId="0" borderId="62" xfId="0" applyBorder="1"/>
    <xf numFmtId="0" fontId="0" fillId="0" borderId="63" xfId="0" applyBorder="1" applyAlignment="1">
      <alignment horizontal="left"/>
    </xf>
    <xf numFmtId="0" fontId="0" fillId="0" borderId="63" xfId="0" applyBorder="1"/>
    <xf numFmtId="56" fontId="0" fillId="0" borderId="63" xfId="0" quotePrefix="1" applyNumberFormat="1" applyBorder="1"/>
    <xf numFmtId="0" fontId="0" fillId="0" borderId="63" xfId="0" quotePrefix="1" applyBorder="1"/>
    <xf numFmtId="0" fontId="0" fillId="0" borderId="65" xfId="0" applyBorder="1"/>
    <xf numFmtId="0" fontId="0" fillId="0" borderId="66" xfId="0" applyBorder="1"/>
    <xf numFmtId="0" fontId="0" fillId="0" borderId="0" xfId="0" quotePrefix="1" applyAlignment="1"/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69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71" xfId="0" applyBorder="1" applyAlignment="1">
      <alignment horizontal="left"/>
    </xf>
    <xf numFmtId="0" fontId="0" fillId="0" borderId="72" xfId="0" applyBorder="1" applyAlignment="1">
      <alignment horizontal="left"/>
    </xf>
    <xf numFmtId="0" fontId="0" fillId="0" borderId="71" xfId="0" applyBorder="1"/>
    <xf numFmtId="0" fontId="0" fillId="0" borderId="71" xfId="0" quotePrefix="1" applyBorder="1" applyAlignment="1">
      <alignment horizontal="left"/>
    </xf>
    <xf numFmtId="0" fontId="0" fillId="0" borderId="70" xfId="0" quotePrefix="1" applyFill="1" applyBorder="1" applyAlignment="1">
      <alignment horizontal="center"/>
    </xf>
    <xf numFmtId="0" fontId="0" fillId="0" borderId="71" xfId="0" applyFill="1" applyBorder="1"/>
    <xf numFmtId="0" fontId="0" fillId="0" borderId="71" xfId="0" applyFill="1" applyBorder="1" applyAlignment="1">
      <alignment horizontal="left"/>
    </xf>
    <xf numFmtId="0" fontId="0" fillId="0" borderId="72" xfId="0" quotePrefix="1" applyBorder="1" applyAlignment="1"/>
    <xf numFmtId="0" fontId="0" fillId="7" borderId="70" xfId="0" quotePrefix="1" applyFont="1" applyFill="1" applyBorder="1" applyAlignment="1">
      <alignment horizontal="center"/>
    </xf>
    <xf numFmtId="0" fontId="0" fillId="7" borderId="71" xfId="0" applyFont="1" applyFill="1" applyBorder="1" applyAlignment="1">
      <alignment horizontal="left"/>
    </xf>
    <xf numFmtId="0" fontId="0" fillId="7" borderId="71" xfId="0" quotePrefix="1" applyFont="1" applyFill="1" applyBorder="1" applyAlignment="1">
      <alignment horizontal="left"/>
    </xf>
    <xf numFmtId="0" fontId="0" fillId="7" borderId="72" xfId="0" quotePrefix="1" applyFont="1" applyFill="1" applyBorder="1" applyAlignment="1">
      <alignment horizontal="left"/>
    </xf>
    <xf numFmtId="56" fontId="0" fillId="0" borderId="71" xfId="0" quotePrefix="1" applyNumberFormat="1" applyBorder="1" applyAlignment="1">
      <alignment horizontal="left"/>
    </xf>
    <xf numFmtId="56" fontId="0" fillId="0" borderId="72" xfId="0" quotePrefix="1" applyNumberFormat="1" applyBorder="1" applyAlignment="1">
      <alignment horizontal="left"/>
    </xf>
    <xf numFmtId="0" fontId="0" fillId="0" borderId="72" xfId="0" quotePrefix="1" applyBorder="1" applyAlignment="1">
      <alignment horizontal="left"/>
    </xf>
    <xf numFmtId="0" fontId="0" fillId="0" borderId="72" xfId="0" applyBorder="1"/>
    <xf numFmtId="0" fontId="0" fillId="0" borderId="70" xfId="0" applyBorder="1" applyAlignment="1">
      <alignment horizontal="center"/>
    </xf>
    <xf numFmtId="0" fontId="0" fillId="0" borderId="72" xfId="0" applyFill="1" applyBorder="1"/>
    <xf numFmtId="0" fontId="0" fillId="0" borderId="71" xfId="0" quotePrefix="1" applyFill="1" applyBorder="1" applyAlignment="1">
      <alignment horizontal="left"/>
    </xf>
    <xf numFmtId="0" fontId="0" fillId="0" borderId="73" xfId="0" applyFill="1" applyBorder="1"/>
    <xf numFmtId="0" fontId="0" fillId="0" borderId="74" xfId="0" applyBorder="1"/>
    <xf numFmtId="49" fontId="0" fillId="0" borderId="63" xfId="0" applyNumberFormat="1" applyBorder="1"/>
    <xf numFmtId="49" fontId="0" fillId="0" borderId="66" xfId="0" applyNumberFormat="1" applyBorder="1"/>
    <xf numFmtId="0" fontId="0" fillId="0" borderId="61" xfId="0" quotePrefix="1" applyBorder="1" applyAlignment="1">
      <alignment horizontal="left"/>
    </xf>
    <xf numFmtId="0" fontId="0" fillId="0" borderId="64" xfId="0" applyBorder="1"/>
    <xf numFmtId="0" fontId="0" fillId="0" borderId="62" xfId="0" quotePrefix="1" applyBorder="1" applyAlignment="1">
      <alignment horizontal="left"/>
    </xf>
    <xf numFmtId="0" fontId="0" fillId="0" borderId="62" xfId="0" applyFont="1" applyBorder="1"/>
    <xf numFmtId="0" fontId="0" fillId="0" borderId="62" xfId="0" applyBorder="1" applyAlignment="1">
      <alignment horizontal="left"/>
    </xf>
    <xf numFmtId="0" fontId="0" fillId="0" borderId="61" xfId="0" quotePrefix="1" applyFill="1" applyBorder="1" applyAlignment="1">
      <alignment horizontal="left"/>
    </xf>
    <xf numFmtId="0" fontId="0" fillId="0" borderId="62" xfId="0" applyFill="1" applyBorder="1"/>
    <xf numFmtId="0" fontId="0" fillId="0" borderId="63" xfId="0" quotePrefix="1" applyBorder="1" applyAlignment="1">
      <alignment horizontal="left"/>
    </xf>
    <xf numFmtId="0" fontId="0" fillId="0" borderId="64" xfId="0" quotePrefix="1" applyBorder="1" applyAlignment="1">
      <alignment horizontal="left"/>
    </xf>
    <xf numFmtId="0" fontId="0" fillId="0" borderId="66" xfId="0" quotePrefix="1" applyBorder="1" applyAlignment="1">
      <alignment horizontal="left"/>
    </xf>
    <xf numFmtId="0" fontId="0" fillId="0" borderId="61" xfId="0" applyBorder="1"/>
    <xf numFmtId="0" fontId="0" fillId="0" borderId="65" xfId="0" applyFill="1" applyBorder="1"/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4" xfId="0" applyFill="1" applyBorder="1"/>
    <xf numFmtId="0" fontId="0" fillId="0" borderId="61" xfId="0" quotePrefix="1" applyFill="1" applyBorder="1"/>
    <xf numFmtId="0" fontId="0" fillId="0" borderId="62" xfId="0" quotePrefix="1" applyFill="1" applyBorder="1" applyAlignment="1">
      <alignment horizontal="left"/>
    </xf>
    <xf numFmtId="0" fontId="0" fillId="0" borderId="63" xfId="0" quotePrefix="1" applyFill="1" applyBorder="1" applyAlignment="1">
      <alignment horizontal="left"/>
    </xf>
    <xf numFmtId="0" fontId="0" fillId="0" borderId="61" xfId="0" applyFill="1" applyBorder="1"/>
    <xf numFmtId="0" fontId="0" fillId="0" borderId="56" xfId="0" applyBorder="1"/>
    <xf numFmtId="38" fontId="0" fillId="0" borderId="39" xfId="1" applyFont="1" applyBorder="1"/>
    <xf numFmtId="3" fontId="0" fillId="0" borderId="50" xfId="0" applyNumberFormat="1" applyBorder="1"/>
    <xf numFmtId="0" fontId="0" fillId="0" borderId="61" xfId="0" applyFill="1" applyBorder="1" applyAlignment="1">
      <alignment horizontal="left"/>
    </xf>
    <xf numFmtId="3" fontId="0" fillId="0" borderId="79" xfId="1" applyNumberFormat="1" applyFont="1" applyBorder="1"/>
    <xf numFmtId="0" fontId="0" fillId="0" borderId="49" xfId="0" quotePrefix="1" applyBorder="1" applyAlignment="1">
      <alignment horizontal="left"/>
    </xf>
    <xf numFmtId="38" fontId="0" fillId="0" borderId="48" xfId="1" applyFont="1" applyFill="1" applyBorder="1" applyAlignment="1">
      <alignment horizontal="center"/>
    </xf>
    <xf numFmtId="9" fontId="0" fillId="0" borderId="57" xfId="0" applyNumberFormat="1" applyBorder="1"/>
    <xf numFmtId="0" fontId="0" fillId="0" borderId="7" xfId="0" applyFill="1" applyBorder="1" applyAlignment="1">
      <alignment horizontal="center"/>
    </xf>
    <xf numFmtId="0" fontId="0" fillId="0" borderId="63" xfId="0" applyFill="1" applyBorder="1"/>
    <xf numFmtId="0" fontId="0" fillId="0" borderId="64" xfId="0" quotePrefix="1" applyFill="1" applyBorder="1"/>
    <xf numFmtId="49" fontId="0" fillId="0" borderId="66" xfId="0" applyNumberFormat="1" applyFill="1" applyBorder="1"/>
    <xf numFmtId="14" fontId="0" fillId="0" borderId="63" xfId="0" applyNumberFormat="1" applyBorder="1"/>
    <xf numFmtId="56" fontId="0" fillId="0" borderId="63" xfId="0" quotePrefix="1" applyNumberFormat="1" applyBorder="1" applyAlignment="1">
      <alignment horizontal="left"/>
    </xf>
    <xf numFmtId="9" fontId="0" fillId="0" borderId="12" xfId="0" applyNumberFormat="1" applyBorder="1"/>
    <xf numFmtId="0" fontId="0" fillId="0" borderId="6" xfId="0" quotePrefix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9" fontId="0" fillId="0" borderId="0" xfId="1" applyNumberFormat="1" applyFont="1"/>
    <xf numFmtId="9" fontId="0" fillId="0" borderId="0" xfId="0" applyNumberFormat="1"/>
    <xf numFmtId="0" fontId="11" fillId="0" borderId="0" xfId="0" quotePrefix="1" applyFont="1" applyAlignment="1">
      <alignment horizontal="left"/>
    </xf>
    <xf numFmtId="38" fontId="0" fillId="0" borderId="0" xfId="1" applyFont="1" applyAlignment="1">
      <alignment horizontal="center"/>
    </xf>
    <xf numFmtId="0" fontId="3" fillId="0" borderId="0" xfId="0" applyFont="1"/>
    <xf numFmtId="0" fontId="11" fillId="0" borderId="0" xfId="0" applyFont="1"/>
    <xf numFmtId="0" fontId="12" fillId="0" borderId="0" xfId="0" applyFont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/>
    <xf numFmtId="38" fontId="0" fillId="0" borderId="54" xfId="1" applyFont="1" applyFill="1" applyBorder="1"/>
    <xf numFmtId="0" fontId="0" fillId="0" borderId="32" xfId="0" quotePrefix="1" applyBorder="1" applyAlignment="1">
      <alignment horizontal="left"/>
    </xf>
    <xf numFmtId="178" fontId="0" fillId="0" borderId="0" xfId="0" applyNumberFormat="1"/>
    <xf numFmtId="3" fontId="0" fillId="0" borderId="0" xfId="0" applyNumberFormat="1"/>
    <xf numFmtId="38" fontId="0" fillId="0" borderId="13" xfId="1" applyFont="1" applyBorder="1"/>
    <xf numFmtId="38" fontId="0" fillId="0" borderId="0" xfId="1" quotePrefix="1" applyFont="1" applyAlignment="1">
      <alignment horizontal="center"/>
    </xf>
    <xf numFmtId="0" fontId="0" fillId="0" borderId="58" xfId="0" quotePrefix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/>
    <xf numFmtId="0" fontId="3" fillId="0" borderId="0" xfId="0" quotePrefix="1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" xfId="0" quotePrefix="1" applyFill="1" applyBorder="1" applyAlignment="1">
      <alignment horizontal="left"/>
    </xf>
    <xf numFmtId="0" fontId="0" fillId="0" borderId="1" xfId="0" quotePrefix="1" applyFill="1" applyBorder="1" applyAlignment="1">
      <alignment horizontal="center"/>
    </xf>
    <xf numFmtId="38" fontId="0" fillId="0" borderId="1" xfId="1" applyFont="1" applyBorder="1" applyAlignment="1">
      <alignment horizontal="center"/>
    </xf>
    <xf numFmtId="38" fontId="0" fillId="0" borderId="1" xfId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75" xfId="0" applyBorder="1" applyAlignment="1">
      <alignment horizontal="center" vertical="center"/>
    </xf>
    <xf numFmtId="0" fontId="0" fillId="2" borderId="76" xfId="0" applyFill="1" applyBorder="1" applyAlignment="1">
      <alignment vertical="center"/>
    </xf>
    <xf numFmtId="0" fontId="0" fillId="2" borderId="76" xfId="0" applyFill="1" applyBorder="1" applyAlignment="1">
      <alignment horizontal="center" vertical="center"/>
    </xf>
    <xf numFmtId="0" fontId="0" fillId="2" borderId="76" xfId="0" quotePrefix="1" applyFill="1" applyBorder="1" applyAlignment="1">
      <alignment horizontal="center" vertical="center"/>
    </xf>
    <xf numFmtId="38" fontId="0" fillId="2" borderId="76" xfId="1" applyFont="1" applyFill="1" applyBorder="1" applyAlignment="1">
      <alignment horizontal="center" vertical="center"/>
    </xf>
    <xf numFmtId="178" fontId="0" fillId="2" borderId="76" xfId="0" applyNumberFormat="1" applyFill="1" applyBorder="1" applyAlignment="1">
      <alignment horizontal="right" vertical="center"/>
    </xf>
    <xf numFmtId="38" fontId="0" fillId="2" borderId="76" xfId="1" applyFont="1" applyFill="1" applyBorder="1" applyAlignment="1">
      <alignment horizontal="right" vertical="center"/>
    </xf>
    <xf numFmtId="38" fontId="0" fillId="2" borderId="77" xfId="1" applyFont="1" applyFill="1" applyBorder="1" applyAlignment="1">
      <alignment horizontal="center" vertical="center"/>
    </xf>
    <xf numFmtId="179" fontId="10" fillId="0" borderId="38" xfId="1" applyNumberFormat="1" applyFont="1" applyBorder="1" applyAlignment="1">
      <alignment horizontal="center"/>
    </xf>
    <xf numFmtId="0" fontId="0" fillId="0" borderId="0" xfId="0" quotePrefix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/>
    <xf numFmtId="0" fontId="0" fillId="0" borderId="82" xfId="0" applyFont="1" applyFill="1" applyBorder="1" applyAlignment="1">
      <alignment horizontal="center"/>
    </xf>
    <xf numFmtId="0" fontId="0" fillId="0" borderId="83" xfId="0" applyFont="1" applyFill="1" applyBorder="1" applyAlignment="1">
      <alignment horizontal="center"/>
    </xf>
    <xf numFmtId="0" fontId="0" fillId="0" borderId="84" xfId="0" applyFont="1" applyFill="1" applyBorder="1" applyAlignment="1">
      <alignment horizontal="center"/>
    </xf>
    <xf numFmtId="0" fontId="0" fillId="0" borderId="85" xfId="0" applyFont="1" applyFill="1" applyBorder="1"/>
    <xf numFmtId="0" fontId="0" fillId="0" borderId="86" xfId="0" applyFont="1" applyFill="1" applyBorder="1"/>
    <xf numFmtId="0" fontId="0" fillId="0" borderId="87" xfId="0" applyFont="1" applyFill="1" applyBorder="1"/>
    <xf numFmtId="0" fontId="0" fillId="0" borderId="88" xfId="0" applyFont="1" applyFill="1" applyBorder="1"/>
    <xf numFmtId="0" fontId="0" fillId="0" borderId="89" xfId="0" applyFont="1" applyFill="1" applyBorder="1"/>
    <xf numFmtId="0" fontId="0" fillId="0" borderId="90" xfId="0" applyFont="1" applyFill="1" applyBorder="1"/>
    <xf numFmtId="0" fontId="0" fillId="0" borderId="0" xfId="0" quotePrefix="1" applyAlignment="1">
      <alignment horizontal="center"/>
    </xf>
    <xf numFmtId="0" fontId="0" fillId="0" borderId="91" xfId="0" quotePrefix="1" applyBorder="1" applyAlignment="1">
      <alignment horizontal="center"/>
    </xf>
    <xf numFmtId="0" fontId="0" fillId="0" borderId="0" xfId="0" applyFont="1" applyFill="1" applyBorder="1"/>
    <xf numFmtId="0" fontId="0" fillId="0" borderId="9" xfId="0" quotePrefix="1" applyBorder="1" applyAlignment="1">
      <alignment horizontal="left"/>
    </xf>
    <xf numFmtId="0" fontId="0" fillId="0" borderId="49" xfId="0" applyFill="1" applyBorder="1"/>
    <xf numFmtId="0" fontId="0" fillId="0" borderId="12" xfId="0" applyFill="1" applyBorder="1" applyAlignment="1">
      <alignment horizontal="center"/>
    </xf>
    <xf numFmtId="9" fontId="0" fillId="0" borderId="13" xfId="0" applyNumberFormat="1" applyBorder="1"/>
    <xf numFmtId="9" fontId="0" fillId="3" borderId="13" xfId="0" applyNumberFormat="1" applyFill="1" applyBorder="1"/>
    <xf numFmtId="38" fontId="0" fillId="3" borderId="9" xfId="1" applyFont="1" applyFill="1" applyBorder="1"/>
    <xf numFmtId="14" fontId="0" fillId="2" borderId="76" xfId="0" quotePrefix="1" applyNumberFormat="1" applyFill="1" applyBorder="1" applyAlignment="1">
      <alignment horizontal="center" vertical="center"/>
    </xf>
    <xf numFmtId="0" fontId="0" fillId="0" borderId="66" xfId="0" applyFill="1" applyBorder="1"/>
    <xf numFmtId="0" fontId="0" fillId="0" borderId="62" xfId="0" quotePrefix="1" applyFill="1" applyBorder="1"/>
    <xf numFmtId="49" fontId="0" fillId="0" borderId="63" xfId="0" applyNumberFormat="1" applyFill="1" applyBorder="1"/>
    <xf numFmtId="38" fontId="0" fillId="8" borderId="36" xfId="1" quotePrefix="1" applyFont="1" applyFill="1" applyBorder="1" applyAlignment="1">
      <alignment horizontal="left"/>
    </xf>
    <xf numFmtId="181" fontId="0" fillId="0" borderId="40" xfId="0" applyNumberFormat="1" applyBorder="1"/>
    <xf numFmtId="38" fontId="0" fillId="8" borderId="37" xfId="1" quotePrefix="1" applyFont="1" applyFill="1" applyBorder="1" applyAlignment="1">
      <alignment horizontal="center"/>
    </xf>
    <xf numFmtId="185" fontId="0" fillId="0" borderId="0" xfId="0" applyNumberFormat="1"/>
    <xf numFmtId="185" fontId="6" fillId="0" borderId="0" xfId="0" applyNumberFormat="1" applyFont="1"/>
    <xf numFmtId="185" fontId="0" fillId="0" borderId="30" xfId="0" applyNumberFormat="1" applyBorder="1" applyAlignment="1">
      <alignment horizontal="center"/>
    </xf>
    <xf numFmtId="185" fontId="0" fillId="0" borderId="14" xfId="1" applyNumberFormat="1" applyFont="1" applyFill="1" applyBorder="1"/>
    <xf numFmtId="185" fontId="0" fillId="0" borderId="14" xfId="1" applyNumberFormat="1" applyFont="1" applyBorder="1"/>
    <xf numFmtId="185" fontId="0" fillId="0" borderId="14" xfId="0" applyNumberFormat="1" applyBorder="1"/>
    <xf numFmtId="185" fontId="0" fillId="0" borderId="21" xfId="0" applyNumberFormat="1" applyBorder="1"/>
    <xf numFmtId="185" fontId="7" fillId="0" borderId="0" xfId="0" applyNumberFormat="1" applyFont="1"/>
    <xf numFmtId="14" fontId="0" fillId="2" borderId="75" xfId="0" quotePrefix="1" applyNumberFormat="1" applyFill="1" applyBorder="1" applyAlignment="1">
      <alignment horizontal="center" vertical="center"/>
    </xf>
    <xf numFmtId="0" fontId="0" fillId="2" borderId="77" xfId="2" applyNumberFormat="1" applyFont="1" applyFill="1" applyBorder="1" applyAlignment="1">
      <alignment horizontal="center" vertical="center"/>
    </xf>
    <xf numFmtId="186" fontId="0" fillId="0" borderId="38" xfId="0" applyNumberFormat="1" applyBorder="1"/>
    <xf numFmtId="38" fontId="0" fillId="4" borderId="36" xfId="1" quotePrefix="1" applyFont="1" applyFill="1" applyBorder="1" applyAlignment="1">
      <alignment horizontal="right"/>
    </xf>
    <xf numFmtId="38" fontId="10" fillId="0" borderId="39" xfId="1" applyFont="1" applyBorder="1" applyAlignment="1">
      <alignment horizontal="right"/>
    </xf>
    <xf numFmtId="38" fontId="0" fillId="0" borderId="0" xfId="1" applyFont="1" applyAlignment="1">
      <alignment horizontal="right"/>
    </xf>
    <xf numFmtId="3" fontId="0" fillId="0" borderId="1" xfId="1" applyNumberFormat="1" applyFont="1" applyBorder="1" applyAlignment="1">
      <alignment horizontal="right"/>
    </xf>
    <xf numFmtId="3" fontId="0" fillId="0" borderId="1" xfId="0" quotePrefix="1" applyNumberFormat="1" applyBorder="1" applyAlignment="1">
      <alignment horizontal="right"/>
    </xf>
    <xf numFmtId="3" fontId="0" fillId="0" borderId="1" xfId="0" applyNumberFormat="1" applyBorder="1" applyAlignment="1">
      <alignment horizontal="right"/>
    </xf>
    <xf numFmtId="3" fontId="0" fillId="0" borderId="1" xfId="1" applyNumberFormat="1" applyFont="1" applyFill="1" applyBorder="1" applyAlignment="1">
      <alignment horizontal="right"/>
    </xf>
    <xf numFmtId="0" fontId="0" fillId="4" borderId="36" xfId="0" quotePrefix="1" applyFill="1" applyBorder="1" applyAlignment="1">
      <alignment horizontal="right"/>
    </xf>
    <xf numFmtId="186" fontId="10" fillId="0" borderId="39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0" fillId="2" borderId="76" xfId="0" applyFill="1" applyBorder="1" applyAlignment="1">
      <alignment horizontal="right" vertical="center"/>
    </xf>
    <xf numFmtId="182" fontId="0" fillId="0" borderId="1" xfId="0" applyNumberFormat="1" applyBorder="1" applyAlignment="1">
      <alignment horizontal="right"/>
    </xf>
    <xf numFmtId="182" fontId="0" fillId="0" borderId="1" xfId="0" quotePrefix="1" applyNumberFormat="1" applyBorder="1" applyAlignment="1">
      <alignment horizontal="right"/>
    </xf>
    <xf numFmtId="182" fontId="0" fillId="0" borderId="1" xfId="1" applyNumberFormat="1" applyFont="1" applyBorder="1" applyAlignment="1">
      <alignment horizontal="right"/>
    </xf>
    <xf numFmtId="182" fontId="0" fillId="0" borderId="1" xfId="1" applyNumberFormat="1" applyFont="1" applyFill="1" applyBorder="1" applyAlignment="1">
      <alignment horizontal="right"/>
    </xf>
    <xf numFmtId="178" fontId="0" fillId="4" borderId="37" xfId="0" applyNumberFormat="1" applyFill="1" applyBorder="1" applyAlignment="1">
      <alignment horizontal="right"/>
    </xf>
    <xf numFmtId="38" fontId="10" fillId="0" borderId="40" xfId="1" applyFont="1" applyBorder="1" applyAlignment="1">
      <alignment horizontal="right"/>
    </xf>
    <xf numFmtId="178" fontId="0" fillId="0" borderId="0" xfId="0" applyNumberFormat="1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1" xfId="0" quotePrefix="1" applyNumberFormat="1" applyBorder="1" applyAlignment="1">
      <alignment horizontal="right"/>
    </xf>
    <xf numFmtId="183" fontId="0" fillId="0" borderId="1" xfId="0" applyNumberFormat="1" applyFill="1" applyBorder="1" applyAlignment="1">
      <alignment horizontal="right"/>
    </xf>
    <xf numFmtId="38" fontId="0" fillId="0" borderId="0" xfId="1" quotePrefix="1" applyFont="1" applyAlignment="1">
      <alignment horizontal="right"/>
    </xf>
    <xf numFmtId="38" fontId="0" fillId="6" borderId="35" xfId="1" quotePrefix="1" applyFont="1" applyFill="1" applyBorder="1" applyAlignment="1">
      <alignment horizontal="right"/>
    </xf>
    <xf numFmtId="0" fontId="0" fillId="6" borderId="80" xfId="0" quotePrefix="1" applyFill="1" applyBorder="1" applyAlignment="1">
      <alignment horizontal="right"/>
    </xf>
    <xf numFmtId="38" fontId="0" fillId="6" borderId="37" xfId="1" quotePrefix="1" applyFont="1" applyFill="1" applyBorder="1" applyAlignment="1">
      <alignment horizontal="right"/>
    </xf>
    <xf numFmtId="38" fontId="0" fillId="0" borderId="0" xfId="1" quotePrefix="1" applyFont="1" applyFill="1" applyBorder="1" applyAlignment="1">
      <alignment horizontal="right"/>
    </xf>
    <xf numFmtId="38" fontId="0" fillId="0" borderId="38" xfId="1" applyFont="1" applyBorder="1" applyAlignment="1">
      <alignment horizontal="right"/>
    </xf>
    <xf numFmtId="0" fontId="0" fillId="0" borderId="81" xfId="0" applyBorder="1" applyAlignment="1">
      <alignment horizontal="right"/>
    </xf>
    <xf numFmtId="38" fontId="0" fillId="0" borderId="40" xfId="1" applyFont="1" applyBorder="1" applyAlignment="1">
      <alignment horizontal="right"/>
    </xf>
    <xf numFmtId="38" fontId="0" fillId="0" borderId="0" xfId="1" applyFont="1" applyBorder="1" applyAlignment="1">
      <alignment horizontal="right"/>
    </xf>
    <xf numFmtId="38" fontId="0" fillId="2" borderId="76" xfId="1" quotePrefix="1" applyFont="1" applyFill="1" applyBorder="1" applyAlignment="1">
      <alignment horizontal="right" vertical="center"/>
    </xf>
    <xf numFmtId="38" fontId="0" fillId="0" borderId="1" xfId="1" applyNumberFormat="1" applyFont="1" applyBorder="1" applyAlignment="1">
      <alignment horizontal="right"/>
    </xf>
    <xf numFmtId="38" fontId="0" fillId="0" borderId="1" xfId="0" applyNumberFormat="1" applyBorder="1" applyAlignment="1">
      <alignment horizontal="right"/>
    </xf>
    <xf numFmtId="38" fontId="0" fillId="0" borderId="1" xfId="0" quotePrefix="1" applyNumberFormat="1" applyBorder="1" applyAlignment="1">
      <alignment horizontal="right"/>
    </xf>
    <xf numFmtId="38" fontId="0" fillId="0" borderId="1" xfId="1" applyNumberFormat="1" applyFont="1" applyFill="1" applyBorder="1" applyAlignment="1">
      <alignment horizontal="right"/>
    </xf>
    <xf numFmtId="183" fontId="0" fillId="0" borderId="1" xfId="1" applyNumberFormat="1" applyFont="1" applyBorder="1" applyAlignment="1">
      <alignment horizontal="right"/>
    </xf>
    <xf numFmtId="183" fontId="0" fillId="0" borderId="1" xfId="1" applyNumberFormat="1" applyFont="1" applyFill="1" applyBorder="1" applyAlignment="1">
      <alignment horizontal="right"/>
    </xf>
    <xf numFmtId="14" fontId="3" fillId="0" borderId="0" xfId="0" quotePrefix="1" applyNumberFormat="1" applyFont="1" applyAlignment="1"/>
    <xf numFmtId="38" fontId="0" fillId="0" borderId="1" xfId="1" quotePrefix="1" applyFont="1" applyBorder="1" applyAlignment="1">
      <alignment horizontal="center"/>
    </xf>
    <xf numFmtId="0" fontId="0" fillId="0" borderId="96" xfId="0" applyBorder="1"/>
    <xf numFmtId="0" fontId="0" fillId="0" borderId="9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99" xfId="0" applyBorder="1" applyAlignment="1">
      <alignment horizontal="center"/>
    </xf>
    <xf numFmtId="38" fontId="0" fillId="0" borderId="100" xfId="1" applyFont="1" applyBorder="1"/>
    <xf numFmtId="0" fontId="0" fillId="0" borderId="101" xfId="0" applyBorder="1"/>
    <xf numFmtId="0" fontId="0" fillId="0" borderId="102" xfId="0" applyBorder="1" applyAlignment="1">
      <alignment horizontal="center"/>
    </xf>
    <xf numFmtId="187" fontId="0" fillId="0" borderId="103" xfId="0" applyNumberFormat="1" applyBorder="1"/>
    <xf numFmtId="0" fontId="0" fillId="0" borderId="104" xfId="0" applyBorder="1"/>
    <xf numFmtId="38" fontId="0" fillId="0" borderId="62" xfId="1" applyFont="1" applyBorder="1"/>
    <xf numFmtId="38" fontId="0" fillId="0" borderId="63" xfId="1" applyFont="1" applyBorder="1"/>
    <xf numFmtId="0" fontId="0" fillId="0" borderId="105" xfId="0" applyBorder="1" applyAlignment="1">
      <alignment horizontal="right" vertical="center"/>
    </xf>
    <xf numFmtId="38" fontId="0" fillId="0" borderId="106" xfId="1" applyFont="1" applyBorder="1" applyAlignment="1">
      <alignment horizontal="right" vertical="center"/>
    </xf>
    <xf numFmtId="38" fontId="0" fillId="0" borderId="107" xfId="1" applyFont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38" fontId="0" fillId="0" borderId="41" xfId="1" applyFont="1" applyBorder="1" applyAlignment="1">
      <alignment vertical="center"/>
    </xf>
    <xf numFmtId="38" fontId="0" fillId="0" borderId="11" xfId="1" applyFont="1" applyFill="1" applyBorder="1" applyAlignment="1">
      <alignment vertical="center"/>
    </xf>
    <xf numFmtId="0" fontId="0" fillId="0" borderId="1" xfId="0" quotePrefix="1" applyBorder="1" applyAlignment="1">
      <alignment horizontal="right"/>
    </xf>
    <xf numFmtId="184" fontId="0" fillId="0" borderId="1" xfId="0" quotePrefix="1" applyNumberFormat="1" applyBorder="1" applyAlignment="1">
      <alignment horizontal="right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38" fontId="0" fillId="0" borderId="109" xfId="1" applyFont="1" applyBorder="1" applyAlignment="1">
      <alignment horizontal="center" vertical="center"/>
    </xf>
    <xf numFmtId="38" fontId="0" fillId="0" borderId="110" xfId="1" applyFont="1" applyBorder="1" applyAlignment="1">
      <alignment horizontal="center" vertical="center"/>
    </xf>
    <xf numFmtId="38" fontId="0" fillId="0" borderId="52" xfId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58" xfId="0" quotePrefix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38" fontId="0" fillId="0" borderId="59" xfId="1" applyFont="1" applyBorder="1" applyAlignment="1">
      <alignment horizontal="center" vertical="center"/>
    </xf>
    <xf numFmtId="38" fontId="0" fillId="0" borderId="60" xfId="1" applyFont="1" applyBorder="1" applyAlignment="1">
      <alignment horizontal="center" vertical="center"/>
    </xf>
    <xf numFmtId="179" fontId="0" fillId="0" borderId="35" xfId="1" applyNumberFormat="1" applyFont="1" applyBorder="1" applyAlignment="1">
      <alignment horizontal="center" vertical="center"/>
    </xf>
    <xf numFmtId="38" fontId="0" fillId="0" borderId="37" xfId="1" applyFont="1" applyFill="1" applyBorder="1" applyAlignment="1">
      <alignment horizontal="center" vertical="center"/>
    </xf>
    <xf numFmtId="179" fontId="0" fillId="0" borderId="55" xfId="1" applyNumberFormat="1" applyFont="1" applyBorder="1"/>
    <xf numFmtId="179" fontId="0" fillId="0" borderId="38" xfId="1" applyNumberFormat="1" applyFont="1" applyBorder="1"/>
    <xf numFmtId="0" fontId="7" fillId="0" borderId="0" xfId="0" quotePrefix="1" applyFont="1" applyAlignment="1">
      <alignment horizontal="left"/>
    </xf>
    <xf numFmtId="0" fontId="0" fillId="0" borderId="20" xfId="0" applyBorder="1"/>
    <xf numFmtId="0" fontId="0" fillId="0" borderId="18" xfId="0" applyBorder="1"/>
    <xf numFmtId="0" fontId="0" fillId="0" borderId="2" xfId="0" quotePrefix="1" applyBorder="1" applyAlignment="1">
      <alignment horizontal="right"/>
    </xf>
    <xf numFmtId="0" fontId="0" fillId="0" borderId="0" xfId="0" quotePrefix="1" applyAlignment="1">
      <alignment horizontal="right"/>
    </xf>
    <xf numFmtId="0" fontId="0" fillId="0" borderId="75" xfId="0" applyBorder="1" applyAlignment="1">
      <alignment horizontal="right" vertical="center"/>
    </xf>
    <xf numFmtId="180" fontId="0" fillId="0" borderId="2" xfId="0" quotePrefix="1" applyNumberFormat="1" applyFill="1" applyBorder="1" applyAlignment="1">
      <alignment horizontal="right"/>
    </xf>
    <xf numFmtId="49" fontId="0" fillId="0" borderId="2" xfId="0" quotePrefix="1" applyNumberFormat="1" applyFill="1" applyBorder="1" applyAlignment="1">
      <alignment horizontal="right"/>
    </xf>
    <xf numFmtId="38" fontId="7" fillId="0" borderId="0" xfId="1" quotePrefix="1" applyFont="1" applyAlignment="1">
      <alignment horizontal="left"/>
    </xf>
    <xf numFmtId="0" fontId="0" fillId="0" borderId="2" xfId="0" quotePrefix="1" applyFill="1" applyBorder="1" applyAlignment="1">
      <alignment horizontal="right"/>
    </xf>
    <xf numFmtId="14" fontId="0" fillId="0" borderId="71" xfId="0" quotePrefix="1" applyNumberFormat="1" applyFill="1" applyBorder="1" applyAlignment="1">
      <alignment horizontal="left"/>
    </xf>
    <xf numFmtId="14" fontId="0" fillId="0" borderId="72" xfId="0" quotePrefix="1" applyNumberFormat="1" applyFill="1" applyBorder="1" applyAlignment="1">
      <alignment horizontal="left"/>
    </xf>
    <xf numFmtId="9" fontId="0" fillId="0" borderId="13" xfId="0" applyNumberFormat="1" applyFill="1" applyBorder="1"/>
    <xf numFmtId="38" fontId="0" fillId="0" borderId="9" xfId="1" applyFont="1" applyFill="1" applyBorder="1"/>
    <xf numFmtId="38" fontId="0" fillId="0" borderId="109" xfId="1" applyFont="1" applyFill="1" applyBorder="1" applyAlignment="1">
      <alignment horizontal="center" vertical="center"/>
    </xf>
    <xf numFmtId="0" fontId="0" fillId="0" borderId="68" xfId="0" applyFill="1" applyBorder="1" applyAlignment="1"/>
    <xf numFmtId="0" fontId="0" fillId="0" borderId="71" xfId="0" applyBorder="1" applyAlignment="1"/>
    <xf numFmtId="0" fontId="0" fillId="0" borderId="71" xfId="0" quotePrefix="1" applyBorder="1" applyAlignment="1"/>
    <xf numFmtId="0" fontId="0" fillId="0" borderId="71" xfId="0" applyFill="1" applyBorder="1" applyAlignment="1"/>
    <xf numFmtId="0" fontId="0" fillId="7" borderId="71" xfId="0" applyFont="1" applyFill="1" applyBorder="1" applyAlignment="1"/>
    <xf numFmtId="49" fontId="0" fillId="0" borderId="71" xfId="0" applyNumberFormat="1" applyBorder="1" applyAlignment="1"/>
    <xf numFmtId="56" fontId="0" fillId="0" borderId="71" xfId="0" quotePrefix="1" applyNumberFormat="1" applyBorder="1" applyAlignment="1"/>
    <xf numFmtId="14" fontId="0" fillId="0" borderId="71" xfId="0" quotePrefix="1" applyNumberFormat="1" applyFill="1" applyBorder="1" applyAlignment="1"/>
    <xf numFmtId="0" fontId="0" fillId="0" borderId="71" xfId="0" quotePrefix="1" applyNumberFormat="1" applyBorder="1" applyAlignment="1"/>
    <xf numFmtId="17" fontId="0" fillId="0" borderId="71" xfId="0" quotePrefix="1" applyNumberFormat="1" applyBorder="1" applyAlignment="1"/>
    <xf numFmtId="14" fontId="0" fillId="0" borderId="71" xfId="0" applyNumberFormat="1" applyBorder="1" applyAlignment="1"/>
    <xf numFmtId="0" fontId="0" fillId="0" borderId="73" xfId="0" quotePrefix="1" applyNumberFormat="1" applyBorder="1" applyAlignment="1">
      <alignment horizontal="left"/>
    </xf>
    <xf numFmtId="38" fontId="0" fillId="0" borderId="36" xfId="1" applyFont="1" applyFill="1" applyBorder="1" applyAlignment="1">
      <alignment horizontal="center" vertical="center"/>
    </xf>
    <xf numFmtId="186" fontId="0" fillId="0" borderId="56" xfId="0" applyNumberFormat="1" applyBorder="1"/>
    <xf numFmtId="38" fontId="0" fillId="0" borderId="57" xfId="1" applyFont="1" applyBorder="1"/>
    <xf numFmtId="186" fontId="0" fillId="0" borderId="39" xfId="0" applyNumberFormat="1" applyBorder="1"/>
    <xf numFmtId="38" fontId="0" fillId="0" borderId="40" xfId="1" applyFont="1" applyBorder="1"/>
    <xf numFmtId="38" fontId="0" fillId="0" borderId="52" xfId="1" applyFont="1" applyBorder="1" applyAlignment="1">
      <alignment horizontal="center" vertical="center"/>
    </xf>
    <xf numFmtId="38" fontId="0" fillId="0" borderId="53" xfId="1" applyFont="1" applyBorder="1" applyAlignment="1">
      <alignment horizontal="center" vertical="center"/>
    </xf>
    <xf numFmtId="38" fontId="0" fillId="0" borderId="54" xfId="1" applyFont="1" applyBorder="1"/>
    <xf numFmtId="38" fontId="0" fillId="0" borderId="111" xfId="1" applyFont="1" applyFill="1" applyBorder="1" applyAlignment="1">
      <alignment horizontal="center" vertical="center"/>
    </xf>
    <xf numFmtId="38" fontId="0" fillId="0" borderId="112" xfId="1" applyFont="1" applyFill="1" applyBorder="1" applyAlignment="1">
      <alignment horizontal="center" vertical="center"/>
    </xf>
    <xf numFmtId="38" fontId="0" fillId="0" borderId="113" xfId="1" applyFont="1" applyFill="1" applyBorder="1" applyAlignment="1">
      <alignment horizontal="center" vertical="center"/>
    </xf>
    <xf numFmtId="38" fontId="0" fillId="0" borderId="114" xfId="0" applyNumberFormat="1" applyBorder="1"/>
    <xf numFmtId="186" fontId="0" fillId="0" borderId="115" xfId="0" applyNumberFormat="1" applyBorder="1"/>
    <xf numFmtId="38" fontId="0" fillId="0" borderId="116" xfId="1" applyFont="1" applyBorder="1"/>
    <xf numFmtId="0" fontId="0" fillId="0" borderId="111" xfId="0" quotePrefix="1" applyBorder="1" applyAlignment="1">
      <alignment horizontal="center" vertical="center"/>
    </xf>
    <xf numFmtId="38" fontId="0" fillId="0" borderId="117" xfId="0" applyNumberFormat="1" applyBorder="1" applyAlignment="1">
      <alignment vertical="center"/>
    </xf>
    <xf numFmtId="0" fontId="0" fillId="0" borderId="113" xfId="0" applyBorder="1" applyAlignment="1">
      <alignment horizontal="center" vertical="center"/>
    </xf>
    <xf numFmtId="38" fontId="0" fillId="0" borderId="118" xfId="1" applyFont="1" applyBorder="1" applyAlignment="1">
      <alignment vertical="center"/>
    </xf>
    <xf numFmtId="38" fontId="0" fillId="3" borderId="13" xfId="1" applyFont="1" applyFill="1" applyBorder="1"/>
    <xf numFmtId="38" fontId="0" fillId="0" borderId="13" xfId="1" applyFont="1" applyFill="1" applyBorder="1"/>
    <xf numFmtId="38" fontId="0" fillId="0" borderId="41" xfId="1" applyFont="1" applyBorder="1"/>
    <xf numFmtId="38" fontId="0" fillId="0" borderId="0" xfId="0" applyNumberFormat="1"/>
    <xf numFmtId="0" fontId="0" fillId="0" borderId="119" xfId="0" applyFill="1" applyBorder="1"/>
    <xf numFmtId="0" fontId="0" fillId="0" borderId="1" xfId="0" quotePrefix="1" applyFont="1" applyFill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49" fontId="0" fillId="0" borderId="1" xfId="0" quotePrefix="1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120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38" fontId="0" fillId="0" borderId="121" xfId="1" applyFont="1" applyBorder="1" applyAlignment="1">
      <alignment horizontal="center" vertical="center"/>
    </xf>
    <xf numFmtId="0" fontId="0" fillId="0" borderId="122" xfId="0" quotePrefix="1" applyFill="1" applyBorder="1" applyAlignment="1">
      <alignment horizontal="center" vertical="center"/>
    </xf>
    <xf numFmtId="0" fontId="0" fillId="0" borderId="123" xfId="0" applyBorder="1"/>
    <xf numFmtId="0" fontId="0" fillId="0" borderId="124" xfId="0" applyBorder="1" applyAlignment="1">
      <alignment horizontal="center"/>
    </xf>
    <xf numFmtId="0" fontId="7" fillId="0" borderId="125" xfId="0" applyFont="1" applyBorder="1" applyAlignment="1">
      <alignment horizontal="center" vertical="center"/>
    </xf>
    <xf numFmtId="38" fontId="0" fillId="0" borderId="126" xfId="0" applyNumberFormat="1" applyBorder="1" applyAlignment="1">
      <alignment vertical="center"/>
    </xf>
    <xf numFmtId="0" fontId="0" fillId="0" borderId="127" xfId="0" applyBorder="1" applyAlignment="1">
      <alignment horizontal="center"/>
    </xf>
    <xf numFmtId="38" fontId="0" fillId="0" borderId="128" xfId="1" applyFont="1" applyBorder="1"/>
    <xf numFmtId="0" fontId="7" fillId="0" borderId="129" xfId="0" applyFont="1" applyBorder="1" applyAlignment="1">
      <alignment horizontal="center" vertical="center"/>
    </xf>
    <xf numFmtId="38" fontId="14" fillId="0" borderId="130" xfId="1" applyFont="1" applyFill="1" applyBorder="1"/>
    <xf numFmtId="38" fontId="14" fillId="9" borderId="130" xfId="1" applyFont="1" applyFill="1" applyBorder="1"/>
    <xf numFmtId="38" fontId="0" fillId="0" borderId="130" xfId="1" applyFont="1" applyBorder="1"/>
    <xf numFmtId="38" fontId="0" fillId="0" borderId="131" xfId="1" applyFont="1" applyBorder="1"/>
    <xf numFmtId="0" fontId="7" fillId="0" borderId="132" xfId="0" applyFont="1" applyBorder="1" applyAlignment="1">
      <alignment horizontal="center" vertical="center"/>
    </xf>
    <xf numFmtId="38" fontId="14" fillId="9" borderId="133" xfId="1" applyFont="1" applyFill="1" applyBorder="1"/>
    <xf numFmtId="38" fontId="14" fillId="0" borderId="133" xfId="1" applyFont="1" applyFill="1" applyBorder="1"/>
    <xf numFmtId="38" fontId="0" fillId="0" borderId="133" xfId="1" applyFont="1" applyBorder="1"/>
    <xf numFmtId="38" fontId="0" fillId="0" borderId="134" xfId="1" applyFont="1" applyBorder="1"/>
    <xf numFmtId="0" fontId="0" fillId="0" borderId="135" xfId="0" applyBorder="1" applyAlignment="1">
      <alignment horizontal="center"/>
    </xf>
    <xf numFmtId="38" fontId="0" fillId="0" borderId="136" xfId="1" applyFont="1" applyBorder="1"/>
    <xf numFmtId="0" fontId="7" fillId="0" borderId="137" xfId="0" applyFont="1" applyFill="1" applyBorder="1" applyAlignment="1">
      <alignment horizontal="center" vertical="center"/>
    </xf>
    <xf numFmtId="38" fontId="0" fillId="0" borderId="138" xfId="1" applyFont="1" applyFill="1" applyBorder="1"/>
    <xf numFmtId="38" fontId="0" fillId="0" borderId="138" xfId="1" applyFont="1" applyBorder="1"/>
    <xf numFmtId="38" fontId="0" fillId="0" borderId="139" xfId="1" applyFont="1" applyBorder="1"/>
    <xf numFmtId="0" fontId="0" fillId="10" borderId="0" xfId="0" applyFill="1"/>
    <xf numFmtId="14" fontId="0" fillId="10" borderId="0" xfId="0" applyNumberFormat="1" applyFill="1"/>
    <xf numFmtId="0" fontId="0" fillId="0" borderId="35" xfId="0" applyBorder="1"/>
    <xf numFmtId="0" fontId="0" fillId="0" borderId="37" xfId="0" quotePrefix="1" applyBorder="1" applyAlignment="1">
      <alignment horizontal="left"/>
    </xf>
    <xf numFmtId="0" fontId="0" fillId="0" borderId="57" xfId="0" applyBorder="1"/>
    <xf numFmtId="0" fontId="0" fillId="0" borderId="57" xfId="0" quotePrefix="1" applyBorder="1" applyAlignment="1">
      <alignment horizontal="left"/>
    </xf>
    <xf numFmtId="0" fontId="0" fillId="0" borderId="38" xfId="0" applyBorder="1"/>
    <xf numFmtId="0" fontId="0" fillId="0" borderId="40" xfId="0" applyBorder="1"/>
    <xf numFmtId="0" fontId="7" fillId="0" borderId="120" xfId="0" applyFont="1" applyFill="1" applyBorder="1" applyAlignment="1">
      <alignment horizontal="center" vertical="center"/>
    </xf>
    <xf numFmtId="0" fontId="7" fillId="0" borderId="132" xfId="0" applyFont="1" applyFill="1" applyBorder="1" applyAlignment="1">
      <alignment horizontal="center" vertical="center"/>
    </xf>
    <xf numFmtId="0" fontId="0" fillId="0" borderId="55" xfId="0" quotePrefix="1" applyBorder="1" applyAlignment="1">
      <alignment horizontal="left"/>
    </xf>
    <xf numFmtId="38" fontId="13" fillId="9" borderId="133" xfId="1" applyFont="1" applyFill="1" applyBorder="1"/>
    <xf numFmtId="0" fontId="0" fillId="0" borderId="0" xfId="0" applyFill="1" applyBorder="1"/>
    <xf numFmtId="38" fontId="0" fillId="8" borderId="35" xfId="1" quotePrefix="1" applyFont="1" applyFill="1" applyBorder="1" applyAlignment="1">
      <alignment horizontal="center"/>
    </xf>
    <xf numFmtId="38" fontId="0" fillId="0" borderId="38" xfId="1" applyFont="1" applyBorder="1"/>
    <xf numFmtId="38" fontId="0" fillId="0" borderId="120" xfId="0" applyNumberFormat="1" applyBorder="1"/>
    <xf numFmtId="0" fontId="0" fillId="0" borderId="122" xfId="0" applyBorder="1"/>
    <xf numFmtId="0" fontId="0" fillId="0" borderId="137" xfId="0" applyBorder="1"/>
    <xf numFmtId="0" fontId="0" fillId="0" borderId="139" xfId="0" applyBorder="1"/>
    <xf numFmtId="38" fontId="14" fillId="0" borderId="121" xfId="0" applyNumberFormat="1" applyFont="1" applyFill="1" applyBorder="1" applyAlignment="1">
      <alignment horizontal="right" vertical="center"/>
    </xf>
    <xf numFmtId="0" fontId="14" fillId="9" borderId="133" xfId="0" applyFont="1" applyFill="1" applyBorder="1" applyAlignment="1">
      <alignment horizontal="right" vertical="center"/>
    </xf>
    <xf numFmtId="0" fontId="14" fillId="0" borderId="138" xfId="0" applyFont="1" applyFill="1" applyBorder="1" applyAlignment="1">
      <alignment horizontal="right" vertical="center"/>
    </xf>
    <xf numFmtId="0" fontId="14" fillId="0" borderId="133" xfId="0" applyFont="1" applyFill="1" applyBorder="1" applyAlignment="1">
      <alignment horizontal="right" vertical="center"/>
    </xf>
    <xf numFmtId="38" fontId="14" fillId="9" borderId="121" xfId="0" applyNumberFormat="1" applyFont="1" applyFill="1" applyBorder="1" applyAlignment="1">
      <alignment horizontal="right" vertical="center"/>
    </xf>
    <xf numFmtId="38" fontId="14" fillId="0" borderId="138" xfId="1" applyFont="1" applyFill="1" applyBorder="1" applyAlignment="1">
      <alignment horizontal="right" vertical="center"/>
    </xf>
    <xf numFmtId="0" fontId="13" fillId="9" borderId="133" xfId="0" applyFont="1" applyFill="1" applyBorder="1" applyAlignment="1">
      <alignment horizontal="right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38" fontId="0" fillId="0" borderId="36" xfId="1" applyFont="1" applyBorder="1" applyAlignment="1">
      <alignment horizontal="center" vertical="center"/>
    </xf>
    <xf numFmtId="0" fontId="0" fillId="0" borderId="37" xfId="0" quotePrefix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5" xfId="0" quotePrefix="1" applyBorder="1" applyAlignment="1">
      <alignment horizontal="center"/>
    </xf>
    <xf numFmtId="0" fontId="0" fillId="0" borderId="38" xfId="0" quotePrefix="1" applyBorder="1" applyAlignment="1">
      <alignment horizontal="center"/>
    </xf>
    <xf numFmtId="38" fontId="0" fillId="8" borderId="35" xfId="1" quotePrefix="1" applyFont="1" applyFill="1" applyBorder="1" applyAlignment="1">
      <alignment horizontal="center" vertical="center"/>
    </xf>
    <xf numFmtId="38" fontId="0" fillId="8" borderId="37" xfId="1" quotePrefix="1" applyFont="1" applyFill="1" applyBorder="1" applyAlignment="1">
      <alignment horizontal="left"/>
    </xf>
    <xf numFmtId="9" fontId="0" fillId="0" borderId="41" xfId="0" applyNumberFormat="1" applyBorder="1"/>
    <xf numFmtId="38" fontId="0" fillId="0" borderId="11" xfId="1" applyFont="1" applyBorder="1"/>
    <xf numFmtId="38" fontId="1" fillId="0" borderId="36" xfId="1" applyFont="1" applyBorder="1" applyAlignment="1">
      <alignment horizontal="center"/>
    </xf>
    <xf numFmtId="38" fontId="1" fillId="0" borderId="37" xfId="1" applyFont="1" applyFill="1" applyBorder="1" applyAlignment="1">
      <alignment horizontal="center"/>
    </xf>
    <xf numFmtId="9" fontId="0" fillId="0" borderId="40" xfId="0" applyNumberFormat="1" applyBorder="1"/>
    <xf numFmtId="9" fontId="0" fillId="0" borderId="56" xfId="1" applyNumberFormat="1" applyFont="1" applyBorder="1"/>
    <xf numFmtId="9" fontId="0" fillId="0" borderId="39" xfId="1" applyNumberFormat="1" applyFont="1" applyBorder="1"/>
    <xf numFmtId="0" fontId="0" fillId="0" borderId="78" xfId="0" applyBorder="1"/>
    <xf numFmtId="38" fontId="0" fillId="0" borderId="79" xfId="1" applyFont="1" applyBorder="1"/>
    <xf numFmtId="0" fontId="0" fillId="0" borderId="140" xfId="0" applyBorder="1"/>
    <xf numFmtId="0" fontId="0" fillId="0" borderId="141" xfId="0" applyBorder="1"/>
    <xf numFmtId="38" fontId="0" fillId="0" borderId="142" xfId="1" applyFont="1" applyBorder="1"/>
    <xf numFmtId="38" fontId="0" fillId="0" borderId="0" xfId="1" applyFont="1" applyFill="1"/>
    <xf numFmtId="186" fontId="0" fillId="0" borderId="51" xfId="0" applyNumberFormat="1" applyBorder="1"/>
    <xf numFmtId="186" fontId="0" fillId="0" borderId="12" xfId="0" applyNumberFormat="1" applyBorder="1"/>
    <xf numFmtId="0" fontId="0" fillId="0" borderId="121" xfId="0" quotePrefix="1" applyBorder="1" applyAlignment="1">
      <alignment horizontal="center" vertical="center"/>
    </xf>
    <xf numFmtId="188" fontId="0" fillId="0" borderId="57" xfId="0" applyNumberFormat="1" applyBorder="1"/>
    <xf numFmtId="186" fontId="0" fillId="0" borderId="0" xfId="0" applyNumberFormat="1"/>
    <xf numFmtId="14" fontId="0" fillId="9" borderId="0" xfId="0" applyNumberFormat="1" applyFill="1"/>
    <xf numFmtId="0" fontId="0" fillId="9" borderId="0" xfId="0" applyFill="1"/>
    <xf numFmtId="38" fontId="0" fillId="9" borderId="0" xfId="0" applyNumberFormat="1" applyFill="1"/>
    <xf numFmtId="186" fontId="0" fillId="9" borderId="0" xfId="0" applyNumberFormat="1" applyFill="1"/>
    <xf numFmtId="0" fontId="0" fillId="0" borderId="71" xfId="0" quotePrefix="1" applyNumberFormat="1" applyBorder="1" applyAlignment="1">
      <alignment horizontal="left"/>
    </xf>
    <xf numFmtId="38" fontId="0" fillId="10" borderId="62" xfId="1" applyFont="1" applyFill="1" applyBorder="1"/>
    <xf numFmtId="38" fontId="0" fillId="10" borderId="63" xfId="1" applyFont="1" applyFill="1" applyBorder="1"/>
    <xf numFmtId="38" fontId="0" fillId="10" borderId="114" xfId="0" applyNumberFormat="1" applyFill="1" applyBorder="1"/>
    <xf numFmtId="186" fontId="0" fillId="10" borderId="115" xfId="0" applyNumberFormat="1" applyFill="1" applyBorder="1"/>
    <xf numFmtId="38" fontId="0" fillId="10" borderId="116" xfId="1" applyFont="1" applyFill="1" applyBorder="1"/>
    <xf numFmtId="38" fontId="0" fillId="10" borderId="1" xfId="1" applyNumberFormat="1" applyFont="1" applyFill="1" applyBorder="1" applyAlignment="1">
      <alignment horizontal="right"/>
    </xf>
    <xf numFmtId="38" fontId="0" fillId="2" borderId="1" xfId="1" applyNumberFormat="1" applyFont="1" applyFill="1" applyBorder="1" applyAlignment="1">
      <alignment horizontal="right"/>
    </xf>
    <xf numFmtId="38" fontId="14" fillId="9" borderId="133" xfId="1" applyFont="1" applyFill="1" applyBorder="1" applyAlignment="1">
      <alignment horizontal="right" vertical="center"/>
    </xf>
    <xf numFmtId="0" fontId="0" fillId="0" borderId="2" xfId="0" quotePrefix="1" applyFont="1" applyBorder="1" applyAlignment="1">
      <alignment horizontal="right"/>
    </xf>
    <xf numFmtId="0" fontId="0" fillId="0" borderId="1" xfId="0" quotePrefix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5" fillId="0" borderId="0" xfId="0" applyFont="1"/>
    <xf numFmtId="0" fontId="0" fillId="0" borderId="2" xfId="0" quotePrefix="1" applyFont="1" applyFill="1" applyBorder="1" applyAlignment="1">
      <alignment horizontal="right"/>
    </xf>
    <xf numFmtId="0" fontId="0" fillId="0" borderId="144" xfId="0" applyBorder="1"/>
    <xf numFmtId="0" fontId="0" fillId="0" borderId="145" xfId="0" quotePrefix="1" applyBorder="1" applyAlignment="1">
      <alignment horizontal="left"/>
    </xf>
    <xf numFmtId="0" fontId="0" fillId="0" borderId="146" xfId="0" quotePrefix="1" applyBorder="1" applyAlignment="1">
      <alignment horizontal="center"/>
    </xf>
    <xf numFmtId="0" fontId="0" fillId="11" borderId="1" xfId="0" quotePrefix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1" xfId="0" applyFill="1" applyBorder="1"/>
    <xf numFmtId="3" fontId="0" fillId="11" borderId="1" xfId="1" applyNumberFormat="1" applyFont="1" applyFill="1" applyBorder="1" applyAlignment="1">
      <alignment horizontal="right"/>
    </xf>
    <xf numFmtId="182" fontId="0" fillId="11" borderId="1" xfId="1" applyNumberFormat="1" applyFont="1" applyFill="1" applyBorder="1" applyAlignment="1">
      <alignment horizontal="right"/>
    </xf>
    <xf numFmtId="183" fontId="0" fillId="11" borderId="1" xfId="0" applyNumberFormat="1" applyFill="1" applyBorder="1" applyAlignment="1">
      <alignment horizontal="right"/>
    </xf>
    <xf numFmtId="38" fontId="0" fillId="11" borderId="1" xfId="1" applyNumberFormat="1" applyFont="1" applyFill="1" applyBorder="1" applyAlignment="1">
      <alignment horizontal="right"/>
    </xf>
    <xf numFmtId="183" fontId="0" fillId="11" borderId="1" xfId="1" applyNumberFormat="1" applyFont="1" applyFill="1" applyBorder="1" applyAlignment="1">
      <alignment horizontal="right"/>
    </xf>
    <xf numFmtId="38" fontId="0" fillId="11" borderId="1" xfId="1" applyFont="1" applyFill="1" applyBorder="1" applyAlignment="1">
      <alignment horizontal="center"/>
    </xf>
    <xf numFmtId="0" fontId="0" fillId="0" borderId="62" xfId="0" quotePrefix="1" applyFont="1" applyBorder="1" applyAlignment="1">
      <alignment horizontal="left"/>
    </xf>
    <xf numFmtId="0" fontId="0" fillId="0" borderId="62" xfId="0" applyFill="1" applyBorder="1" applyAlignment="1">
      <alignment horizontal="left"/>
    </xf>
    <xf numFmtId="0" fontId="0" fillId="0" borderId="147" xfId="0" applyFill="1" applyBorder="1"/>
    <xf numFmtId="38" fontId="0" fillId="0" borderId="148" xfId="1" applyFont="1" applyBorder="1" applyAlignment="1">
      <alignment horizontal="center"/>
    </xf>
    <xf numFmtId="0" fontId="0" fillId="0" borderId="149" xfId="0" quotePrefix="1" applyBorder="1" applyAlignment="1">
      <alignment horizontal="right"/>
    </xf>
    <xf numFmtId="0" fontId="0" fillId="0" borderId="143" xfId="0" quotePrefix="1" applyBorder="1" applyAlignment="1">
      <alignment horizontal="center"/>
    </xf>
    <xf numFmtId="0" fontId="0" fillId="0" borderId="151" xfId="0" applyBorder="1"/>
    <xf numFmtId="0" fontId="0" fillId="0" borderId="153" xfId="0" applyFill="1" applyBorder="1"/>
    <xf numFmtId="0" fontId="0" fillId="0" borderId="77" xfId="0" applyBorder="1" applyAlignment="1">
      <alignment horizontal="center" vertical="center"/>
    </xf>
    <xf numFmtId="38" fontId="0" fillId="0" borderId="148" xfId="1" applyFont="1" applyFill="1" applyBorder="1" applyAlignment="1">
      <alignment horizontal="center"/>
    </xf>
    <xf numFmtId="38" fontId="0" fillId="0" borderId="148" xfId="1" quotePrefix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8" xfId="0" quotePrefix="1" applyBorder="1" applyAlignment="1">
      <alignment horizontal="center"/>
    </xf>
    <xf numFmtId="38" fontId="0" fillId="11" borderId="148" xfId="1" applyFont="1" applyFill="1" applyBorder="1" applyAlignment="1">
      <alignment horizontal="center"/>
    </xf>
    <xf numFmtId="0" fontId="0" fillId="0" borderId="148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38" fontId="0" fillId="0" borderId="0" xfId="1" applyFont="1" applyBorder="1" applyAlignment="1">
      <alignment horizontal="center"/>
    </xf>
    <xf numFmtId="38" fontId="0" fillId="0" borderId="0" xfId="1" applyFont="1" applyFill="1" applyBorder="1" applyAlignment="1">
      <alignment horizontal="center"/>
    </xf>
    <xf numFmtId="38" fontId="0" fillId="0" borderId="0" xfId="1" quotePrefix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38" fontId="0" fillId="11" borderId="0" xfId="1" applyFont="1" applyFill="1" applyBorder="1" applyAlignment="1">
      <alignment horizontal="center"/>
    </xf>
    <xf numFmtId="38" fontId="1" fillId="0" borderId="121" xfId="0" applyNumberFormat="1" applyFont="1" applyBorder="1" applyAlignment="1">
      <alignment horizontal="right" vertical="center"/>
    </xf>
    <xf numFmtId="188" fontId="1" fillId="0" borderId="122" xfId="0" applyNumberFormat="1" applyFont="1" applyBorder="1" applyAlignment="1">
      <alignment horizontal="right" vertical="center"/>
    </xf>
    <xf numFmtId="38" fontId="0" fillId="0" borderId="152" xfId="1" applyFont="1" applyBorder="1"/>
    <xf numFmtId="38" fontId="0" fillId="0" borderId="154" xfId="1" applyFont="1" applyBorder="1"/>
    <xf numFmtId="38" fontId="0" fillId="2" borderId="76" xfId="1" quotePrefix="1" applyFont="1" applyFill="1" applyBorder="1" applyAlignment="1">
      <alignment horizontal="left" vertical="center"/>
    </xf>
    <xf numFmtId="38" fontId="0" fillId="0" borderId="1" xfId="1" applyFont="1" applyBorder="1" applyAlignment="1">
      <alignment horizontal="left"/>
    </xf>
    <xf numFmtId="38" fontId="0" fillId="11" borderId="1" xfId="1" applyFont="1" applyFill="1" applyBorder="1" applyAlignment="1">
      <alignment horizontal="left"/>
    </xf>
    <xf numFmtId="38" fontId="0" fillId="0" borderId="0" xfId="1" applyFont="1" applyAlignment="1">
      <alignment horizontal="left"/>
    </xf>
    <xf numFmtId="38" fontId="0" fillId="10" borderId="65" xfId="1" applyFont="1" applyFill="1" applyBorder="1"/>
    <xf numFmtId="38" fontId="0" fillId="10" borderId="66" xfId="1" applyFont="1" applyFill="1" applyBorder="1"/>
    <xf numFmtId="14" fontId="0" fillId="0" borderId="0" xfId="0" quotePrefix="1" applyNumberFormat="1" applyAlignment="1">
      <alignment horizontal="right"/>
    </xf>
    <xf numFmtId="14" fontId="0" fillId="0" borderId="0" xfId="0" applyNumberFormat="1" applyAlignment="1">
      <alignment horizontal="right"/>
    </xf>
    <xf numFmtId="14" fontId="0" fillId="2" borderId="76" xfId="0" quotePrefix="1" applyNumberFormat="1" applyFill="1" applyBorder="1" applyAlignment="1">
      <alignment horizontal="right" vertical="center"/>
    </xf>
    <xf numFmtId="14" fontId="0" fillId="0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84" fontId="0" fillId="0" borderId="1" xfId="0" applyNumberFormat="1" applyBorder="1" applyAlignment="1">
      <alignment horizontal="right"/>
    </xf>
    <xf numFmtId="184" fontId="0" fillId="0" borderId="1" xfId="0" applyNumberFormat="1" applyFill="1" applyBorder="1" applyAlignment="1">
      <alignment horizontal="right"/>
    </xf>
    <xf numFmtId="184" fontId="0" fillId="0" borderId="1" xfId="0" quotePrefix="1" applyNumberFormat="1" applyFill="1" applyBorder="1" applyAlignment="1">
      <alignment horizontal="right"/>
    </xf>
    <xf numFmtId="184" fontId="0" fillId="11" borderId="1" xfId="0" applyNumberFormat="1" applyFill="1" applyBorder="1" applyAlignment="1">
      <alignment horizontal="right"/>
    </xf>
    <xf numFmtId="184" fontId="0" fillId="0" borderId="1" xfId="0" applyNumberFormat="1" applyFont="1" applyFill="1" applyBorder="1" applyAlignment="1">
      <alignment horizontal="right"/>
    </xf>
    <xf numFmtId="184" fontId="0" fillId="0" borderId="1" xfId="0" applyNumberFormat="1" applyFont="1" applyBorder="1" applyAlignment="1">
      <alignment horizontal="right"/>
    </xf>
    <xf numFmtId="0" fontId="0" fillId="0" borderId="148" xfId="0" quotePrefix="1" applyBorder="1" applyAlignment="1">
      <alignment horizontal="left"/>
    </xf>
    <xf numFmtId="184" fontId="0" fillId="0" borderId="143" xfId="0" applyNumberFormat="1" applyBorder="1" applyAlignment="1">
      <alignment horizontal="right"/>
    </xf>
    <xf numFmtId="0" fontId="0" fillId="0" borderId="143" xfId="0" applyBorder="1" applyAlignment="1">
      <alignment horizontal="center"/>
    </xf>
    <xf numFmtId="0" fontId="0" fillId="0" borderId="143" xfId="0" applyBorder="1"/>
    <xf numFmtId="3" fontId="0" fillId="0" borderId="143" xfId="1" applyNumberFormat="1" applyFont="1" applyBorder="1" applyAlignment="1">
      <alignment horizontal="right"/>
    </xf>
    <xf numFmtId="182" fontId="0" fillId="0" borderId="143" xfId="1" applyNumberFormat="1" applyFont="1" applyBorder="1" applyAlignment="1">
      <alignment horizontal="right"/>
    </xf>
    <xf numFmtId="183" fontId="0" fillId="0" borderId="143" xfId="0" applyNumberFormat="1" applyBorder="1" applyAlignment="1">
      <alignment horizontal="right"/>
    </xf>
    <xf numFmtId="38" fontId="0" fillId="0" borderId="143" xfId="1" applyNumberFormat="1" applyFont="1" applyBorder="1" applyAlignment="1">
      <alignment horizontal="right"/>
    </xf>
    <xf numFmtId="183" fontId="0" fillId="0" borderId="143" xfId="1" applyNumberFormat="1" applyFont="1" applyBorder="1" applyAlignment="1">
      <alignment horizontal="right"/>
    </xf>
    <xf numFmtId="38" fontId="0" fillId="0" borderId="143" xfId="1" applyFont="1" applyBorder="1" applyAlignment="1">
      <alignment horizontal="center"/>
    </xf>
    <xf numFmtId="38" fontId="0" fillId="0" borderId="143" xfId="1" applyFont="1" applyBorder="1" applyAlignment="1">
      <alignment horizontal="left"/>
    </xf>
    <xf numFmtId="0" fontId="0" fillId="0" borderId="150" xfId="0" applyBorder="1"/>
    <xf numFmtId="38" fontId="0" fillId="0" borderId="62" xfId="1" applyFont="1" applyFill="1" applyBorder="1"/>
    <xf numFmtId="38" fontId="0" fillId="0" borderId="63" xfId="1" applyFont="1" applyFill="1" applyBorder="1"/>
    <xf numFmtId="38" fontId="0" fillId="0" borderId="114" xfId="0" applyNumberFormat="1" applyFill="1" applyBorder="1"/>
    <xf numFmtId="186" fontId="0" fillId="0" borderId="115" xfId="0" applyNumberFormat="1" applyFill="1" applyBorder="1"/>
    <xf numFmtId="38" fontId="0" fillId="0" borderId="116" xfId="1" applyFont="1" applyFill="1" applyBorder="1"/>
    <xf numFmtId="0" fontId="0" fillId="0" borderId="151" xfId="0" quotePrefix="1" applyBorder="1" applyAlignment="1">
      <alignment horizontal="left"/>
    </xf>
    <xf numFmtId="0" fontId="0" fillId="0" borderId="155" xfId="0" applyBorder="1"/>
    <xf numFmtId="0" fontId="0" fillId="0" borderId="155" xfId="0" quotePrefix="1" applyBorder="1" applyAlignment="1">
      <alignment horizontal="left"/>
    </xf>
    <xf numFmtId="38" fontId="0" fillId="0" borderId="155" xfId="1" applyFont="1" applyBorder="1"/>
    <xf numFmtId="0" fontId="0" fillId="0" borderId="155" xfId="0" applyFill="1" applyBorder="1"/>
    <xf numFmtId="180" fontId="0" fillId="11" borderId="2" xfId="0" quotePrefix="1" applyNumberFormat="1" applyFill="1" applyBorder="1" applyAlignment="1">
      <alignment horizontal="right"/>
    </xf>
    <xf numFmtId="49" fontId="0" fillId="11" borderId="1" xfId="0" quotePrefix="1" applyNumberFormat="1" applyFill="1" applyBorder="1" applyAlignment="1">
      <alignment horizontal="center"/>
    </xf>
    <xf numFmtId="0" fontId="0" fillId="11" borderId="0" xfId="0" applyFill="1"/>
    <xf numFmtId="38" fontId="0" fillId="0" borderId="1" xfId="1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38" fontId="0" fillId="0" borderId="94" xfId="1" applyFont="1" applyBorder="1" applyAlignment="1">
      <alignment horizontal="center"/>
    </xf>
    <xf numFmtId="38" fontId="0" fillId="0" borderId="95" xfId="1" applyFont="1" applyBorder="1" applyAlignment="1">
      <alignment horizontal="center"/>
    </xf>
    <xf numFmtId="0" fontId="0" fillId="6" borderId="92" xfId="0" applyFill="1" applyBorder="1" applyAlignment="1">
      <alignment horizontal="center"/>
    </xf>
    <xf numFmtId="0" fontId="0" fillId="6" borderId="93" xfId="0" applyFill="1" applyBorder="1" applyAlignment="1">
      <alignment horizontal="center"/>
    </xf>
    <xf numFmtId="0" fontId="0" fillId="5" borderId="36" xfId="0" quotePrefix="1" applyFill="1" applyBorder="1" applyAlignment="1">
      <alignment horizontal="center"/>
    </xf>
    <xf numFmtId="0" fontId="0" fillId="5" borderId="37" xfId="0" quotePrefix="1" applyFill="1" applyBorder="1" applyAlignment="1">
      <alignment horizontal="center"/>
    </xf>
    <xf numFmtId="14" fontId="0" fillId="0" borderId="39" xfId="0" quotePrefix="1" applyNumberFormat="1" applyBorder="1" applyAlignment="1">
      <alignment horizontal="center"/>
    </xf>
    <xf numFmtId="14" fontId="0" fillId="0" borderId="40" xfId="0" applyNumberFormat="1" applyBorder="1" applyAlignment="1">
      <alignment horizontal="center"/>
    </xf>
    <xf numFmtId="0" fontId="0" fillId="6" borderId="36" xfId="0" quotePrefix="1" applyFill="1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0" xfId="0" quotePrefix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 applyAlignment="1">
      <alignment horizontal="center"/>
    </xf>
    <xf numFmtId="176" fontId="3" fillId="0" borderId="20" xfId="1" applyNumberFormat="1" applyFont="1" applyBorder="1" applyAlignment="1">
      <alignment horizontal="right"/>
    </xf>
    <xf numFmtId="176" fontId="3" fillId="0" borderId="21" xfId="1" applyNumberFormat="1" applyFont="1" applyBorder="1" applyAlignment="1">
      <alignment horizontal="right"/>
    </xf>
    <xf numFmtId="176" fontId="3" fillId="0" borderId="22" xfId="1" applyNumberFormat="1" applyFont="1" applyBorder="1" applyAlignment="1">
      <alignment horizontal="right"/>
    </xf>
    <xf numFmtId="0" fontId="5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quotePrefix="1" applyFont="1" applyAlignment="1">
      <alignment horizontal="left"/>
    </xf>
    <xf numFmtId="0" fontId="0" fillId="0" borderId="0" xfId="0" applyFont="1" applyAlignment="1">
      <alignment horizontal="left"/>
    </xf>
    <xf numFmtId="177" fontId="0" fillId="0" borderId="0" xfId="0" applyNumberFormat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quotePrefix="1" applyFont="1" applyAlignment="1">
      <alignment horizontal="left"/>
    </xf>
    <xf numFmtId="49" fontId="7" fillId="0" borderId="0" xfId="0" applyNumberFormat="1" applyFont="1" applyAlignment="1">
      <alignment horizontal="left"/>
    </xf>
    <xf numFmtId="0" fontId="4" fillId="0" borderId="0" xfId="0" applyFont="1" applyAlignment="1">
      <alignment horizontal="center"/>
    </xf>
    <xf numFmtId="181" fontId="0" fillId="0" borderId="0" xfId="0" applyNumberFormat="1" applyBorder="1" applyAlignment="1">
      <alignment horizontal="right" vertical="center"/>
    </xf>
    <xf numFmtId="0" fontId="0" fillId="0" borderId="0" xfId="0" applyBorder="1" applyAlignment="1">
      <alignment horizontal="center"/>
    </xf>
    <xf numFmtId="181" fontId="0" fillId="0" borderId="0" xfId="0" applyNumberFormat="1" applyBorder="1" applyAlignment="1">
      <alignment horizontal="center" vertical="center"/>
    </xf>
    <xf numFmtId="0" fontId="0" fillId="0" borderId="0" xfId="0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right" vertical="center"/>
    </xf>
    <xf numFmtId="0" fontId="9" fillId="0" borderId="0" xfId="0" quotePrefix="1" applyFont="1" applyBorder="1" applyAlignment="1">
      <alignment horizontal="center" wrapText="1"/>
    </xf>
    <xf numFmtId="0" fontId="0" fillId="0" borderId="0" xfId="0" quotePrefix="1" applyBorder="1" applyAlignment="1">
      <alignment horizontal="center" wrapText="1"/>
    </xf>
    <xf numFmtId="0" fontId="0" fillId="0" borderId="0" xfId="0" quotePrefix="1" applyBorder="1" applyAlignment="1">
      <alignment horizontal="right" vertical="center"/>
    </xf>
    <xf numFmtId="0" fontId="9" fillId="0" borderId="0" xfId="0" quotePrefix="1" applyFont="1" applyBorder="1" applyAlignment="1">
      <alignment horizontal="left" wrapText="1"/>
    </xf>
    <xf numFmtId="0" fontId="0" fillId="0" borderId="0" xfId="0" applyBorder="1" applyAlignment="1">
      <alignment horizontal="left" wrapText="1"/>
    </xf>
    <xf numFmtId="181" fontId="0" fillId="0" borderId="0" xfId="0" applyNumberFormat="1" applyBorder="1" applyAlignment="1">
      <alignment horizontal="right" vertical="top"/>
    </xf>
    <xf numFmtId="0" fontId="9" fillId="0" borderId="0" xfId="0" quotePrefix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0" xfId="0" applyFont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  <color rgb="FF0314ED"/>
      <color rgb="FFFF7C80"/>
      <color rgb="FF00FF00"/>
      <color rgb="FFFFCCFF"/>
      <color rgb="FFFF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1817635390995984E-2"/>
          <c:y val="3.16027088036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8441065095870648"/>
          <c:y val="0.11721412823397076"/>
          <c:w val="0.63881228586884653"/>
          <c:h val="0.76511460067491566"/>
        </c:manualLayout>
      </c:layout>
      <c:pieChart>
        <c:varyColors val="1"/>
        <c:ser>
          <c:idx val="0"/>
          <c:order val="0"/>
          <c:tx>
            <c:strRef>
              <c:f>地域G!$C$4</c:f>
              <c:strCache>
                <c:ptCount val="1"/>
                <c:pt idx="0">
                  <c:v>1月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43-4C14-B775-C6112FB0E6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43-4C14-B775-C6112FB0E6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43-4C14-B775-C6112FB0E6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43-4C14-B775-C6112FB0E6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43-4C14-B775-C6112FB0E6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43-4C14-B775-C6112FB0E6B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B43-4C14-B775-C6112FB0E6B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B43-4C14-B775-C6112FB0E6B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B43-4C14-B775-C6112FB0E6B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B43-4C14-B775-C6112FB0E6B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B43-4C14-B775-C6112FB0E6B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3B43-4C14-B775-C6112FB0E6B8}"/>
                </c:ext>
              </c:extLst>
            </c:dLbl>
            <c:dLbl>
              <c:idx val="1"/>
              <c:layout>
                <c:manualLayout>
                  <c:x val="6.1068702290076333E-2"/>
                  <c:y val="-2.285714285714291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43-4C14-B775-C6112FB0E6B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B43-4C14-B775-C6112FB0E6B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3B43-4C14-B775-C6112FB0E6B8}"/>
                </c:ext>
              </c:extLst>
            </c:dLbl>
            <c:dLbl>
              <c:idx val="4"/>
              <c:layout>
                <c:manualLayout>
                  <c:x val="-2.0992366412213741E-2"/>
                  <c:y val="-6.857142857142899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43-4C14-B775-C6112FB0E6B8}"/>
                </c:ext>
              </c:extLst>
            </c:dLbl>
            <c:dLbl>
              <c:idx val="5"/>
              <c:layout>
                <c:manualLayout>
                  <c:x val="-2.0992366412213741E-2"/>
                  <c:y val="6.8571428571428568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43-4C14-B775-C6112FB0E6B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3B43-4C14-B775-C6112FB0E6B8}"/>
                </c:ext>
              </c:extLst>
            </c:dLbl>
            <c:dLbl>
              <c:idx val="7"/>
              <c:layout>
                <c:manualLayout>
                  <c:x val="-6.6793893129770993E-2"/>
                  <c:y val="-1.82857142857142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B43-4C14-B775-C6112FB0E6B8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3B43-4C14-B775-C6112FB0E6B8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3B43-4C14-B775-C6112FB0E6B8}"/>
                </c:ext>
              </c:extLst>
            </c:dLbl>
            <c:dLbl>
              <c:idx val="10"/>
              <c:layout>
                <c:manualLayout>
                  <c:x val="-2.4809160305343511E-2"/>
                  <c:y val="-1.142857142857142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B43-4C14-B775-C6112FB0E6B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地域G!$B$5:$B$14</c:f>
              <c:strCache>
                <c:ptCount val="10"/>
                <c:pt idx="0">
                  <c:v>北海道</c:v>
                </c:pt>
                <c:pt idx="1">
                  <c:v>東北</c:v>
                </c:pt>
                <c:pt idx="2">
                  <c:v>関東</c:v>
                </c:pt>
                <c:pt idx="3">
                  <c:v>北陸</c:v>
                </c:pt>
                <c:pt idx="4">
                  <c:v>東海</c:v>
                </c:pt>
                <c:pt idx="5">
                  <c:v>甲信越</c:v>
                </c:pt>
                <c:pt idx="6">
                  <c:v>関西</c:v>
                </c:pt>
                <c:pt idx="7">
                  <c:v>中国・四国</c:v>
                </c:pt>
                <c:pt idx="8">
                  <c:v>九州</c:v>
                </c:pt>
                <c:pt idx="9">
                  <c:v>不明</c:v>
                </c:pt>
              </c:strCache>
            </c:strRef>
          </c:cat>
          <c:val>
            <c:numRef>
              <c:f>地域G!$C$5:$C$14</c:f>
              <c:numCache>
                <c:formatCode>#,##0_);[Red]\(#,##0\)</c:formatCode>
                <c:ptCount val="10"/>
                <c:pt idx="0">
                  <c:v>0</c:v>
                </c:pt>
                <c:pt idx="1">
                  <c:v>225000</c:v>
                </c:pt>
                <c:pt idx="2">
                  <c:v>1633770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1683200</c:v>
                </c:pt>
                <c:pt idx="7">
                  <c:v>0</c:v>
                </c:pt>
                <c:pt idx="8">
                  <c:v>724825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B43-4C14-B775-C6112FB0E6B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7011345587263956E-2"/>
          <c:y val="2.7617951668584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地域G!$J$4</c:f>
              <c:strCache>
                <c:ptCount val="1"/>
                <c:pt idx="0">
                  <c:v>2019年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014-4A2F-8236-F92220B85A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014-4A2F-8236-F92220B85A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014-4A2F-8236-F92220B85A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014-4A2F-8236-F92220B85A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014-4A2F-8236-F92220B85A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014-4A2F-8236-F92220B85A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014-4A2F-8236-F92220B85A8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014-4A2F-8236-F92220B85A8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014-4A2F-8236-F92220B85A8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014-4A2F-8236-F92220B85A8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014-4A2F-8236-F92220B85A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014-4A2F-8236-F92220B85A80}"/>
                </c:ext>
              </c:extLst>
            </c:dLbl>
            <c:dLbl>
              <c:idx val="1"/>
              <c:layout>
                <c:manualLayout>
                  <c:x val="4.1550134603812801E-2"/>
                  <c:y val="-1.41010575793184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14-4A2F-8236-F92220B85A8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7014-4A2F-8236-F92220B85A8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7014-4A2F-8236-F92220B85A8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7014-4A2F-8236-F92220B85A8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7014-4A2F-8236-F92220B85A80}"/>
                </c:ext>
              </c:extLst>
            </c:dLbl>
            <c:dLbl>
              <c:idx val="6"/>
              <c:layout>
                <c:manualLayout>
                  <c:x val="-2.8765477802639657E-2"/>
                  <c:y val="9.400705052878965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014-4A2F-8236-F92220B85A8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7014-4A2F-8236-F92220B85A80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7014-4A2F-8236-F92220B85A80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7014-4A2F-8236-F92220B85A80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7014-4A2F-8236-F92220B85A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地域G!$I$5:$I$15</c:f>
              <c:strCache>
                <c:ptCount val="11"/>
                <c:pt idx="0">
                  <c:v>北海道</c:v>
                </c:pt>
                <c:pt idx="1">
                  <c:v>東北</c:v>
                </c:pt>
                <c:pt idx="2">
                  <c:v>関東</c:v>
                </c:pt>
                <c:pt idx="3">
                  <c:v>北陸</c:v>
                </c:pt>
                <c:pt idx="4">
                  <c:v>東海</c:v>
                </c:pt>
                <c:pt idx="5">
                  <c:v>甲信越</c:v>
                </c:pt>
                <c:pt idx="6">
                  <c:v>関西</c:v>
                </c:pt>
                <c:pt idx="7">
                  <c:v>中国・四国</c:v>
                </c:pt>
                <c:pt idx="8">
                  <c:v>九州</c:v>
                </c:pt>
                <c:pt idx="9">
                  <c:v>不明</c:v>
                </c:pt>
                <c:pt idx="10">
                  <c:v>直販</c:v>
                </c:pt>
              </c:strCache>
            </c:strRef>
          </c:cat>
          <c:val>
            <c:numRef>
              <c:f>地域G!$J$5:$J$14</c:f>
              <c:numCache>
                <c:formatCode>#,##0_);[Red]\(#,##0\)</c:formatCode>
                <c:ptCount val="10"/>
                <c:pt idx="0">
                  <c:v>710400</c:v>
                </c:pt>
                <c:pt idx="1">
                  <c:v>548875</c:v>
                </c:pt>
                <c:pt idx="2">
                  <c:v>44921048</c:v>
                </c:pt>
                <c:pt idx="3">
                  <c:v>541000</c:v>
                </c:pt>
                <c:pt idx="4">
                  <c:v>3273100</c:v>
                </c:pt>
                <c:pt idx="5">
                  <c:v>1280800</c:v>
                </c:pt>
                <c:pt idx="6">
                  <c:v>10821625</c:v>
                </c:pt>
                <c:pt idx="7">
                  <c:v>1189000</c:v>
                </c:pt>
                <c:pt idx="8">
                  <c:v>3322450</c:v>
                </c:pt>
                <c:pt idx="9">
                  <c:v>5488911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014-4A2F-8236-F92220B85A8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月合計Ｇ!$C$4</c:f>
              <c:strCache>
                <c:ptCount val="1"/>
                <c:pt idx="0">
                  <c:v>2  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88-42A2-A0BF-7C6C5BC82E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88-42A2-A0BF-7C6C5BC82E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F88-42A2-A0BF-7C6C5BC82E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F88-42A2-A0BF-7C6C5BC82E4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F88-42A2-A0BF-7C6C5BC82E4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F88-42A2-A0BF-7C6C5BC82E4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F88-42A2-A0BF-7C6C5BC82E4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F88-42A2-A0BF-7C6C5BC82E4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F88-42A2-A0BF-7C6C5BC82E4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F88-42A2-A0BF-7C6C5BC82E4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F88-42A2-A0BF-7C6C5BC82E4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F88-42A2-A0BF-7C6C5BC82E4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F88-42A2-A0BF-7C6C5BC82E4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F88-42A2-A0BF-7C6C5BC82E4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F88-42A2-A0BF-7C6C5BC82E4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F88-42A2-A0BF-7C6C5BC82E4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FF88-42A2-A0BF-7C6C5BC82E4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FF88-42A2-A0BF-7C6C5BC82E4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FF88-42A2-A0BF-7C6C5BC82E4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FF88-42A2-A0BF-7C6C5BC82E4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FF88-42A2-A0BF-7C6C5BC82E4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FF88-42A2-A0BF-7C6C5BC82E4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FF88-42A2-A0BF-7C6C5BC82E4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FF88-42A2-A0BF-7C6C5BC82E4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FF88-42A2-A0BF-7C6C5BC82E4C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9-FF88-42A2-A0BF-7C6C5BC82E4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月合計Ｇ!$B$5:$B$17</c:f>
              <c:strCache>
                <c:ptCount val="9"/>
                <c:pt idx="0">
                  <c:v>（株）池部楽器</c:v>
                </c:pt>
                <c:pt idx="1">
                  <c:v>（株）石橋楽器</c:v>
                </c:pt>
                <c:pt idx="2">
                  <c:v>（株）島村楽器 </c:v>
                </c:pt>
                <c:pt idx="3">
                  <c:v>（株）黒澤楽器</c:v>
                </c:pt>
                <c:pt idx="4">
                  <c:v>（株）ミュージックランド</c:v>
                </c:pt>
                <c:pt idx="5">
                  <c:v>北海道東海楽器（株）</c:v>
                </c:pt>
                <c:pt idx="6">
                  <c:v>三木楽器（株）</c:v>
                </c:pt>
                <c:pt idx="7">
                  <c:v>直販</c:v>
                </c:pt>
                <c:pt idx="8">
                  <c:v>(有)プラグイン　chuya-online.com　</c:v>
                </c:pt>
              </c:strCache>
            </c:strRef>
          </c:cat>
          <c:val>
            <c:numRef>
              <c:f>月合計Ｇ!$C$5:$C$17</c:f>
              <c:numCache>
                <c:formatCode>#,##0_);[Red]\(#,##0\)</c:formatCode>
                <c:ptCount val="13"/>
                <c:pt idx="0">
                  <c:v>1314454</c:v>
                </c:pt>
                <c:pt idx="1">
                  <c:v>22100</c:v>
                </c:pt>
                <c:pt idx="2">
                  <c:v>175000</c:v>
                </c:pt>
                <c:pt idx="3">
                  <c:v>2365625</c:v>
                </c:pt>
                <c:pt idx="4">
                  <c:v>218000</c:v>
                </c:pt>
                <c:pt idx="5">
                  <c:v>115000</c:v>
                </c:pt>
                <c:pt idx="6">
                  <c:v>504250</c:v>
                </c:pt>
                <c:pt idx="7">
                  <c:v>111000</c:v>
                </c:pt>
                <c:pt idx="8">
                  <c:v>21450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F88-42A2-A0BF-7C6C5BC82E4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年合計Ｇ!$C$4</c:f>
              <c:strCache>
                <c:ptCount val="1"/>
                <c:pt idx="0">
                  <c:v>年合計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年合計Ｇ!$B$5:$B$37</c15:sqref>
                  </c15:fullRef>
                </c:ext>
              </c:extLst>
              <c:f>年合計Ｇ!$B$5:$B$36</c:f>
              <c:strCache>
                <c:ptCount val="30"/>
                <c:pt idx="0">
                  <c:v>（株）池部楽器</c:v>
                </c:pt>
                <c:pt idx="1">
                  <c:v>（株）石橋楽器</c:v>
                </c:pt>
                <c:pt idx="2">
                  <c:v>（株）島村楽器 </c:v>
                </c:pt>
                <c:pt idx="3">
                  <c:v>（株）黒澤楽器</c:v>
                </c:pt>
                <c:pt idx="4">
                  <c:v>（株）宮地商会</c:v>
                </c:pt>
                <c:pt idx="5">
                  <c:v>（株）ミュージックランド</c:v>
                </c:pt>
                <c:pt idx="6">
                  <c:v>（株）山野楽器 経理部</c:v>
                </c:pt>
                <c:pt idx="7">
                  <c:v>（株）ＯＮＧ</c:v>
                </c:pt>
                <c:pt idx="8">
                  <c:v>（有）ウェーブワン</c:v>
                </c:pt>
                <c:pt idx="9">
                  <c:v>（有）ヨネザワ楽器</c:v>
                </c:pt>
                <c:pt idx="10">
                  <c:v>（株）パン・プロジェクト</c:v>
                </c:pt>
                <c:pt idx="11">
                  <c:v>なんだ屋</c:v>
                </c:pt>
                <c:pt idx="12">
                  <c:v>北海道東海楽器（株）</c:v>
                </c:pt>
                <c:pt idx="13">
                  <c:v>（株）上野楽器</c:v>
                </c:pt>
                <c:pt idx="14">
                  <c:v>山屋楽器</c:v>
                </c:pt>
                <c:pt idx="15">
                  <c:v>みどり楽器</c:v>
                </c:pt>
                <c:pt idx="16">
                  <c:v>（株）アヒバ</c:v>
                </c:pt>
                <c:pt idx="17">
                  <c:v>ウエイド</c:v>
                </c:pt>
                <c:pt idx="18">
                  <c:v>（株）JEUGIA</c:v>
                </c:pt>
                <c:pt idx="19">
                  <c:v>三木楽器（株）</c:v>
                </c:pt>
                <c:pt idx="20">
                  <c:v>（株）ワタナベ楽器</c:v>
                </c:pt>
                <c:pt idx="21">
                  <c:v>フィフティワンギターズ</c:v>
                </c:pt>
                <c:pt idx="22">
                  <c:v>サイトゼロ</c:v>
                </c:pt>
                <c:pt idx="23">
                  <c:v>直販</c:v>
                </c:pt>
                <c:pt idx="24">
                  <c:v>サカイ楽器</c:v>
                </c:pt>
                <c:pt idx="25">
                  <c:v>(株)PGM</c:v>
                </c:pt>
                <c:pt idx="26">
                  <c:v>Bass Japan Direct</c:v>
                </c:pt>
                <c:pt idx="27">
                  <c:v>(有)プラグイン　chuya-online.com　</c:v>
                </c:pt>
                <c:pt idx="28">
                  <c:v>ドルフィンギターズ</c:v>
                </c:pt>
                <c:pt idx="29">
                  <c:v>(株)日本娯楽　LM事業部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年合計Ｇ!$C$5:$C$37</c15:sqref>
                  </c15:fullRef>
                </c:ext>
              </c:extLst>
              <c:f>年合計Ｇ!$C$5:$C$36</c:f>
              <c:numCache>
                <c:formatCode>0_ </c:formatCode>
                <c:ptCount val="32"/>
                <c:pt idx="0">
                  <c:v>13758</c:v>
                </c:pt>
                <c:pt idx="1">
                  <c:v>1213</c:v>
                </c:pt>
                <c:pt idx="2">
                  <c:v>23724</c:v>
                </c:pt>
                <c:pt idx="3">
                  <c:v>16575</c:v>
                </c:pt>
                <c:pt idx="4">
                  <c:v>2959</c:v>
                </c:pt>
                <c:pt idx="5">
                  <c:v>3517</c:v>
                </c:pt>
                <c:pt idx="6">
                  <c:v>27</c:v>
                </c:pt>
                <c:pt idx="7">
                  <c:v>258</c:v>
                </c:pt>
                <c:pt idx="8">
                  <c:v>21</c:v>
                </c:pt>
                <c:pt idx="9">
                  <c:v>27</c:v>
                </c:pt>
                <c:pt idx="10">
                  <c:v>1463</c:v>
                </c:pt>
                <c:pt idx="11">
                  <c:v>156</c:v>
                </c:pt>
                <c:pt idx="12">
                  <c:v>360</c:v>
                </c:pt>
                <c:pt idx="13">
                  <c:v>130</c:v>
                </c:pt>
                <c:pt idx="14">
                  <c:v>213</c:v>
                </c:pt>
                <c:pt idx="15">
                  <c:v>290</c:v>
                </c:pt>
                <c:pt idx="16">
                  <c:v>206</c:v>
                </c:pt>
                <c:pt idx="17">
                  <c:v>15</c:v>
                </c:pt>
                <c:pt idx="18">
                  <c:v>34</c:v>
                </c:pt>
                <c:pt idx="19">
                  <c:v>3680</c:v>
                </c:pt>
                <c:pt idx="20">
                  <c:v>216</c:v>
                </c:pt>
                <c:pt idx="21">
                  <c:v>780</c:v>
                </c:pt>
                <c:pt idx="22">
                  <c:v>20</c:v>
                </c:pt>
                <c:pt idx="23">
                  <c:v>2102</c:v>
                </c:pt>
                <c:pt idx="24">
                  <c:v>186</c:v>
                </c:pt>
                <c:pt idx="25">
                  <c:v>51</c:v>
                </c:pt>
                <c:pt idx="26">
                  <c:v>1629</c:v>
                </c:pt>
                <c:pt idx="27">
                  <c:v>651</c:v>
                </c:pt>
                <c:pt idx="28">
                  <c:v>51</c:v>
                </c:pt>
                <c:pt idx="29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4-4702-B3F2-E03646F55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572263992"/>
        <c:axId val="572265560"/>
      </c:barChart>
      <c:catAx>
        <c:axId val="572263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2265560"/>
        <c:crosses val="autoZero"/>
        <c:auto val="1"/>
        <c:lblAlgn val="ctr"/>
        <c:lblOffset val="100"/>
        <c:noMultiLvlLbl val="0"/>
      </c:catAx>
      <c:valAx>
        <c:axId val="572265560"/>
        <c:scaling>
          <c:orientation val="minMax"/>
        </c:scaling>
        <c:delete val="0"/>
        <c:axPos val="l"/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226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000000000001399" l="0.70000000000000062" r="0.70000000000000062" t="0.75000000000001399" header="0.30000000000000032" footer="0.30000000000000032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2</a:t>
            </a:r>
            <a:r>
              <a:rPr lang="ja-JP" altLang="en-US"/>
              <a:t>月達成額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達成月!$B$5</c:f>
              <c:strCache>
                <c:ptCount val="1"/>
                <c:pt idx="0">
                  <c:v>月目標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達成月!$C$4:$E$4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達成月!$C$5:$E$5</c:f>
              <c:numCache>
                <c:formatCode>#,##0_);[Red]\(#,##0\)</c:formatCode>
                <c:ptCount val="3"/>
                <c:pt idx="0">
                  <c:v>2000000</c:v>
                </c:pt>
                <c:pt idx="1">
                  <c:v>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02A-BC2A-A878CAFF1255}"/>
            </c:ext>
          </c:extLst>
        </c:ser>
        <c:ser>
          <c:idx val="1"/>
          <c:order val="1"/>
          <c:tx>
            <c:strRef>
              <c:f>達成月!$B$6</c:f>
              <c:strCache>
                <c:ptCount val="1"/>
                <c:pt idx="0">
                  <c:v>達成額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達成月!$C$4:$E$4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達成月!$C$6:$E$6</c:f>
              <c:numCache>
                <c:formatCode>#,##0_);[Red]\(#,##0\)</c:formatCode>
                <c:ptCount val="3"/>
                <c:pt idx="0">
                  <c:v>2784075</c:v>
                </c:pt>
                <c:pt idx="1">
                  <c:v>2062804</c:v>
                </c:pt>
                <c:pt idx="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9D-402A-BC2A-A878CAFF1255}"/>
            </c:ext>
          </c:extLst>
        </c:ser>
        <c:ser>
          <c:idx val="2"/>
          <c:order val="2"/>
          <c:tx>
            <c:strRef>
              <c:f>達成月!$B$7</c:f>
              <c:strCache>
                <c:ptCount val="1"/>
                <c:pt idx="0">
                  <c:v>比率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達成月!$C$4:$E$4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達成月!$C$7:$E$7</c:f>
              <c:numCache>
                <c:formatCode>0%</c:formatCode>
                <c:ptCount val="3"/>
                <c:pt idx="0">
                  <c:v>1.3920375</c:v>
                </c:pt>
                <c:pt idx="1">
                  <c:v>0.41256080000000001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9D-402A-BC2A-A878CAFF12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572267520"/>
        <c:axId val="572263208"/>
      </c:barChart>
      <c:catAx>
        <c:axId val="57226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担当</a:t>
                </a:r>
              </a:p>
            </c:rich>
          </c:tx>
          <c:overlay val="0"/>
        </c:title>
        <c:numFmt formatCode="g/&quot;標&quot;&quot;準&quot;" sourceLinked="0"/>
        <c:majorTickMark val="none"/>
        <c:minorTickMark val="none"/>
        <c:tickLblPos val="nextTo"/>
        <c:crossAx val="572263208"/>
        <c:crosses val="autoZero"/>
        <c:auto val="1"/>
        <c:lblAlgn val="ctr"/>
        <c:lblOffset val="100"/>
        <c:noMultiLvlLbl val="0"/>
      </c:catAx>
      <c:valAx>
        <c:axId val="572263208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売上高</a:t>
                </a:r>
              </a:p>
            </c:rich>
          </c:tx>
          <c:overlay val="0"/>
        </c:title>
        <c:numFmt formatCode="#,##0_);[Red]\(#,##0\)" sourceLinked="1"/>
        <c:majorTickMark val="none"/>
        <c:minorTickMark val="none"/>
        <c:tickLblPos val="nextTo"/>
        <c:crossAx val="572267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ja-JP"/>
    </a:p>
  </c:tx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2018</a:t>
            </a:r>
            <a:r>
              <a:rPr lang="ja-JP" altLang="en-US"/>
              <a:t>年達成額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525035185511437"/>
          <c:y val="8.8466635056374004E-2"/>
          <c:w val="0.63483198156320064"/>
          <c:h val="0.806975020875381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達成年!$B$5</c:f>
              <c:strCache>
                <c:ptCount val="1"/>
                <c:pt idx="0">
                  <c:v>月目標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達成年!$C$4:$E$4</c:f>
              <c:strCache>
                <c:ptCount val="3"/>
                <c:pt idx="0">
                  <c:v>山﨑</c:v>
                </c:pt>
                <c:pt idx="1">
                  <c:v>池埜</c:v>
                </c:pt>
                <c:pt idx="2">
                  <c:v>C</c:v>
                </c:pt>
              </c:strCache>
            </c:strRef>
          </c:cat>
          <c:val>
            <c:numRef>
              <c:f>達成年!$C$5:$E$5</c:f>
              <c:numCache>
                <c:formatCode>#,##0_);[Red]\(#,##0\)</c:formatCode>
                <c:ptCount val="3"/>
                <c:pt idx="0">
                  <c:v>24000000</c:v>
                </c:pt>
                <c:pt idx="1">
                  <c:v>60000000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0-4FB2-BCE0-3B2F0AD0C41E}"/>
            </c:ext>
          </c:extLst>
        </c:ser>
        <c:ser>
          <c:idx val="1"/>
          <c:order val="1"/>
          <c:tx>
            <c:strRef>
              <c:f>達成年!$B$6</c:f>
              <c:strCache>
                <c:ptCount val="1"/>
                <c:pt idx="0">
                  <c:v>達成額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達成年!$C$4:$E$4</c:f>
              <c:strCache>
                <c:ptCount val="3"/>
                <c:pt idx="0">
                  <c:v>山﨑</c:v>
                </c:pt>
                <c:pt idx="1">
                  <c:v>池埜</c:v>
                </c:pt>
                <c:pt idx="2">
                  <c:v>C</c:v>
                </c:pt>
              </c:strCache>
            </c:strRef>
          </c:cat>
          <c:val>
            <c:numRef>
              <c:f>達成年!$C$6:$E$6</c:f>
              <c:numCache>
                <c:formatCode>#,##0</c:formatCode>
                <c:ptCount val="3"/>
                <c:pt idx="0">
                  <c:v>31564830</c:v>
                </c:pt>
                <c:pt idx="1">
                  <c:v>43279706</c:v>
                </c:pt>
                <c:pt idx="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0-4FB2-BCE0-3B2F0AD0C41E}"/>
            </c:ext>
          </c:extLst>
        </c:ser>
        <c:ser>
          <c:idx val="2"/>
          <c:order val="2"/>
          <c:tx>
            <c:strRef>
              <c:f>達成年!$B$7</c:f>
              <c:strCache>
                <c:ptCount val="1"/>
                <c:pt idx="0">
                  <c:v>比率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達成年!$C$4:$E$4</c:f>
              <c:strCache>
                <c:ptCount val="3"/>
                <c:pt idx="0">
                  <c:v>山﨑</c:v>
                </c:pt>
                <c:pt idx="1">
                  <c:v>池埜</c:v>
                </c:pt>
                <c:pt idx="2">
                  <c:v>C</c:v>
                </c:pt>
              </c:strCache>
            </c:strRef>
          </c:cat>
          <c:val>
            <c:numRef>
              <c:f>達成年!$C$7:$E$7</c:f>
              <c:numCache>
                <c:formatCode>0%</c:formatCode>
                <c:ptCount val="3"/>
                <c:pt idx="0">
                  <c:v>1.3152012500000001</c:v>
                </c:pt>
                <c:pt idx="1">
                  <c:v>0.7213284333333333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0-4FB2-BCE0-3B2F0AD0C4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572260464"/>
        <c:axId val="572261640"/>
      </c:barChart>
      <c:catAx>
        <c:axId val="572260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担当</a:t>
                </a:r>
              </a:p>
            </c:rich>
          </c:tx>
          <c:overlay val="0"/>
        </c:title>
        <c:numFmt formatCode="g/&quot;標&quot;&quot;準&quot;" sourceLinked="0"/>
        <c:majorTickMark val="none"/>
        <c:minorTickMark val="none"/>
        <c:tickLblPos val="nextTo"/>
        <c:crossAx val="572261640"/>
        <c:crosses val="autoZero"/>
        <c:auto val="1"/>
        <c:lblAlgn val="ctr"/>
        <c:lblOffset val="100"/>
        <c:noMultiLvlLbl val="0"/>
      </c:catAx>
      <c:valAx>
        <c:axId val="572261640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ja-JP" altLang="en-US"/>
                  <a:t>売上高</a:t>
                </a:r>
              </a:p>
            </c:rich>
          </c:tx>
          <c:overlay val="0"/>
        </c:title>
        <c:numFmt formatCode="#,##0_);[Red]\(#,##0\)" sourceLinked="1"/>
        <c:majorTickMark val="none"/>
        <c:minorTickMark val="none"/>
        <c:tickLblPos val="nextTo"/>
        <c:crossAx val="57226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ja-JP"/>
    </a:p>
  </c:tx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 altLang="ja-JP" sz="2200"/>
              <a:t>5</a:t>
            </a:r>
            <a:r>
              <a:rPr lang="ja-JP" altLang="en-US" sz="2200"/>
              <a:t>月達成額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達成グラフ!$C$4</c:f>
              <c:strCache>
                <c:ptCount val="1"/>
                <c:pt idx="0">
                  <c:v>月目標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達成グラフ!$B$5:$B$7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達成グラフ!$C$5:$C$7</c:f>
              <c:numCache>
                <c:formatCode>#,##0_);[Red]\(#,##0\)</c:formatCode>
                <c:ptCount val="3"/>
                <c:pt idx="0">
                  <c:v>2000000</c:v>
                </c:pt>
                <c:pt idx="1">
                  <c:v>4000000</c:v>
                </c:pt>
                <c:pt idx="2">
                  <c:v>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7-4A01-BA6E-9A44DFE709C1}"/>
            </c:ext>
          </c:extLst>
        </c:ser>
        <c:ser>
          <c:idx val="1"/>
          <c:order val="1"/>
          <c:tx>
            <c:strRef>
              <c:f>達成グラフ!$D$4</c:f>
              <c:strCache>
                <c:ptCount val="1"/>
                <c:pt idx="0">
                  <c:v>達成額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達成グラフ!$D$5:$D$7</c:f>
              <c:numCache>
                <c:formatCode>#,##0_);[Red]\(#,##0\)</c:formatCode>
                <c:ptCount val="3"/>
                <c:pt idx="0">
                  <c:v>1215045</c:v>
                </c:pt>
                <c:pt idx="1">
                  <c:v>2340600</c:v>
                </c:pt>
                <c:pt idx="2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7-4A01-BA6E-9A44DFE709C1}"/>
            </c:ext>
          </c:extLst>
        </c:ser>
        <c:ser>
          <c:idx val="2"/>
          <c:order val="2"/>
          <c:tx>
            <c:strRef>
              <c:f>達成グラフ!$E$4</c:f>
              <c:strCache>
                <c:ptCount val="1"/>
                <c:pt idx="0">
                  <c:v>達成比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達成グラフ!$E$5:$E$7</c:f>
              <c:numCache>
                <c:formatCode>0%</c:formatCode>
                <c:ptCount val="3"/>
                <c:pt idx="0">
                  <c:v>0.60752249999999997</c:v>
                </c:pt>
                <c:pt idx="1">
                  <c:v>0.58514999999999995</c:v>
                </c:pt>
                <c:pt idx="2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37-4A01-BA6E-9A44DFE709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572891304"/>
        <c:axId val="572891696"/>
      </c:barChart>
      <c:catAx>
        <c:axId val="572891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600"/>
                </a:pPr>
                <a:r>
                  <a:rPr lang="ja-JP"/>
                  <a:t>担当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72891696"/>
        <c:crosses val="autoZero"/>
        <c:auto val="1"/>
        <c:lblAlgn val="ctr"/>
        <c:lblOffset val="100"/>
        <c:noMultiLvlLbl val="0"/>
      </c:catAx>
      <c:valAx>
        <c:axId val="572891696"/>
        <c:scaling>
          <c:orientation val="minMax"/>
          <c:max val="4500000"/>
          <c:min val="0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 altLang="en-US" sz="1600"/>
                </a:pPr>
                <a:r>
                  <a:rPr lang="ja-JP"/>
                  <a:t>売上高</a:t>
                </a:r>
              </a:p>
            </c:rich>
          </c:tx>
          <c:overlay val="0"/>
        </c:title>
        <c:numFmt formatCode="#,##0_);[Red]\(#,##0\)" sourceLinked="1"/>
        <c:majorTickMark val="none"/>
        <c:minorTickMark val="none"/>
        <c:tickLblPos val="nextTo"/>
        <c:crossAx val="572891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13.emf"/><Relationship Id="rId12" Type="http://schemas.openxmlformats.org/officeDocument/2006/relationships/image" Target="../media/image16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16625</xdr:colOff>
      <xdr:row>3</xdr:row>
      <xdr:rowOff>0</xdr:rowOff>
    </xdr:from>
    <xdr:to>
      <xdr:col>7</xdr:col>
      <xdr:colOff>640080</xdr:colOff>
      <xdr:row>16</xdr:row>
      <xdr:rowOff>108065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7818" y="498764"/>
          <a:ext cx="4613564" cy="2269374"/>
        </a:xfrm>
        <a:prstGeom prst="rect">
          <a:avLst/>
        </a:prstGeom>
        <a:solidFill>
          <a:schemeClr val="bg1">
            <a:lumMod val="9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3</xdr:col>
      <xdr:colOff>590550</xdr:colOff>
      <xdr:row>4</xdr:row>
      <xdr:rowOff>0</xdr:rowOff>
    </xdr:from>
    <xdr:to>
      <xdr:col>7</xdr:col>
      <xdr:colOff>399011</xdr:colOff>
      <xdr:row>5</xdr:row>
      <xdr:rowOff>149629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11779" y="665018"/>
          <a:ext cx="2468534" cy="315884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2700"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売上データの入力</a:t>
          </a:r>
        </a:p>
      </xdr:txBody>
    </xdr:sp>
    <xdr:clientData/>
  </xdr:twoCellAnchor>
  <xdr:twoCellAnchor>
    <xdr:from>
      <xdr:col>3</xdr:col>
      <xdr:colOff>588241</xdr:colOff>
      <xdr:row>7</xdr:row>
      <xdr:rowOff>2770</xdr:rowOff>
    </xdr:from>
    <xdr:to>
      <xdr:col>7</xdr:col>
      <xdr:colOff>365760</xdr:colOff>
      <xdr:row>8</xdr:row>
      <xdr:rowOff>141317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09470" y="1166552"/>
          <a:ext cx="2437592" cy="30480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314037</xdr:colOff>
      <xdr:row>7</xdr:row>
      <xdr:rowOff>101600</xdr:rowOff>
    </xdr:from>
    <xdr:to>
      <xdr:col>3</xdr:col>
      <xdr:colOff>491837</xdr:colOff>
      <xdr:row>8</xdr:row>
      <xdr:rowOff>38100</xdr:rowOff>
    </xdr:to>
    <xdr:sp macro="" textlink="">
      <xdr:nvSpPr>
        <xdr:cNvPr id="5" name="右矢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35266" y="1265382"/>
          <a:ext cx="177800" cy="10275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317962</xdr:colOff>
      <xdr:row>4</xdr:row>
      <xdr:rowOff>137737</xdr:rowOff>
    </xdr:from>
    <xdr:to>
      <xdr:col>3</xdr:col>
      <xdr:colOff>508462</xdr:colOff>
      <xdr:row>5</xdr:row>
      <xdr:rowOff>74237</xdr:rowOff>
    </xdr:to>
    <xdr:sp macro="" textlink="">
      <xdr:nvSpPr>
        <xdr:cNvPr id="6" name="右矢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39191" y="802755"/>
          <a:ext cx="190500" cy="1027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4</xdr:col>
      <xdr:colOff>6350</xdr:colOff>
      <xdr:row>7</xdr:row>
      <xdr:rowOff>19050</xdr:rowOff>
    </xdr:from>
    <xdr:ext cx="1172116" cy="27571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012950" y="1174750"/>
          <a:ext cx="1172116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売上伝票の発行</a:t>
          </a:r>
        </a:p>
      </xdr:txBody>
    </xdr:sp>
    <xdr:clientData/>
  </xdr:oneCellAnchor>
  <xdr:twoCellAnchor>
    <xdr:from>
      <xdr:col>3</xdr:col>
      <xdr:colOff>606829</xdr:colOff>
      <xdr:row>10</xdr:row>
      <xdr:rowOff>2</xdr:rowOff>
    </xdr:from>
    <xdr:to>
      <xdr:col>7</xdr:col>
      <xdr:colOff>340822</xdr:colOff>
      <xdr:row>11</xdr:row>
      <xdr:rowOff>157943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28058" y="1662547"/>
          <a:ext cx="2394066" cy="324196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3</xdr:col>
      <xdr:colOff>290946</xdr:colOff>
      <xdr:row>10</xdr:row>
      <xdr:rowOff>124692</xdr:rowOff>
    </xdr:from>
    <xdr:to>
      <xdr:col>3</xdr:col>
      <xdr:colOff>481446</xdr:colOff>
      <xdr:row>11</xdr:row>
      <xdr:rowOff>61192</xdr:rowOff>
    </xdr:to>
    <xdr:sp macro="" textlink="">
      <xdr:nvSpPr>
        <xdr:cNvPr id="9" name="右矢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12175" y="1787237"/>
          <a:ext cx="190500" cy="1027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4</xdr:col>
      <xdr:colOff>33251</xdr:colOff>
      <xdr:row>10</xdr:row>
      <xdr:rowOff>33251</xdr:rowOff>
    </xdr:from>
    <xdr:ext cx="1712422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219498" y="1695796"/>
          <a:ext cx="17124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kumimoji="1" lang="ja-JP" altLang="en-US" sz="1100"/>
            <a:t>データベ－スへ追加更新</a:t>
          </a:r>
        </a:p>
      </xdr:txBody>
    </xdr:sp>
    <xdr:clientData/>
  </xdr:oneCellAnchor>
  <xdr:twoCellAnchor>
    <xdr:from>
      <xdr:col>3</xdr:col>
      <xdr:colOff>290945</xdr:colOff>
      <xdr:row>14</xdr:row>
      <xdr:rowOff>66502</xdr:rowOff>
    </xdr:from>
    <xdr:to>
      <xdr:col>3</xdr:col>
      <xdr:colOff>481445</xdr:colOff>
      <xdr:row>15</xdr:row>
      <xdr:rowOff>3003</xdr:rowOff>
    </xdr:to>
    <xdr:sp macro="" textlink="">
      <xdr:nvSpPr>
        <xdr:cNvPr id="11" name="右矢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812174" y="2394066"/>
          <a:ext cx="190500" cy="1027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648393</xdr:colOff>
      <xdr:row>13</xdr:row>
      <xdr:rowOff>83127</xdr:rowOff>
    </xdr:from>
    <xdr:to>
      <xdr:col>7</xdr:col>
      <xdr:colOff>307571</xdr:colOff>
      <xdr:row>15</xdr:row>
      <xdr:rowOff>91440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169622" y="2244436"/>
          <a:ext cx="2319251" cy="340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/>
            <a:t>各顧客の支店別の月売上合計</a:t>
          </a:r>
        </a:p>
      </xdr:txBody>
    </xdr:sp>
    <xdr:clientData/>
  </xdr:twoCellAnchor>
  <xdr:twoCellAnchor>
    <xdr:from>
      <xdr:col>3</xdr:col>
      <xdr:colOff>640080</xdr:colOff>
      <xdr:row>13</xdr:row>
      <xdr:rowOff>66502</xdr:rowOff>
    </xdr:from>
    <xdr:to>
      <xdr:col>7</xdr:col>
      <xdr:colOff>290945</xdr:colOff>
      <xdr:row>15</xdr:row>
      <xdr:rowOff>91440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61309" y="2227811"/>
          <a:ext cx="2310938" cy="35744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</xdr:row>
          <xdr:rowOff>0</xdr:rowOff>
        </xdr:from>
        <xdr:to>
          <xdr:col>3</xdr:col>
          <xdr:colOff>238125</xdr:colOff>
          <xdr:row>6</xdr:row>
          <xdr:rowOff>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7</xdr:row>
          <xdr:rowOff>38100</xdr:rowOff>
        </xdr:from>
        <xdr:to>
          <xdr:col>3</xdr:col>
          <xdr:colOff>209550</xdr:colOff>
          <xdr:row>9</xdr:row>
          <xdr:rowOff>38100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38100</xdr:rowOff>
        </xdr:from>
        <xdr:to>
          <xdr:col>3</xdr:col>
          <xdr:colOff>114300</xdr:colOff>
          <xdr:row>12</xdr:row>
          <xdr:rowOff>38100</xdr:rowOff>
        </xdr:to>
        <xdr:sp macro="" textlink="">
          <xdr:nvSpPr>
            <xdr:cNvPr id="20483" name="CommandButton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66675</xdr:rowOff>
        </xdr:from>
        <xdr:to>
          <xdr:col>3</xdr:col>
          <xdr:colOff>190500</xdr:colOff>
          <xdr:row>15</xdr:row>
          <xdr:rowOff>85725</xdr:rowOff>
        </xdr:to>
        <xdr:sp macro="" textlink="">
          <xdr:nvSpPr>
            <xdr:cNvPr id="20484" name="CommandButton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0</xdr:rowOff>
        </xdr:from>
        <xdr:to>
          <xdr:col>11</xdr:col>
          <xdr:colOff>1419225</xdr:colOff>
          <xdr:row>2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371475</xdr:colOff>
          <xdr:row>0</xdr:row>
          <xdr:rowOff>114300</xdr:rowOff>
        </xdr:from>
        <xdr:to>
          <xdr:col>17</xdr:col>
          <xdr:colOff>619125</xdr:colOff>
          <xdr:row>1</xdr:row>
          <xdr:rowOff>142875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1590675</xdr:colOff>
          <xdr:row>0</xdr:row>
          <xdr:rowOff>190500</xdr:rowOff>
        </xdr:from>
        <xdr:to>
          <xdr:col>6</xdr:col>
          <xdr:colOff>2247900</xdr:colOff>
          <xdr:row>2</xdr:row>
          <xdr:rowOff>47625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0</xdr:rowOff>
        </xdr:from>
        <xdr:to>
          <xdr:col>6</xdr:col>
          <xdr:colOff>600075</xdr:colOff>
          <xdr:row>2</xdr:row>
          <xdr:rowOff>38100</xdr:rowOff>
        </xdr:to>
        <xdr:sp macro="" textlink="">
          <xdr:nvSpPr>
            <xdr:cNvPr id="2056" name="CommandButton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447675</xdr:colOff>
          <xdr:row>1</xdr:row>
          <xdr:rowOff>19050</xdr:rowOff>
        </xdr:from>
        <xdr:to>
          <xdr:col>48</xdr:col>
          <xdr:colOff>371475</xdr:colOff>
          <xdr:row>2</xdr:row>
          <xdr:rowOff>95250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1</xdr:row>
          <xdr:rowOff>123825</xdr:rowOff>
        </xdr:from>
        <xdr:to>
          <xdr:col>50</xdr:col>
          <xdr:colOff>381000</xdr:colOff>
          <xdr:row>2</xdr:row>
          <xdr:rowOff>152400</xdr:rowOff>
        </xdr:to>
        <xdr:sp macro="" textlink="">
          <xdr:nvSpPr>
            <xdr:cNvPr id="2065" name="CommandButton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2</xdr:row>
          <xdr:rowOff>104775</xdr:rowOff>
        </xdr:from>
        <xdr:to>
          <xdr:col>29</xdr:col>
          <xdr:colOff>1181100</xdr:colOff>
          <xdr:row>3</xdr:row>
          <xdr:rowOff>190500</xdr:rowOff>
        </xdr:to>
        <xdr:sp macro="" textlink="">
          <xdr:nvSpPr>
            <xdr:cNvPr id="2067" name="CommandButton8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2</xdr:row>
          <xdr:rowOff>76200</xdr:rowOff>
        </xdr:from>
        <xdr:to>
          <xdr:col>30</xdr:col>
          <xdr:colOff>1095375</xdr:colOff>
          <xdr:row>3</xdr:row>
          <xdr:rowOff>180975</xdr:rowOff>
        </xdr:to>
        <xdr:sp macro="" textlink="">
          <xdr:nvSpPr>
            <xdr:cNvPr id="2068" name="CommandButton9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466725</xdr:colOff>
          <xdr:row>1</xdr:row>
          <xdr:rowOff>47625</xdr:rowOff>
        </xdr:from>
        <xdr:to>
          <xdr:col>53</xdr:col>
          <xdr:colOff>514350</xdr:colOff>
          <xdr:row>2</xdr:row>
          <xdr:rowOff>133350</xdr:rowOff>
        </xdr:to>
        <xdr:sp macro="" textlink="">
          <xdr:nvSpPr>
            <xdr:cNvPr id="2069" name="CommandButton10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0</xdr:row>
          <xdr:rowOff>190500</xdr:rowOff>
        </xdr:from>
        <xdr:to>
          <xdr:col>6</xdr:col>
          <xdr:colOff>1485900</xdr:colOff>
          <xdr:row>2</xdr:row>
          <xdr:rowOff>47625</xdr:rowOff>
        </xdr:to>
        <xdr:sp macro="" textlink="">
          <xdr:nvSpPr>
            <xdr:cNvPr id="2070" name="CommandButton11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142875</xdr:colOff>
          <xdr:row>2</xdr:row>
          <xdr:rowOff>95250</xdr:rowOff>
        </xdr:from>
        <xdr:to>
          <xdr:col>33</xdr:col>
          <xdr:colOff>209550</xdr:colOff>
          <xdr:row>3</xdr:row>
          <xdr:rowOff>171450</xdr:rowOff>
        </xdr:to>
        <xdr:sp macro="" textlink="">
          <xdr:nvSpPr>
            <xdr:cNvPr id="2071" name="CommandButton12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95250</xdr:colOff>
          <xdr:row>2</xdr:row>
          <xdr:rowOff>95250</xdr:rowOff>
        </xdr:from>
        <xdr:to>
          <xdr:col>35</xdr:col>
          <xdr:colOff>781050</xdr:colOff>
          <xdr:row>3</xdr:row>
          <xdr:rowOff>200025</xdr:rowOff>
        </xdr:to>
        <xdr:sp macro="" textlink="">
          <xdr:nvSpPr>
            <xdr:cNvPr id="2072" name="CommandButton7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28575</xdr:rowOff>
        </xdr:from>
        <xdr:to>
          <xdr:col>2</xdr:col>
          <xdr:colOff>352425</xdr:colOff>
          <xdr:row>21</xdr:row>
          <xdr:rowOff>28575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19</xdr:row>
          <xdr:rowOff>19050</xdr:rowOff>
        </xdr:from>
        <xdr:to>
          <xdr:col>9</xdr:col>
          <xdr:colOff>304800</xdr:colOff>
          <xdr:row>21</xdr:row>
          <xdr:rowOff>19050</xdr:rowOff>
        </xdr:to>
        <xdr:sp macro="" textlink="">
          <xdr:nvSpPr>
            <xdr:cNvPr id="73731" name="CommandButton2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546101</xdr:colOff>
      <xdr:row>1</xdr:row>
      <xdr:rowOff>120650</xdr:rowOff>
    </xdr:from>
    <xdr:to>
      <xdr:col>7</xdr:col>
      <xdr:colOff>4762501</xdr:colOff>
      <xdr:row>35</xdr:row>
      <xdr:rowOff>50800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301624</xdr:colOff>
      <xdr:row>2</xdr:row>
      <xdr:rowOff>63500</xdr:rowOff>
    </xdr:from>
    <xdr:to>
      <xdr:col>23</xdr:col>
      <xdr:colOff>514349</xdr:colOff>
      <xdr:row>35</xdr:row>
      <xdr:rowOff>50800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0</xdr:row>
          <xdr:rowOff>142875</xdr:rowOff>
        </xdr:from>
        <xdr:to>
          <xdr:col>6</xdr:col>
          <xdr:colOff>0</xdr:colOff>
          <xdr:row>2</xdr:row>
          <xdr:rowOff>57150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0</xdr:rowOff>
        </xdr:from>
        <xdr:to>
          <xdr:col>4</xdr:col>
          <xdr:colOff>1704975</xdr:colOff>
          <xdr:row>2</xdr:row>
          <xdr:rowOff>85725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30</xdr:row>
          <xdr:rowOff>180975</xdr:rowOff>
        </xdr:from>
        <xdr:to>
          <xdr:col>10</xdr:col>
          <xdr:colOff>1619250</xdr:colOff>
          <xdr:row>32</xdr:row>
          <xdr:rowOff>57150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0</xdr:row>
          <xdr:rowOff>152400</xdr:rowOff>
        </xdr:from>
        <xdr:to>
          <xdr:col>13</xdr:col>
          <xdr:colOff>571500</xdr:colOff>
          <xdr:row>2</xdr:row>
          <xdr:rowOff>114300</xdr:rowOff>
        </xdr:to>
        <xdr:sp macro="" textlink="">
          <xdr:nvSpPr>
            <xdr:cNvPr id="55297" name="CommandButton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4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3</xdr:row>
          <xdr:rowOff>95250</xdr:rowOff>
        </xdr:from>
        <xdr:to>
          <xdr:col>13</xdr:col>
          <xdr:colOff>561975</xdr:colOff>
          <xdr:row>5</xdr:row>
          <xdr:rowOff>47625</xdr:rowOff>
        </xdr:to>
        <xdr:sp macro="" textlink="">
          <xdr:nvSpPr>
            <xdr:cNvPr id="55298" name="CommandButton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4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2</xdr:row>
          <xdr:rowOff>0</xdr:rowOff>
        </xdr:from>
        <xdr:to>
          <xdr:col>21</xdr:col>
          <xdr:colOff>504825</xdr:colOff>
          <xdr:row>3</xdr:row>
          <xdr:rowOff>152400</xdr:rowOff>
        </xdr:to>
        <xdr:sp macro="" textlink="">
          <xdr:nvSpPr>
            <xdr:cNvPr id="55299" name="CommandButton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4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53</xdr:row>
      <xdr:rowOff>9525</xdr:rowOff>
    </xdr:from>
    <xdr:to>
      <xdr:col>9</xdr:col>
      <xdr:colOff>1390650</xdr:colOff>
      <xdr:row>56</xdr:row>
      <xdr:rowOff>19050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 txBox="1">
          <a:spLocks noChangeArrowheads="1"/>
        </xdr:cNvSpPr>
      </xdr:nvSpPr>
      <xdr:spPr bwMode="auto">
        <a:xfrm>
          <a:off x="5476875" y="9982200"/>
          <a:ext cx="1057275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Rtl" wrap="square" lIns="0" tIns="0" rIns="27432" bIns="0" anchor="t" upright="1"/>
        <a:lstStyle/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検 印</a:t>
          </a:r>
          <a:endParaRPr lang="ja-JP" altLang="en-US"/>
        </a:p>
      </xdr:txBody>
    </xdr:sp>
    <xdr:clientData/>
  </xdr:twoCellAnchor>
  <xdr:twoCellAnchor>
    <xdr:from>
      <xdr:col>9</xdr:col>
      <xdr:colOff>552450</xdr:colOff>
      <xdr:row>53</xdr:row>
      <xdr:rowOff>0</xdr:rowOff>
    </xdr:from>
    <xdr:to>
      <xdr:col>9</xdr:col>
      <xdr:colOff>552450</xdr:colOff>
      <xdr:row>56</xdr:row>
      <xdr:rowOff>9525</xdr:rowOff>
    </xdr:to>
    <xdr:sp macro="" textlink="">
      <xdr:nvSpPr>
        <xdr:cNvPr id="1119" name="Line 5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ShapeType="1"/>
        </xdr:cNvSpPr>
      </xdr:nvSpPr>
      <xdr:spPr bwMode="auto">
        <a:xfrm>
          <a:off x="5695950" y="9972675"/>
          <a:ext cx="0" cy="533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952500</xdr:colOff>
      <xdr:row>53</xdr:row>
      <xdr:rowOff>9525</xdr:rowOff>
    </xdr:from>
    <xdr:to>
      <xdr:col>9</xdr:col>
      <xdr:colOff>952500</xdr:colOff>
      <xdr:row>56</xdr:row>
      <xdr:rowOff>19050</xdr:rowOff>
    </xdr:to>
    <xdr:sp macro="" textlink="">
      <xdr:nvSpPr>
        <xdr:cNvPr id="1120" name="Line 7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ShapeType="1"/>
        </xdr:cNvSpPr>
      </xdr:nvSpPr>
      <xdr:spPr bwMode="auto">
        <a:xfrm>
          <a:off x="6096000" y="9982200"/>
          <a:ext cx="0" cy="533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19050</xdr:rowOff>
        </xdr:from>
        <xdr:to>
          <xdr:col>15</xdr:col>
          <xdr:colOff>123825</xdr:colOff>
          <xdr:row>4</xdr:row>
          <xdr:rowOff>314325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</xdr:row>
          <xdr:rowOff>247650</xdr:rowOff>
        </xdr:from>
        <xdr:to>
          <xdr:col>15</xdr:col>
          <xdr:colOff>66675</xdr:colOff>
          <xdr:row>6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11</xdr:row>
          <xdr:rowOff>0</xdr:rowOff>
        </xdr:from>
        <xdr:to>
          <xdr:col>12</xdr:col>
          <xdr:colOff>581025</xdr:colOff>
          <xdr:row>12</xdr:row>
          <xdr:rowOff>76200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0</xdr:colOff>
          <xdr:row>40</xdr:row>
          <xdr:rowOff>133350</xdr:rowOff>
        </xdr:from>
        <xdr:to>
          <xdr:col>92</xdr:col>
          <xdr:colOff>361950</xdr:colOff>
          <xdr:row>42</xdr:row>
          <xdr:rowOff>95250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47</xdr:row>
          <xdr:rowOff>76200</xdr:rowOff>
        </xdr:from>
        <xdr:to>
          <xdr:col>92</xdr:col>
          <xdr:colOff>333375</xdr:colOff>
          <xdr:row>49</xdr:row>
          <xdr:rowOff>47625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47625</xdr:colOff>
          <xdr:row>41</xdr:row>
          <xdr:rowOff>9525</xdr:rowOff>
        </xdr:from>
        <xdr:to>
          <xdr:col>98</xdr:col>
          <xdr:colOff>276225</xdr:colOff>
          <xdr:row>42</xdr:row>
          <xdr:rowOff>66675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504826</xdr:colOff>
      <xdr:row>3</xdr:row>
      <xdr:rowOff>3175</xdr:rowOff>
    </xdr:from>
    <xdr:to>
      <xdr:col>42</xdr:col>
      <xdr:colOff>684657</xdr:colOff>
      <xdr:row>3</xdr:row>
      <xdr:rowOff>149224</xdr:rowOff>
    </xdr:to>
    <xdr:sp macro="" textlink="">
      <xdr:nvSpPr>
        <xdr:cNvPr id="2" name="下矢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687676" y="517525"/>
          <a:ext cx="179831" cy="14604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400050</xdr:colOff>
          <xdr:row>11</xdr:row>
          <xdr:rowOff>0</xdr:rowOff>
        </xdr:from>
        <xdr:to>
          <xdr:col>43</xdr:col>
          <xdr:colOff>466725</xdr:colOff>
          <xdr:row>13</xdr:row>
          <xdr:rowOff>57150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361950</xdr:colOff>
          <xdr:row>39</xdr:row>
          <xdr:rowOff>9525</xdr:rowOff>
        </xdr:from>
        <xdr:to>
          <xdr:col>43</xdr:col>
          <xdr:colOff>504825</xdr:colOff>
          <xdr:row>41</xdr:row>
          <xdr:rowOff>47625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4</xdr:row>
          <xdr:rowOff>57150</xdr:rowOff>
        </xdr:from>
        <xdr:to>
          <xdr:col>42</xdr:col>
          <xdr:colOff>1362075</xdr:colOff>
          <xdr:row>6</xdr:row>
          <xdr:rowOff>47625</xdr:rowOff>
        </xdr:to>
        <xdr:sp macro="" textlink="">
          <xdr:nvSpPr>
            <xdr:cNvPr id="7172" name="CommandButton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8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0</xdr:row>
          <xdr:rowOff>123825</xdr:rowOff>
        </xdr:from>
        <xdr:to>
          <xdr:col>42</xdr:col>
          <xdr:colOff>1247775</xdr:colOff>
          <xdr:row>2</xdr:row>
          <xdr:rowOff>47625</xdr:rowOff>
        </xdr:to>
        <xdr:sp macro="" textlink="">
          <xdr:nvSpPr>
            <xdr:cNvPr id="7174" name="CommandButton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8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666750</xdr:colOff>
          <xdr:row>95</xdr:row>
          <xdr:rowOff>19050</xdr:rowOff>
        </xdr:from>
        <xdr:to>
          <xdr:col>43</xdr:col>
          <xdr:colOff>0</xdr:colOff>
          <xdr:row>96</xdr:row>
          <xdr:rowOff>171450</xdr:rowOff>
        </xdr:to>
        <xdr:sp macro="" textlink="">
          <xdr:nvSpPr>
            <xdr:cNvPr id="7175" name="CommandButton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8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19051</xdr:rowOff>
    </xdr:from>
    <xdr:to>
      <xdr:col>17</xdr:col>
      <xdr:colOff>28575</xdr:colOff>
      <xdr:row>40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32</xdr:row>
          <xdr:rowOff>38100</xdr:rowOff>
        </xdr:from>
        <xdr:to>
          <xdr:col>1</xdr:col>
          <xdr:colOff>1371600</xdr:colOff>
          <xdr:row>34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36</xdr:row>
          <xdr:rowOff>38100</xdr:rowOff>
        </xdr:from>
        <xdr:to>
          <xdr:col>1</xdr:col>
          <xdr:colOff>1343025</xdr:colOff>
          <xdr:row>38</xdr:row>
          <xdr:rowOff>38100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9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428624</xdr:colOff>
      <xdr:row>3</xdr:row>
      <xdr:rowOff>0</xdr:rowOff>
    </xdr:from>
    <xdr:to>
      <xdr:col>20</xdr:col>
      <xdr:colOff>533400</xdr:colOff>
      <xdr:row>39</xdr:row>
      <xdr:rowOff>95249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0</xdr:rowOff>
        </xdr:from>
        <xdr:to>
          <xdr:col>1</xdr:col>
          <xdr:colOff>1133475</xdr:colOff>
          <xdr:row>43</xdr:row>
          <xdr:rowOff>114300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44</xdr:row>
          <xdr:rowOff>171450</xdr:rowOff>
        </xdr:from>
        <xdr:to>
          <xdr:col>1</xdr:col>
          <xdr:colOff>1314450</xdr:colOff>
          <xdr:row>46</xdr:row>
          <xdr:rowOff>123825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A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15410</xdr:colOff>
      <xdr:row>1</xdr:row>
      <xdr:rowOff>295275</xdr:rowOff>
    </xdr:from>
    <xdr:to>
      <xdr:col>13</xdr:col>
      <xdr:colOff>142875</xdr:colOff>
      <xdr:row>31</xdr:row>
      <xdr:rowOff>28575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66675</xdr:rowOff>
        </xdr:from>
        <xdr:to>
          <xdr:col>3</xdr:col>
          <xdr:colOff>95250</xdr:colOff>
          <xdr:row>20</xdr:row>
          <xdr:rowOff>95250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14</xdr:row>
          <xdr:rowOff>47625</xdr:rowOff>
        </xdr:from>
        <xdr:to>
          <xdr:col>3</xdr:col>
          <xdr:colOff>123825</xdr:colOff>
          <xdr:row>16</xdr:row>
          <xdr:rowOff>85725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0</xdr:colOff>
          <xdr:row>1</xdr:row>
          <xdr:rowOff>66675</xdr:rowOff>
        </xdr:from>
        <xdr:to>
          <xdr:col>71</xdr:col>
          <xdr:colOff>590550</xdr:colOff>
          <xdr:row>2</xdr:row>
          <xdr:rowOff>104775</xdr:rowOff>
        </xdr:to>
        <xdr:sp macro="" textlink="">
          <xdr:nvSpPr>
            <xdr:cNvPr id="30727" name="CommandButton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B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28575</xdr:rowOff>
        </xdr:from>
        <xdr:to>
          <xdr:col>3</xdr:col>
          <xdr:colOff>57150</xdr:colOff>
          <xdr:row>24</xdr:row>
          <xdr:rowOff>9525</xdr:rowOff>
        </xdr:to>
        <xdr:sp macro="" textlink="">
          <xdr:nvSpPr>
            <xdr:cNvPr id="30728" name="CommandButton3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B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205911</xdr:colOff>
      <xdr:row>1</xdr:row>
      <xdr:rowOff>280900</xdr:rowOff>
    </xdr:from>
    <xdr:to>
      <xdr:col>13</xdr:col>
      <xdr:colOff>352425</xdr:colOff>
      <xdr:row>34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19050</xdr:rowOff>
        </xdr:from>
        <xdr:to>
          <xdr:col>2</xdr:col>
          <xdr:colOff>457200</xdr:colOff>
          <xdr:row>20</xdr:row>
          <xdr:rowOff>47625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14</xdr:row>
          <xdr:rowOff>19050</xdr:rowOff>
        </xdr:from>
        <xdr:to>
          <xdr:col>2</xdr:col>
          <xdr:colOff>476250</xdr:colOff>
          <xdr:row>16</xdr:row>
          <xdr:rowOff>0</xdr:rowOff>
        </xdr:to>
        <xdr:sp macro="" textlink="">
          <xdr:nvSpPr>
            <xdr:cNvPr id="39938" name="CommandButton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C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9525</xdr:rowOff>
        </xdr:from>
        <xdr:to>
          <xdr:col>2</xdr:col>
          <xdr:colOff>476250</xdr:colOff>
          <xdr:row>24</xdr:row>
          <xdr:rowOff>9525</xdr:rowOff>
        </xdr:to>
        <xdr:sp macro="" textlink="">
          <xdr:nvSpPr>
            <xdr:cNvPr id="39939" name="CommandButton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C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3</xdr:row>
      <xdr:rowOff>71437</xdr:rowOff>
    </xdr:from>
    <xdr:to>
      <xdr:col>13</xdr:col>
      <xdr:colOff>200025</xdr:colOff>
      <xdr:row>36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15</xdr:row>
          <xdr:rowOff>123825</xdr:rowOff>
        </xdr:from>
        <xdr:to>
          <xdr:col>3</xdr:col>
          <xdr:colOff>276225</xdr:colOff>
          <xdr:row>18</xdr:row>
          <xdr:rowOff>38100</xdr:rowOff>
        </xdr:to>
        <xdr:sp macro="" textlink=""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D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419100</xdr:colOff>
          <xdr:row>0</xdr:row>
          <xdr:rowOff>209550</xdr:rowOff>
        </xdr:from>
        <xdr:to>
          <xdr:col>23</xdr:col>
          <xdr:colOff>419100</xdr:colOff>
          <xdr:row>2</xdr:row>
          <xdr:rowOff>133350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E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0</xdr:row>
          <xdr:rowOff>238125</xdr:rowOff>
        </xdr:from>
        <xdr:to>
          <xdr:col>26</xdr:col>
          <xdr:colOff>542925</xdr:colOff>
          <xdr:row>2</xdr:row>
          <xdr:rowOff>38100</xdr:rowOff>
        </xdr:to>
        <xdr:sp macro="" textlink="">
          <xdr:nvSpPr>
            <xdr:cNvPr id="67586" name="CommandButton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E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504825</xdr:colOff>
          <xdr:row>1</xdr:row>
          <xdr:rowOff>171450</xdr:rowOff>
        </xdr:from>
        <xdr:to>
          <xdr:col>33</xdr:col>
          <xdr:colOff>466725</xdr:colOff>
          <xdr:row>3</xdr:row>
          <xdr:rowOff>123825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F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76200</xdr:rowOff>
        </xdr:from>
        <xdr:to>
          <xdr:col>11</xdr:col>
          <xdr:colOff>1276350</xdr:colOff>
          <xdr:row>1</xdr:row>
          <xdr:rowOff>209550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1</xdr:row>
          <xdr:rowOff>95250</xdr:rowOff>
        </xdr:from>
        <xdr:to>
          <xdr:col>46</xdr:col>
          <xdr:colOff>66675</xdr:colOff>
          <xdr:row>3</xdr:row>
          <xdr:rowOff>28575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409575</xdr:colOff>
          <xdr:row>1</xdr:row>
          <xdr:rowOff>133350</xdr:rowOff>
        </xdr:from>
        <xdr:to>
          <xdr:col>48</xdr:col>
          <xdr:colOff>504825</xdr:colOff>
          <xdr:row>2</xdr:row>
          <xdr:rowOff>161925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1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619125</xdr:colOff>
          <xdr:row>2</xdr:row>
          <xdr:rowOff>47625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1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28575</xdr:rowOff>
        </xdr:from>
        <xdr:to>
          <xdr:col>29</xdr:col>
          <xdr:colOff>581025</xdr:colOff>
          <xdr:row>2</xdr:row>
          <xdr:rowOff>38100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1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276225</xdr:colOff>
          <xdr:row>0</xdr:row>
          <xdr:rowOff>133350</xdr:rowOff>
        </xdr:from>
        <xdr:to>
          <xdr:col>33</xdr:col>
          <xdr:colOff>209550</xdr:colOff>
          <xdr:row>2</xdr:row>
          <xdr:rowOff>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1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0</xdr:rowOff>
        </xdr:from>
        <xdr:to>
          <xdr:col>9</xdr:col>
          <xdr:colOff>19050</xdr:colOff>
          <xdr:row>4</xdr:row>
          <xdr:rowOff>19050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9</xdr:col>
          <xdr:colOff>0</xdr:colOff>
          <xdr:row>8</xdr:row>
          <xdr:rowOff>9525</xdr:rowOff>
        </xdr:to>
        <xdr:sp macro="" textlink="">
          <xdr:nvSpPr>
            <xdr:cNvPr id="66562" name="CommandButton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1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123825</xdr:rowOff>
        </xdr:from>
        <xdr:to>
          <xdr:col>9</xdr:col>
          <xdr:colOff>0</xdr:colOff>
          <xdr:row>11</xdr:row>
          <xdr:rowOff>133350</xdr:rowOff>
        </xdr:to>
        <xdr:sp macro="" textlink="">
          <xdr:nvSpPr>
            <xdr:cNvPr id="66563" name="CommandButton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1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9</xdr:col>
          <xdr:colOff>47625</xdr:colOff>
          <xdr:row>16</xdr:row>
          <xdr:rowOff>19050</xdr:rowOff>
        </xdr:to>
        <xdr:sp macro="" textlink="">
          <xdr:nvSpPr>
            <xdr:cNvPr id="66564" name="CommandButton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1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0</xdr:rowOff>
        </xdr:from>
        <xdr:to>
          <xdr:col>8</xdr:col>
          <xdr:colOff>476250</xdr:colOff>
          <xdr:row>20</xdr:row>
          <xdr:rowOff>38100</xdr:rowOff>
        </xdr:to>
        <xdr:sp macro="" textlink="">
          <xdr:nvSpPr>
            <xdr:cNvPr id="66565" name="CommandButton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1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5.xml"/><Relationship Id="rId5" Type="http://schemas.openxmlformats.org/officeDocument/2006/relationships/image" Target="../media/image44.emf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50.emf"/><Relationship Id="rId4" Type="http://schemas.openxmlformats.org/officeDocument/2006/relationships/control" Target="../activeX/activeX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B2"/>
  <sheetViews>
    <sheetView showGridLines="0" showRowColHeaders="0" zoomScale="120" zoomScaleNormal="120" workbookViewId="0">
      <selection activeCell="G37" sqref="G37"/>
    </sheetView>
  </sheetViews>
  <sheetFormatPr defaultRowHeight="13.5" x14ac:dyDescent="0.15"/>
  <cols>
    <col min="1" max="1" width="2.5" customWidth="1"/>
  </cols>
  <sheetData>
    <row r="2" spans="2:2" ht="21" x14ac:dyDescent="0.2">
      <c r="B2" s="171" t="s">
        <v>3618</v>
      </c>
    </row>
  </sheetData>
  <phoneticPr fontId="2"/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20482" r:id="rId4" name="CommandButton2">
          <controlPr defaultSize="0" autoLine="0" r:id="rId5">
            <anchor moveWithCells="1">
              <from>
                <xdr:col>1</xdr:col>
                <xdr:colOff>133350</xdr:colOff>
                <xdr:row>7</xdr:row>
                <xdr:rowOff>38100</xdr:rowOff>
              </from>
              <to>
                <xdr:col>3</xdr:col>
                <xdr:colOff>85725</xdr:colOff>
                <xdr:row>9</xdr:row>
                <xdr:rowOff>28575</xdr:rowOff>
              </to>
            </anchor>
          </controlPr>
        </control>
      </mc:Choice>
      <mc:Fallback>
        <control shapeId="20482" r:id="rId4" name="CommandButton2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 moveWithCells="1">
              <from>
                <xdr:col>1</xdr:col>
                <xdr:colOff>133350</xdr:colOff>
                <xdr:row>4</xdr:row>
                <xdr:rowOff>0</xdr:rowOff>
              </from>
              <to>
                <xdr:col>3</xdr:col>
                <xdr:colOff>114300</xdr:colOff>
                <xdr:row>5</xdr:row>
                <xdr:rowOff>161925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3">
          <controlPr defaultSize="0" autoLine="0" autoPict="0" r:id="rId9">
            <anchor moveWithCells="1">
              <from>
                <xdr:col>1</xdr:col>
                <xdr:colOff>133350</xdr:colOff>
                <xdr:row>10</xdr:row>
                <xdr:rowOff>38100</xdr:rowOff>
              </from>
              <to>
                <xdr:col>3</xdr:col>
                <xdr:colOff>114300</xdr:colOff>
                <xdr:row>12</xdr:row>
                <xdr:rowOff>38100</xdr:rowOff>
              </to>
            </anchor>
          </controlPr>
        </control>
      </mc:Choice>
      <mc:Fallback>
        <control shapeId="20483" r:id="rId8" name="CommandButton3"/>
      </mc:Fallback>
    </mc:AlternateContent>
    <mc:AlternateContent xmlns:mc="http://schemas.openxmlformats.org/markup-compatibility/2006">
      <mc:Choice Requires="x14">
        <control shapeId="20484" r:id="rId10" name="CommandButton4">
          <controlPr defaultSize="0" autoLine="0" r:id="rId11">
            <anchor moveWithCells="1">
              <from>
                <xdr:col>1</xdr:col>
                <xdr:colOff>123825</xdr:colOff>
                <xdr:row>13</xdr:row>
                <xdr:rowOff>66675</xdr:rowOff>
              </from>
              <to>
                <xdr:col>3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20484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/>
  </sheetPr>
  <dimension ref="A1:AP1283"/>
  <sheetViews>
    <sheetView tabSelected="1" zoomScale="133" zoomScaleNormal="133" workbookViewId="0">
      <pane xSplit="1" ySplit="4" topLeftCell="B1239" activePane="bottomRight" state="frozen"/>
      <selection pane="topRight" activeCell="B1" sqref="B1"/>
      <selection pane="bottomLeft" activeCell="A5" sqref="A5"/>
      <selection pane="bottomRight" activeCell="G2" sqref="G2"/>
    </sheetView>
  </sheetViews>
  <sheetFormatPr defaultRowHeight="13.5" outlineLevelCol="1" x14ac:dyDescent="0.15"/>
  <cols>
    <col min="1" max="1" width="2.375" customWidth="1"/>
    <col min="2" max="2" width="6.5" style="261" customWidth="1"/>
    <col min="3" max="3" width="11.875" style="523" customWidth="1"/>
    <col min="4" max="4" width="8" customWidth="1"/>
    <col min="5" max="5" width="6.125" style="57" customWidth="1"/>
    <col min="6" max="6" width="6.25" style="377" customWidth="1"/>
    <col min="7" max="7" width="35.125" customWidth="1"/>
    <col min="8" max="8" width="5.25" style="90" customWidth="1"/>
    <col min="9" max="9" width="43.375" customWidth="1"/>
    <col min="10" max="10" width="7.625" customWidth="1"/>
    <col min="11" max="11" width="10.125" customWidth="1"/>
    <col min="12" max="12" width="27.875" customWidth="1"/>
    <col min="13" max="13" width="9.875" style="196" customWidth="1" outlineLevel="1"/>
    <col min="14" max="14" width="9.875" style="254" customWidth="1" outlineLevel="1"/>
    <col min="15" max="15" width="6.625" style="254" customWidth="1" outlineLevel="1"/>
    <col min="16" max="16" width="7.875" style="269" customWidth="1" outlineLevel="1"/>
    <col min="17" max="17" width="8.375" style="254" customWidth="1" outlineLevel="1"/>
    <col min="18" max="18" width="11.5" style="254" customWidth="1" outlineLevel="1"/>
    <col min="19" max="19" width="9.125" style="254" customWidth="1" outlineLevel="1"/>
    <col min="20" max="20" width="3.125" style="254" customWidth="1" outlineLevel="1"/>
    <col min="21" max="21" width="3.875" style="254" customWidth="1" outlineLevel="1"/>
    <col min="22" max="22" width="3.125" style="254" customWidth="1" outlineLevel="1"/>
    <col min="23" max="23" width="7.5" style="254" customWidth="1" outlineLevel="1"/>
    <col min="24" max="24" width="4.625" style="254" customWidth="1" outlineLevel="1"/>
    <col min="25" max="25" width="4.375" style="172" customWidth="1" outlineLevel="1"/>
    <col min="26" max="26" width="9.875" style="519" customWidth="1"/>
    <col min="27" max="27" width="2.75" customWidth="1"/>
    <col min="28" max="28" width="1.25" customWidth="1"/>
    <col min="29" max="29" width="13.875" customWidth="1"/>
    <col min="30" max="30" width="17.875" customWidth="1"/>
    <col min="31" max="31" width="16.625" customWidth="1"/>
    <col min="32" max="32" width="1.125" customWidth="1"/>
    <col min="33" max="33" width="18.125" customWidth="1"/>
    <col min="34" max="34" width="6.625" customWidth="1"/>
    <col min="35" max="35" width="6.5" customWidth="1"/>
    <col min="36" max="36" width="12.125" customWidth="1"/>
    <col min="37" max="37" width="2.5" customWidth="1"/>
    <col min="39" max="39" width="12.5" customWidth="1"/>
    <col min="41" max="41" width="13.625" customWidth="1"/>
  </cols>
  <sheetData>
    <row r="1" spans="2:42" ht="17.45" customHeight="1" x14ac:dyDescent="0.15">
      <c r="B1" s="328"/>
      <c r="C1" s="522"/>
      <c r="D1" s="1"/>
      <c r="E1" s="1"/>
      <c r="F1" s="378"/>
      <c r="G1" s="1"/>
      <c r="H1" s="102"/>
      <c r="I1" s="64" t="s">
        <v>331</v>
      </c>
      <c r="J1" s="564" t="s">
        <v>332</v>
      </c>
      <c r="K1" s="565"/>
      <c r="L1" s="1" t="s">
        <v>534</v>
      </c>
      <c r="M1" s="62" t="s">
        <v>812</v>
      </c>
      <c r="N1" s="252" t="s">
        <v>325</v>
      </c>
      <c r="O1" s="259" t="s">
        <v>813</v>
      </c>
      <c r="P1" s="267" t="s">
        <v>329</v>
      </c>
      <c r="Q1" s="273"/>
      <c r="R1" s="273"/>
      <c r="S1" s="274" t="s">
        <v>814</v>
      </c>
      <c r="T1" s="568" t="s">
        <v>815</v>
      </c>
      <c r="U1" s="568"/>
      <c r="V1" s="275" t="s">
        <v>1481</v>
      </c>
      <c r="W1" s="276" t="s">
        <v>816</v>
      </c>
      <c r="X1" s="277"/>
      <c r="Y1" s="562" t="s">
        <v>1528</v>
      </c>
      <c r="Z1" s="563"/>
      <c r="AA1" s="42"/>
      <c r="AB1" s="42"/>
      <c r="AC1" s="419" t="s">
        <v>1748</v>
      </c>
      <c r="AD1" s="238" t="s">
        <v>1749</v>
      </c>
      <c r="AE1" s="240" t="s">
        <v>2207</v>
      </c>
      <c r="AF1" s="42"/>
      <c r="AG1" s="439" t="s">
        <v>4404</v>
      </c>
      <c r="AH1" s="440" t="s">
        <v>4405</v>
      </c>
    </row>
    <row r="2" spans="2:42" ht="18" thickBot="1" x14ac:dyDescent="0.25">
      <c r="B2" s="289" t="s">
        <v>20</v>
      </c>
      <c r="D2" s="559">
        <f>$C$5</f>
        <v>42737</v>
      </c>
      <c r="E2" s="559"/>
      <c r="F2" t="s">
        <v>347</v>
      </c>
      <c r="I2" s="63">
        <v>43486</v>
      </c>
      <c r="J2" s="566" t="s">
        <v>5453</v>
      </c>
      <c r="K2" s="567"/>
      <c r="M2" s="211">
        <v>4846879</v>
      </c>
      <c r="N2" s="253">
        <v>1621695</v>
      </c>
      <c r="O2" s="260">
        <v>0.33458541052912605</v>
      </c>
      <c r="P2" s="268">
        <v>220774</v>
      </c>
      <c r="S2" s="278">
        <v>17</v>
      </c>
      <c r="T2" s="569">
        <v>11</v>
      </c>
      <c r="U2" s="569"/>
      <c r="V2" s="279">
        <v>0</v>
      </c>
      <c r="W2" s="280">
        <v>28</v>
      </c>
      <c r="X2" s="281"/>
      <c r="Y2" s="560">
        <v>57167</v>
      </c>
      <c r="Z2" s="561"/>
      <c r="AC2" s="251">
        <v>0.32610367019580278</v>
      </c>
      <c r="AD2" s="151">
        <v>58697</v>
      </c>
      <c r="AE2" s="239">
        <v>2025559.9166666667</v>
      </c>
      <c r="AF2">
        <v>1997231.1666666667</v>
      </c>
      <c r="AG2" s="420">
        <v>178052</v>
      </c>
      <c r="AH2" s="413">
        <v>412</v>
      </c>
      <c r="AJ2" s="25"/>
      <c r="AM2" s="25"/>
      <c r="AO2" s="2">
        <v>24422920</v>
      </c>
      <c r="AP2">
        <v>23807796</v>
      </c>
    </row>
    <row r="3" spans="2:42" ht="18" thickBot="1" x14ac:dyDescent="0.25">
      <c r="D3" s="5"/>
      <c r="E3" s="45"/>
      <c r="I3" s="225"/>
      <c r="O3" s="261"/>
      <c r="S3" s="281"/>
      <c r="T3" s="281"/>
      <c r="U3" s="281"/>
      <c r="V3" s="281"/>
      <c r="Y3" s="214"/>
      <c r="Z3" s="16"/>
      <c r="AJ3" s="25"/>
      <c r="AM3" s="25"/>
      <c r="AO3" s="2">
        <v>74893116</v>
      </c>
      <c r="AP3">
        <v>73615460</v>
      </c>
    </row>
    <row r="4" spans="2:42" ht="18.399999999999999" customHeight="1" x14ac:dyDescent="0.15">
      <c r="B4" s="329" t="s">
        <v>326</v>
      </c>
      <c r="C4" s="524" t="s">
        <v>0</v>
      </c>
      <c r="D4" s="204" t="s">
        <v>10</v>
      </c>
      <c r="E4" s="205" t="s">
        <v>11</v>
      </c>
      <c r="F4" s="206" t="s">
        <v>13</v>
      </c>
      <c r="G4" s="205" t="s">
        <v>1</v>
      </c>
      <c r="H4" s="204" t="s">
        <v>17</v>
      </c>
      <c r="I4" s="205" t="s">
        <v>7</v>
      </c>
      <c r="J4" s="205" t="s">
        <v>308</v>
      </c>
      <c r="K4" s="205" t="s">
        <v>259</v>
      </c>
      <c r="L4" s="206" t="s">
        <v>18</v>
      </c>
      <c r="M4" s="206" t="s">
        <v>19</v>
      </c>
      <c r="N4" s="209" t="s">
        <v>9</v>
      </c>
      <c r="O4" s="262" t="s">
        <v>8</v>
      </c>
      <c r="P4" s="208" t="s">
        <v>3</v>
      </c>
      <c r="Q4" s="209" t="s">
        <v>2</v>
      </c>
      <c r="R4" s="209" t="s">
        <v>4</v>
      </c>
      <c r="S4" s="209" t="s">
        <v>325</v>
      </c>
      <c r="T4" s="209" t="s">
        <v>1456</v>
      </c>
      <c r="U4" s="209" t="s">
        <v>1457</v>
      </c>
      <c r="V4" s="209" t="s">
        <v>1458</v>
      </c>
      <c r="W4" s="282" t="s">
        <v>1454</v>
      </c>
      <c r="X4" s="209" t="s">
        <v>1455</v>
      </c>
      <c r="Y4" s="207" t="s">
        <v>1229</v>
      </c>
      <c r="Z4" s="516" t="s">
        <v>5150</v>
      </c>
      <c r="AA4" s="498" t="s">
        <v>5155</v>
      </c>
      <c r="AB4" s="505"/>
      <c r="AC4" s="6"/>
      <c r="AD4" s="1"/>
    </row>
    <row r="5" spans="2:42" x14ac:dyDescent="0.15">
      <c r="B5" s="330" t="s">
        <v>2842</v>
      </c>
      <c r="C5" s="525">
        <v>42737</v>
      </c>
      <c r="D5" s="198" t="s">
        <v>1554</v>
      </c>
      <c r="E5" s="53" t="s">
        <v>1391</v>
      </c>
      <c r="F5" s="198" t="s">
        <v>3803</v>
      </c>
      <c r="G5" s="3" t="s">
        <v>371</v>
      </c>
      <c r="H5" s="53" t="s">
        <v>384</v>
      </c>
      <c r="I5" s="3" t="s">
        <v>1428</v>
      </c>
      <c r="J5" s="4" t="s">
        <v>264</v>
      </c>
      <c r="K5" s="4" t="s">
        <v>538</v>
      </c>
      <c r="L5" s="4" t="s">
        <v>1419</v>
      </c>
      <c r="M5" s="43" t="s">
        <v>1566</v>
      </c>
      <c r="N5" s="255">
        <v>300000</v>
      </c>
      <c r="O5" s="265">
        <v>60</v>
      </c>
      <c r="P5" s="270">
        <v>1</v>
      </c>
      <c r="Q5" s="255">
        <v>180000</v>
      </c>
      <c r="R5" s="283">
        <v>180000</v>
      </c>
      <c r="S5" s="283">
        <v>25506</v>
      </c>
      <c r="T5" s="287">
        <v>0</v>
      </c>
      <c r="U5" s="287">
        <v>1</v>
      </c>
      <c r="V5" s="287">
        <v>0</v>
      </c>
      <c r="W5" s="283">
        <v>18000</v>
      </c>
      <c r="X5" s="283">
        <v>0</v>
      </c>
      <c r="Y5" s="199" t="s">
        <v>1392</v>
      </c>
      <c r="Z5" s="517" t="s">
        <v>5166</v>
      </c>
      <c r="AA5" s="493" t="s">
        <v>1485</v>
      </c>
      <c r="AB5" s="507"/>
    </row>
    <row r="6" spans="2:42" x14ac:dyDescent="0.15">
      <c r="B6" s="330" t="s">
        <v>2843</v>
      </c>
      <c r="C6" s="525">
        <v>42739</v>
      </c>
      <c r="D6" s="198" t="s">
        <v>1558</v>
      </c>
      <c r="E6" s="53" t="s">
        <v>1391</v>
      </c>
      <c r="F6" s="198" t="s">
        <v>3807</v>
      </c>
      <c r="G6" s="3" t="s">
        <v>1421</v>
      </c>
      <c r="H6" s="53" t="s">
        <v>1422</v>
      </c>
      <c r="I6" s="3" t="s">
        <v>1423</v>
      </c>
      <c r="J6" s="4" t="s">
        <v>294</v>
      </c>
      <c r="K6" s="4" t="s">
        <v>1165</v>
      </c>
      <c r="L6" s="4" t="s">
        <v>1409</v>
      </c>
      <c r="M6" s="43"/>
      <c r="N6" s="255">
        <v>42000</v>
      </c>
      <c r="O6" s="265">
        <v>60</v>
      </c>
      <c r="P6" s="270">
        <v>1</v>
      </c>
      <c r="Q6" s="255">
        <v>25200</v>
      </c>
      <c r="R6" s="283">
        <v>25200</v>
      </c>
      <c r="S6" s="283">
        <v>8548</v>
      </c>
      <c r="T6" s="287">
        <v>0</v>
      </c>
      <c r="U6" s="287">
        <v>0</v>
      </c>
      <c r="V6" s="287">
        <v>0</v>
      </c>
      <c r="W6" s="283">
        <v>0</v>
      </c>
      <c r="X6" s="283">
        <v>0</v>
      </c>
      <c r="Y6" s="199" t="s">
        <v>1395</v>
      </c>
      <c r="Z6" s="517" t="s">
        <v>5166</v>
      </c>
      <c r="AA6" s="493" t="s">
        <v>1485</v>
      </c>
      <c r="AB6" s="507"/>
    </row>
    <row r="7" spans="2:42" x14ac:dyDescent="0.15">
      <c r="B7" s="330" t="s">
        <v>2844</v>
      </c>
      <c r="C7" s="525">
        <v>42740</v>
      </c>
      <c r="D7" s="198" t="s">
        <v>1553</v>
      </c>
      <c r="E7" s="53" t="s">
        <v>1396</v>
      </c>
      <c r="F7" s="198" t="s">
        <v>3799</v>
      </c>
      <c r="G7" s="3" t="s">
        <v>1110</v>
      </c>
      <c r="H7" s="53" t="s">
        <v>796</v>
      </c>
      <c r="I7" s="3" t="s">
        <v>1428</v>
      </c>
      <c r="J7" s="3" t="s">
        <v>310</v>
      </c>
      <c r="K7" s="3" t="s">
        <v>1539</v>
      </c>
      <c r="L7" s="3" t="s">
        <v>1550</v>
      </c>
      <c r="M7" s="53" t="s">
        <v>1551</v>
      </c>
      <c r="N7" s="255">
        <v>430000</v>
      </c>
      <c r="O7" s="265">
        <v>60</v>
      </c>
      <c r="P7" s="270">
        <v>1</v>
      </c>
      <c r="Q7" s="255">
        <v>258000</v>
      </c>
      <c r="R7" s="283">
        <v>258000</v>
      </c>
      <c r="S7" s="283">
        <v>76220</v>
      </c>
      <c r="T7" s="287">
        <v>0</v>
      </c>
      <c r="U7" s="287">
        <v>1</v>
      </c>
      <c r="V7" s="287">
        <v>0</v>
      </c>
      <c r="W7" s="283">
        <v>25800</v>
      </c>
      <c r="X7" s="283">
        <v>0</v>
      </c>
      <c r="Y7" s="199" t="s">
        <v>1392</v>
      </c>
      <c r="Z7" s="517" t="s">
        <v>5532</v>
      </c>
      <c r="AA7" s="493" t="s">
        <v>1485</v>
      </c>
      <c r="AB7" s="507"/>
    </row>
    <row r="8" spans="2:42" x14ac:dyDescent="0.15">
      <c r="B8" s="330" t="s">
        <v>2845</v>
      </c>
      <c r="C8" s="525">
        <v>42740</v>
      </c>
      <c r="D8" s="198" t="s">
        <v>1555</v>
      </c>
      <c r="E8" s="53" t="s">
        <v>1396</v>
      </c>
      <c r="F8" s="198" t="s">
        <v>3799</v>
      </c>
      <c r="G8" s="3" t="s">
        <v>1110</v>
      </c>
      <c r="H8" s="53" t="s">
        <v>803</v>
      </c>
      <c r="I8" s="3" t="s">
        <v>1542</v>
      </c>
      <c r="J8" s="4" t="s">
        <v>270</v>
      </c>
      <c r="K8" s="4" t="s">
        <v>539</v>
      </c>
      <c r="L8" s="4" t="s">
        <v>1567</v>
      </c>
      <c r="M8" s="43" t="s">
        <v>1568</v>
      </c>
      <c r="N8" s="255">
        <v>288000</v>
      </c>
      <c r="O8" s="265">
        <v>60</v>
      </c>
      <c r="P8" s="270">
        <v>1</v>
      </c>
      <c r="Q8" s="255">
        <v>172800</v>
      </c>
      <c r="R8" s="283">
        <v>172800</v>
      </c>
      <c r="S8" s="283">
        <v>50999</v>
      </c>
      <c r="T8" s="287">
        <v>1</v>
      </c>
      <c r="U8" s="287">
        <v>0</v>
      </c>
      <c r="V8" s="287">
        <v>0</v>
      </c>
      <c r="W8" s="283">
        <v>0</v>
      </c>
      <c r="X8" s="283">
        <v>0</v>
      </c>
      <c r="Y8" s="199" t="s">
        <v>1395</v>
      </c>
      <c r="Z8" s="517" t="s">
        <v>5449</v>
      </c>
      <c r="AA8" s="493" t="s">
        <v>1485</v>
      </c>
      <c r="AB8" s="507"/>
    </row>
    <row r="9" spans="2:42" x14ac:dyDescent="0.15">
      <c r="B9" s="330" t="s">
        <v>2846</v>
      </c>
      <c r="C9" s="525">
        <v>42741</v>
      </c>
      <c r="D9" s="198" t="s">
        <v>1557</v>
      </c>
      <c r="E9" s="53" t="s">
        <v>1391</v>
      </c>
      <c r="F9" s="198" t="s">
        <v>3797</v>
      </c>
      <c r="G9" s="3" t="s">
        <v>362</v>
      </c>
      <c r="H9" s="53" t="s">
        <v>689</v>
      </c>
      <c r="I9" s="3" t="s">
        <v>1394</v>
      </c>
      <c r="J9" s="4" t="s">
        <v>268</v>
      </c>
      <c r="K9" s="4" t="s">
        <v>1158</v>
      </c>
      <c r="L9" s="4" t="s">
        <v>1538</v>
      </c>
      <c r="M9" s="43" t="s">
        <v>1570</v>
      </c>
      <c r="N9" s="255">
        <v>230000</v>
      </c>
      <c r="O9" s="265">
        <v>58.5</v>
      </c>
      <c r="P9" s="270">
        <v>1</v>
      </c>
      <c r="Q9" s="255">
        <v>134550</v>
      </c>
      <c r="R9" s="283">
        <v>134550</v>
      </c>
      <c r="S9" s="283">
        <v>37279</v>
      </c>
      <c r="T9" s="287">
        <v>1</v>
      </c>
      <c r="U9" s="287">
        <v>0</v>
      </c>
      <c r="V9" s="287">
        <v>0</v>
      </c>
      <c r="W9" s="283">
        <v>0</v>
      </c>
      <c r="X9" s="283">
        <v>0</v>
      </c>
      <c r="Y9" s="199" t="s">
        <v>1395</v>
      </c>
      <c r="Z9" s="517" t="s">
        <v>5166</v>
      </c>
      <c r="AA9" s="493" t="s">
        <v>1485</v>
      </c>
      <c r="AB9" s="507"/>
    </row>
    <row r="10" spans="2:42" x14ac:dyDescent="0.15">
      <c r="B10" s="330" t="s">
        <v>2847</v>
      </c>
      <c r="C10" s="525">
        <v>42741</v>
      </c>
      <c r="D10" s="198" t="s">
        <v>1559</v>
      </c>
      <c r="E10" s="53" t="s">
        <v>1391</v>
      </c>
      <c r="F10" s="198" t="s">
        <v>3810</v>
      </c>
      <c r="G10" s="3" t="s">
        <v>367</v>
      </c>
      <c r="H10" s="53"/>
      <c r="I10" s="3"/>
      <c r="J10" s="4" t="s">
        <v>261</v>
      </c>
      <c r="K10" s="4" t="s">
        <v>1153</v>
      </c>
      <c r="L10" s="190" t="s">
        <v>1588</v>
      </c>
      <c r="M10" s="43" t="s">
        <v>1572</v>
      </c>
      <c r="N10" s="255">
        <v>278000</v>
      </c>
      <c r="O10" s="265">
        <v>60</v>
      </c>
      <c r="P10" s="270">
        <v>1</v>
      </c>
      <c r="Q10" s="255">
        <v>166800</v>
      </c>
      <c r="R10" s="283">
        <v>166800</v>
      </c>
      <c r="S10" s="283">
        <v>34683</v>
      </c>
      <c r="T10" s="287">
        <v>0</v>
      </c>
      <c r="U10" s="287">
        <v>1</v>
      </c>
      <c r="V10" s="287">
        <v>0</v>
      </c>
      <c r="W10" s="283">
        <v>16680</v>
      </c>
      <c r="X10" s="283">
        <v>0</v>
      </c>
      <c r="Y10" s="199" t="s">
        <v>1392</v>
      </c>
      <c r="Z10" s="517" t="s">
        <v>5166</v>
      </c>
      <c r="AA10" s="493" t="s">
        <v>1485</v>
      </c>
      <c r="AB10" s="507"/>
    </row>
    <row r="11" spans="2:42" x14ac:dyDescent="0.15">
      <c r="B11" s="330" t="s">
        <v>2848</v>
      </c>
      <c r="C11" s="525">
        <v>42741</v>
      </c>
      <c r="D11" s="198" t="s">
        <v>1561</v>
      </c>
      <c r="E11" s="53" t="s">
        <v>1396</v>
      </c>
      <c r="F11" s="198" t="s">
        <v>3800</v>
      </c>
      <c r="G11" s="3" t="s">
        <v>50</v>
      </c>
      <c r="H11" s="53" t="s">
        <v>380</v>
      </c>
      <c r="I11" s="3" t="s">
        <v>1410</v>
      </c>
      <c r="J11" s="4" t="s">
        <v>271</v>
      </c>
      <c r="K11" s="4" t="s">
        <v>1160</v>
      </c>
      <c r="L11" s="4" t="s">
        <v>1573</v>
      </c>
      <c r="M11" s="43" t="s">
        <v>1574</v>
      </c>
      <c r="N11" s="255">
        <v>306000</v>
      </c>
      <c r="O11" s="265">
        <v>60</v>
      </c>
      <c r="P11" s="270">
        <v>1</v>
      </c>
      <c r="Q11" s="255">
        <v>183600</v>
      </c>
      <c r="R11" s="283">
        <v>183600</v>
      </c>
      <c r="S11" s="283">
        <v>40411</v>
      </c>
      <c r="T11" s="287">
        <v>0</v>
      </c>
      <c r="U11" s="287">
        <v>1</v>
      </c>
      <c r="V11" s="287">
        <v>0</v>
      </c>
      <c r="W11" s="283">
        <v>18360</v>
      </c>
      <c r="X11" s="283">
        <v>0</v>
      </c>
      <c r="Y11" s="199" t="s">
        <v>1392</v>
      </c>
      <c r="Z11" s="517" t="s">
        <v>5166</v>
      </c>
      <c r="AA11" s="493" t="s">
        <v>1485</v>
      </c>
      <c r="AB11" s="507"/>
    </row>
    <row r="12" spans="2:42" x14ac:dyDescent="0.15">
      <c r="B12" s="330" t="s">
        <v>2849</v>
      </c>
      <c r="C12" s="525">
        <v>42741</v>
      </c>
      <c r="D12" s="198" t="s">
        <v>1564</v>
      </c>
      <c r="E12" s="53" t="s">
        <v>1391</v>
      </c>
      <c r="F12" s="198" t="s">
        <v>3797</v>
      </c>
      <c r="G12" s="3" t="s">
        <v>362</v>
      </c>
      <c r="H12" s="53" t="s">
        <v>689</v>
      </c>
      <c r="I12" s="3" t="s">
        <v>1394</v>
      </c>
      <c r="J12" s="4"/>
      <c r="K12" s="4"/>
      <c r="L12" s="4" t="s">
        <v>1579</v>
      </c>
      <c r="M12" s="43"/>
      <c r="N12" s="255">
        <v>22360</v>
      </c>
      <c r="O12" s="265">
        <v>100</v>
      </c>
      <c r="P12" s="270">
        <v>-1</v>
      </c>
      <c r="Q12" s="255">
        <v>22360</v>
      </c>
      <c r="R12" s="283">
        <v>-22360</v>
      </c>
      <c r="S12" s="283">
        <v>-22360</v>
      </c>
      <c r="T12" s="287">
        <v>0</v>
      </c>
      <c r="U12" s="287">
        <v>0</v>
      </c>
      <c r="V12" s="287">
        <v>0</v>
      </c>
      <c r="W12" s="283">
        <v>0</v>
      </c>
      <c r="X12" s="283">
        <v>0</v>
      </c>
      <c r="Y12" s="199" t="s">
        <v>1395</v>
      </c>
      <c r="Z12" s="517" t="s">
        <v>5166</v>
      </c>
      <c r="AA12" s="493" t="s">
        <v>1485</v>
      </c>
      <c r="AB12" s="507"/>
    </row>
    <row r="13" spans="2:42" x14ac:dyDescent="0.15">
      <c r="B13" s="330" t="s">
        <v>2850</v>
      </c>
      <c r="C13" s="525">
        <v>42741</v>
      </c>
      <c r="D13" s="198" t="s">
        <v>1565</v>
      </c>
      <c r="E13" s="53" t="s">
        <v>1396</v>
      </c>
      <c r="F13" s="198" t="s">
        <v>3795</v>
      </c>
      <c r="G13" s="3" t="s">
        <v>1321</v>
      </c>
      <c r="H13" s="53"/>
      <c r="I13" s="3"/>
      <c r="J13" s="4" t="s">
        <v>299</v>
      </c>
      <c r="K13" s="4" t="s">
        <v>373</v>
      </c>
      <c r="L13" s="4" t="s">
        <v>1580</v>
      </c>
      <c r="M13" s="43"/>
      <c r="N13" s="255">
        <v>800</v>
      </c>
      <c r="O13" s="265">
        <v>100</v>
      </c>
      <c r="P13" s="270">
        <v>-1</v>
      </c>
      <c r="Q13" s="255">
        <v>800</v>
      </c>
      <c r="R13" s="283">
        <v>-800</v>
      </c>
      <c r="S13" s="283">
        <v>-800</v>
      </c>
      <c r="T13" s="287">
        <v>0</v>
      </c>
      <c r="U13" s="287">
        <v>0</v>
      </c>
      <c r="V13" s="287">
        <v>0</v>
      </c>
      <c r="W13" s="283">
        <v>800</v>
      </c>
      <c r="X13" s="283">
        <v>0</v>
      </c>
      <c r="Y13" s="199" t="s">
        <v>1392</v>
      </c>
      <c r="Z13" s="517" t="s">
        <v>5533</v>
      </c>
      <c r="AA13" s="493"/>
      <c r="AB13" s="507"/>
    </row>
    <row r="14" spans="2:42" x14ac:dyDescent="0.15">
      <c r="B14" s="330" t="s">
        <v>2851</v>
      </c>
      <c r="C14" s="525">
        <v>42741</v>
      </c>
      <c r="D14" s="198" t="s">
        <v>1565</v>
      </c>
      <c r="E14" s="53" t="s">
        <v>1396</v>
      </c>
      <c r="F14" s="198" t="s">
        <v>3795</v>
      </c>
      <c r="G14" s="3" t="s">
        <v>1321</v>
      </c>
      <c r="H14" s="53"/>
      <c r="I14" s="3"/>
      <c r="J14" s="4" t="s">
        <v>299</v>
      </c>
      <c r="K14" s="4" t="s">
        <v>373</v>
      </c>
      <c r="L14" s="4" t="s">
        <v>1581</v>
      </c>
      <c r="M14" s="43"/>
      <c r="N14" s="255">
        <v>800</v>
      </c>
      <c r="O14" s="265">
        <v>100</v>
      </c>
      <c r="P14" s="270">
        <v>-1</v>
      </c>
      <c r="Q14" s="255">
        <v>800</v>
      </c>
      <c r="R14" s="283">
        <v>-800</v>
      </c>
      <c r="S14" s="283">
        <v>-800</v>
      </c>
      <c r="T14" s="287">
        <v>0</v>
      </c>
      <c r="U14" s="287">
        <v>0</v>
      </c>
      <c r="V14" s="287">
        <v>0</v>
      </c>
      <c r="W14" s="283">
        <v>800</v>
      </c>
      <c r="X14" s="283">
        <v>0</v>
      </c>
      <c r="Y14" s="199" t="s">
        <v>1392</v>
      </c>
      <c r="Z14" s="517" t="s">
        <v>5449</v>
      </c>
      <c r="AA14" s="493"/>
      <c r="AB14" s="507"/>
    </row>
    <row r="15" spans="2:42" x14ac:dyDescent="0.15">
      <c r="B15" s="330" t="s">
        <v>2852</v>
      </c>
      <c r="C15" s="525">
        <v>42741</v>
      </c>
      <c r="D15" s="198" t="s">
        <v>1582</v>
      </c>
      <c r="E15" s="53" t="s">
        <v>1396</v>
      </c>
      <c r="F15" s="198" t="s">
        <v>3796</v>
      </c>
      <c r="G15" s="3" t="s">
        <v>368</v>
      </c>
      <c r="H15" s="53" t="s">
        <v>792</v>
      </c>
      <c r="I15" s="3" t="s">
        <v>1413</v>
      </c>
      <c r="J15" s="4" t="s">
        <v>298</v>
      </c>
      <c r="K15" s="4" t="s">
        <v>1168</v>
      </c>
      <c r="L15" s="4" t="s">
        <v>1583</v>
      </c>
      <c r="M15" s="43"/>
      <c r="N15" s="255">
        <v>36000</v>
      </c>
      <c r="O15" s="265">
        <v>100</v>
      </c>
      <c r="P15" s="270">
        <v>1</v>
      </c>
      <c r="Q15" s="255">
        <v>36000</v>
      </c>
      <c r="R15" s="283">
        <v>36000</v>
      </c>
      <c r="S15" s="283">
        <v>11147</v>
      </c>
      <c r="T15" s="287">
        <v>0</v>
      </c>
      <c r="U15" s="287">
        <v>0</v>
      </c>
      <c r="V15" s="287">
        <v>0</v>
      </c>
      <c r="W15" s="283">
        <v>4153</v>
      </c>
      <c r="X15" s="283">
        <v>0</v>
      </c>
      <c r="Y15" s="199" t="s">
        <v>1392</v>
      </c>
      <c r="Z15" s="517" t="s">
        <v>5166</v>
      </c>
      <c r="AA15" s="493" t="s">
        <v>1485</v>
      </c>
      <c r="AB15" s="507"/>
    </row>
    <row r="16" spans="2:42" x14ac:dyDescent="0.15">
      <c r="B16" s="330" t="s">
        <v>2853</v>
      </c>
      <c r="C16" s="525">
        <v>42741</v>
      </c>
      <c r="D16" s="198" t="s">
        <v>1582</v>
      </c>
      <c r="E16" s="53" t="s">
        <v>1396</v>
      </c>
      <c r="F16" s="198" t="s">
        <v>3796</v>
      </c>
      <c r="G16" s="3" t="s">
        <v>368</v>
      </c>
      <c r="H16" s="53" t="s">
        <v>792</v>
      </c>
      <c r="I16" s="3" t="s">
        <v>1413</v>
      </c>
      <c r="J16" s="4" t="s">
        <v>298</v>
      </c>
      <c r="K16" s="4" t="s">
        <v>1168</v>
      </c>
      <c r="L16" s="4" t="s">
        <v>1584</v>
      </c>
      <c r="M16" s="43"/>
      <c r="N16" s="255">
        <v>36000</v>
      </c>
      <c r="O16" s="265">
        <v>100</v>
      </c>
      <c r="P16" s="270">
        <v>1</v>
      </c>
      <c r="Q16" s="255">
        <v>36000</v>
      </c>
      <c r="R16" s="283">
        <v>36000</v>
      </c>
      <c r="S16" s="283">
        <v>11147</v>
      </c>
      <c r="T16" s="287">
        <v>0</v>
      </c>
      <c r="U16" s="287">
        <v>0</v>
      </c>
      <c r="V16" s="287">
        <v>0</v>
      </c>
      <c r="W16" s="283">
        <v>4153</v>
      </c>
      <c r="X16" s="283">
        <v>0</v>
      </c>
      <c r="Y16" s="199" t="s">
        <v>1392</v>
      </c>
      <c r="Z16" s="517" t="s">
        <v>5532</v>
      </c>
      <c r="AA16" s="493" t="s">
        <v>1485</v>
      </c>
      <c r="AB16" s="507"/>
    </row>
    <row r="17" spans="2:28" x14ac:dyDescent="0.15">
      <c r="B17" s="330" t="s">
        <v>2854</v>
      </c>
      <c r="C17" s="525">
        <v>42747</v>
      </c>
      <c r="D17" s="198" t="s">
        <v>1589</v>
      </c>
      <c r="E17" s="53" t="s">
        <v>1391</v>
      </c>
      <c r="F17" s="198" t="s">
        <v>3794</v>
      </c>
      <c r="G17" s="3" t="s">
        <v>364</v>
      </c>
      <c r="H17" s="53" t="s">
        <v>506</v>
      </c>
      <c r="I17" s="3" t="s">
        <v>1433</v>
      </c>
      <c r="J17" s="4" t="s">
        <v>262</v>
      </c>
      <c r="K17" s="4" t="s">
        <v>365</v>
      </c>
      <c r="L17" s="4" t="s">
        <v>1590</v>
      </c>
      <c r="M17" s="43" t="s">
        <v>1591</v>
      </c>
      <c r="N17" s="255">
        <v>238000</v>
      </c>
      <c r="O17" s="265">
        <v>65</v>
      </c>
      <c r="P17" s="270">
        <v>1</v>
      </c>
      <c r="Q17" s="255">
        <v>154700</v>
      </c>
      <c r="R17" s="283">
        <v>154700</v>
      </c>
      <c r="S17" s="283">
        <v>56982</v>
      </c>
      <c r="T17" s="287">
        <v>1</v>
      </c>
      <c r="U17" s="287">
        <v>0</v>
      </c>
      <c r="V17" s="287">
        <v>0</v>
      </c>
      <c r="W17" s="283">
        <v>0</v>
      </c>
      <c r="X17" s="283">
        <v>0</v>
      </c>
      <c r="Y17" s="199" t="s">
        <v>1395</v>
      </c>
      <c r="Z17" s="517" t="s">
        <v>5534</v>
      </c>
      <c r="AA17" s="493" t="s">
        <v>1485</v>
      </c>
      <c r="AB17" s="507"/>
    </row>
    <row r="18" spans="2:28" x14ac:dyDescent="0.15">
      <c r="B18" s="330" t="s">
        <v>2855</v>
      </c>
      <c r="C18" s="525">
        <v>42747</v>
      </c>
      <c r="D18" s="198" t="s">
        <v>1592</v>
      </c>
      <c r="E18" s="53" t="s">
        <v>1391</v>
      </c>
      <c r="F18" s="198" t="s">
        <v>3797</v>
      </c>
      <c r="G18" s="3" t="s">
        <v>362</v>
      </c>
      <c r="H18" s="53" t="s">
        <v>689</v>
      </c>
      <c r="I18" s="3" t="s">
        <v>1394</v>
      </c>
      <c r="J18" s="4" t="s">
        <v>273</v>
      </c>
      <c r="K18" s="4" t="s">
        <v>1161</v>
      </c>
      <c r="L18" s="4" t="s">
        <v>1536</v>
      </c>
      <c r="M18" s="43" t="s">
        <v>1537</v>
      </c>
      <c r="N18" s="255">
        <v>230000</v>
      </c>
      <c r="O18" s="265">
        <v>58.5</v>
      </c>
      <c r="P18" s="270">
        <v>1</v>
      </c>
      <c r="Q18" s="255">
        <v>134550</v>
      </c>
      <c r="R18" s="283">
        <v>134550</v>
      </c>
      <c r="S18" s="283">
        <v>45035</v>
      </c>
      <c r="T18" s="287">
        <v>1</v>
      </c>
      <c r="U18" s="287">
        <v>0</v>
      </c>
      <c r="V18" s="287">
        <v>0</v>
      </c>
      <c r="W18" s="283">
        <v>0</v>
      </c>
      <c r="X18" s="283">
        <v>0</v>
      </c>
      <c r="Y18" s="199" t="s">
        <v>1395</v>
      </c>
      <c r="Z18" s="517" t="s">
        <v>5532</v>
      </c>
      <c r="AA18" s="493" t="s">
        <v>1485</v>
      </c>
      <c r="AB18" s="507"/>
    </row>
    <row r="19" spans="2:28" x14ac:dyDescent="0.15">
      <c r="B19" s="330" t="s">
        <v>2856</v>
      </c>
      <c r="C19" s="525">
        <v>42748</v>
      </c>
      <c r="D19" s="198" t="s">
        <v>1593</v>
      </c>
      <c r="E19" s="53" t="s">
        <v>1396</v>
      </c>
      <c r="F19" s="198" t="s">
        <v>3799</v>
      </c>
      <c r="G19" s="3" t="s">
        <v>1110</v>
      </c>
      <c r="H19" s="53" t="s">
        <v>802</v>
      </c>
      <c r="I19" s="3" t="s">
        <v>1417</v>
      </c>
      <c r="J19" s="4" t="s">
        <v>271</v>
      </c>
      <c r="K19" s="4" t="s">
        <v>1160</v>
      </c>
      <c r="L19" s="4" t="s">
        <v>1594</v>
      </c>
      <c r="M19" s="43" t="s">
        <v>1595</v>
      </c>
      <c r="N19" s="255">
        <v>308000</v>
      </c>
      <c r="O19" s="265">
        <v>60</v>
      </c>
      <c r="P19" s="270">
        <v>1</v>
      </c>
      <c r="Q19" s="255">
        <v>184800</v>
      </c>
      <c r="R19" s="283">
        <v>184800</v>
      </c>
      <c r="S19" s="283">
        <v>43606</v>
      </c>
      <c r="T19" s="287">
        <v>0</v>
      </c>
      <c r="U19" s="287">
        <v>1</v>
      </c>
      <c r="V19" s="287">
        <v>0</v>
      </c>
      <c r="W19" s="283">
        <v>18480</v>
      </c>
      <c r="X19" s="283">
        <v>0</v>
      </c>
      <c r="Y19" s="199" t="s">
        <v>1392</v>
      </c>
      <c r="Z19" s="517" t="s">
        <v>5535</v>
      </c>
      <c r="AA19" s="493" t="s">
        <v>1485</v>
      </c>
      <c r="AB19" s="507"/>
    </row>
    <row r="20" spans="2:28" x14ac:dyDescent="0.15">
      <c r="B20" s="330" t="s">
        <v>2857</v>
      </c>
      <c r="C20" s="525">
        <v>42748</v>
      </c>
      <c r="D20" s="198" t="s">
        <v>1596</v>
      </c>
      <c r="E20" s="53" t="s">
        <v>1391</v>
      </c>
      <c r="F20" s="198" t="s">
        <v>3794</v>
      </c>
      <c r="G20" s="3" t="s">
        <v>364</v>
      </c>
      <c r="H20" s="53" t="s">
        <v>470</v>
      </c>
      <c r="I20" s="3" t="s">
        <v>1597</v>
      </c>
      <c r="J20" s="4" t="s">
        <v>297</v>
      </c>
      <c r="K20" s="4" t="s">
        <v>369</v>
      </c>
      <c r="L20" s="4" t="s">
        <v>1509</v>
      </c>
      <c r="M20" s="43"/>
      <c r="N20" s="255">
        <v>200</v>
      </c>
      <c r="O20" s="265">
        <v>50</v>
      </c>
      <c r="P20" s="270">
        <v>100</v>
      </c>
      <c r="Q20" s="255">
        <v>100</v>
      </c>
      <c r="R20" s="283">
        <v>10000</v>
      </c>
      <c r="S20" s="283">
        <v>7200</v>
      </c>
      <c r="T20" s="287">
        <v>0</v>
      </c>
      <c r="U20" s="287">
        <v>0</v>
      </c>
      <c r="V20" s="287">
        <v>0</v>
      </c>
      <c r="W20" s="283">
        <v>0</v>
      </c>
      <c r="X20" s="283">
        <v>0</v>
      </c>
      <c r="Y20" s="199" t="s">
        <v>1395</v>
      </c>
      <c r="Z20" s="517" t="s">
        <v>5536</v>
      </c>
      <c r="AA20" s="493" t="s">
        <v>1485</v>
      </c>
      <c r="AB20" s="507"/>
    </row>
    <row r="21" spans="2:28" x14ac:dyDescent="0.15">
      <c r="B21" s="330" t="s">
        <v>2858</v>
      </c>
      <c r="C21" s="525">
        <v>42748</v>
      </c>
      <c r="D21" s="198" t="s">
        <v>1598</v>
      </c>
      <c r="E21" s="53" t="s">
        <v>1391</v>
      </c>
      <c r="F21" s="198" t="s">
        <v>3794</v>
      </c>
      <c r="G21" s="3" t="s">
        <v>364</v>
      </c>
      <c r="H21" s="53" t="s">
        <v>1447</v>
      </c>
      <c r="I21" s="3" t="s">
        <v>5171</v>
      </c>
      <c r="J21" s="4" t="s">
        <v>297</v>
      </c>
      <c r="K21" s="4" t="s">
        <v>369</v>
      </c>
      <c r="L21" s="4" t="s">
        <v>1484</v>
      </c>
      <c r="M21" s="43"/>
      <c r="N21" s="255">
        <v>200</v>
      </c>
      <c r="O21" s="265">
        <v>50</v>
      </c>
      <c r="P21" s="270">
        <v>100</v>
      </c>
      <c r="Q21" s="255">
        <v>100</v>
      </c>
      <c r="R21" s="283">
        <v>10000</v>
      </c>
      <c r="S21" s="283">
        <v>5700</v>
      </c>
      <c r="T21" s="287">
        <v>0</v>
      </c>
      <c r="U21" s="287">
        <v>0</v>
      </c>
      <c r="V21" s="287">
        <v>0</v>
      </c>
      <c r="W21" s="283">
        <v>1500</v>
      </c>
      <c r="X21" s="283">
        <v>0</v>
      </c>
      <c r="Y21" s="199" t="s">
        <v>1392</v>
      </c>
      <c r="Z21" s="517" t="s">
        <v>5537</v>
      </c>
      <c r="AA21" s="493" t="s">
        <v>1485</v>
      </c>
      <c r="AB21" s="507"/>
    </row>
    <row r="22" spans="2:28" x14ac:dyDescent="0.15">
      <c r="B22" s="330" t="s">
        <v>2859</v>
      </c>
      <c r="C22" s="525">
        <v>42748</v>
      </c>
      <c r="D22" s="198" t="s">
        <v>1599</v>
      </c>
      <c r="E22" s="53" t="s">
        <v>1391</v>
      </c>
      <c r="F22" s="198" t="s">
        <v>3794</v>
      </c>
      <c r="G22" s="3" t="s">
        <v>364</v>
      </c>
      <c r="H22" s="53" t="s">
        <v>461</v>
      </c>
      <c r="I22" s="3" t="s">
        <v>1600</v>
      </c>
      <c r="J22" s="4" t="s">
        <v>299</v>
      </c>
      <c r="K22" s="4" t="s">
        <v>373</v>
      </c>
      <c r="L22" s="4" t="s">
        <v>1601</v>
      </c>
      <c r="M22" s="43"/>
      <c r="N22" s="255">
        <v>50000</v>
      </c>
      <c r="O22" s="265">
        <v>100</v>
      </c>
      <c r="P22" s="270">
        <v>1</v>
      </c>
      <c r="Q22" s="255">
        <v>50000</v>
      </c>
      <c r="R22" s="283">
        <v>50000</v>
      </c>
      <c r="S22" s="283"/>
      <c r="T22" s="287">
        <v>0</v>
      </c>
      <c r="U22" s="287">
        <v>0</v>
      </c>
      <c r="V22" s="287">
        <v>0</v>
      </c>
      <c r="W22" s="283">
        <v>5769</v>
      </c>
      <c r="X22" s="283">
        <v>0</v>
      </c>
      <c r="Y22" s="199" t="s">
        <v>1392</v>
      </c>
      <c r="Z22" s="517" t="s">
        <v>5166</v>
      </c>
      <c r="AA22" s="493" t="s">
        <v>1485</v>
      </c>
      <c r="AB22" s="507"/>
    </row>
    <row r="23" spans="2:28" x14ac:dyDescent="0.15">
      <c r="B23" s="330" t="s">
        <v>2860</v>
      </c>
      <c r="C23" s="525">
        <v>42748</v>
      </c>
      <c r="D23" s="198" t="s">
        <v>1602</v>
      </c>
      <c r="E23" s="53" t="s">
        <v>1396</v>
      </c>
      <c r="F23" s="198" t="s">
        <v>3795</v>
      </c>
      <c r="G23" s="3" t="s">
        <v>1321</v>
      </c>
      <c r="H23" s="53"/>
      <c r="I23" s="3"/>
      <c r="J23" s="4" t="s">
        <v>299</v>
      </c>
      <c r="K23" s="4" t="s">
        <v>373</v>
      </c>
      <c r="L23" s="4" t="s">
        <v>1603</v>
      </c>
      <c r="M23" s="43"/>
      <c r="N23" s="255">
        <v>3125</v>
      </c>
      <c r="O23" s="265">
        <v>100</v>
      </c>
      <c r="P23" s="270">
        <v>-1</v>
      </c>
      <c r="Q23" s="255">
        <v>3125</v>
      </c>
      <c r="R23" s="283">
        <v>-3000</v>
      </c>
      <c r="S23" s="283">
        <v>-3000</v>
      </c>
      <c r="T23" s="287">
        <v>0</v>
      </c>
      <c r="U23" s="287">
        <v>0</v>
      </c>
      <c r="V23" s="287">
        <v>0</v>
      </c>
      <c r="W23" s="283">
        <v>3000</v>
      </c>
      <c r="X23" s="283">
        <v>0</v>
      </c>
      <c r="Y23" s="199" t="s">
        <v>1392</v>
      </c>
      <c r="Z23" s="517" t="s">
        <v>5449</v>
      </c>
      <c r="AA23" s="493"/>
      <c r="AB23" s="507"/>
    </row>
    <row r="24" spans="2:28" x14ac:dyDescent="0.15">
      <c r="B24" s="330" t="s">
        <v>2861</v>
      </c>
      <c r="C24" s="525">
        <v>42751</v>
      </c>
      <c r="D24" s="198" t="s">
        <v>1604</v>
      </c>
      <c r="E24" s="53" t="s">
        <v>1396</v>
      </c>
      <c r="F24" s="198" t="s">
        <v>3808</v>
      </c>
      <c r="G24" s="3" t="s">
        <v>1605</v>
      </c>
      <c r="H24" s="53"/>
      <c r="I24" s="3"/>
      <c r="J24" s="4" t="s">
        <v>296</v>
      </c>
      <c r="K24" s="4" t="s">
        <v>1167</v>
      </c>
      <c r="L24" s="4" t="s">
        <v>1468</v>
      </c>
      <c r="M24" s="43"/>
      <c r="N24" s="255">
        <v>3500</v>
      </c>
      <c r="O24" s="265">
        <v>60</v>
      </c>
      <c r="P24" s="270">
        <v>1</v>
      </c>
      <c r="Q24" s="255">
        <v>2100</v>
      </c>
      <c r="R24" s="283">
        <v>2100</v>
      </c>
      <c r="S24" s="283">
        <v>0</v>
      </c>
      <c r="T24" s="287">
        <v>0</v>
      </c>
      <c r="U24" s="287">
        <v>0</v>
      </c>
      <c r="V24" s="287">
        <v>0</v>
      </c>
      <c r="W24" s="283">
        <v>0</v>
      </c>
      <c r="X24" s="283">
        <v>0</v>
      </c>
      <c r="Y24" s="199" t="s">
        <v>1395</v>
      </c>
      <c r="Z24" s="517" t="s">
        <v>5534</v>
      </c>
      <c r="AA24" s="493" t="s">
        <v>1485</v>
      </c>
      <c r="AB24" s="507"/>
    </row>
    <row r="25" spans="2:28" x14ac:dyDescent="0.15">
      <c r="B25" s="330" t="s">
        <v>2862</v>
      </c>
      <c r="C25" s="525">
        <v>42752</v>
      </c>
      <c r="D25" s="198" t="s">
        <v>1606</v>
      </c>
      <c r="E25" s="53" t="s">
        <v>1396</v>
      </c>
      <c r="F25" s="198" t="s">
        <v>3811</v>
      </c>
      <c r="G25" s="3" t="s">
        <v>372</v>
      </c>
      <c r="H25" s="53"/>
      <c r="I25" s="3"/>
      <c r="J25" s="4" t="s">
        <v>271</v>
      </c>
      <c r="K25" s="4" t="s">
        <v>1160</v>
      </c>
      <c r="L25" s="4" t="s">
        <v>1500</v>
      </c>
      <c r="M25" s="43" t="s">
        <v>1607</v>
      </c>
      <c r="N25" s="255">
        <v>205000</v>
      </c>
      <c r="O25" s="265">
        <v>100</v>
      </c>
      <c r="P25" s="270">
        <v>1</v>
      </c>
      <c r="Q25" s="255">
        <v>205000</v>
      </c>
      <c r="R25" s="283">
        <v>205000</v>
      </c>
      <c r="S25" s="283">
        <v>78894</v>
      </c>
      <c r="T25" s="287">
        <v>1</v>
      </c>
      <c r="U25" s="287">
        <v>0</v>
      </c>
      <c r="V25" s="287">
        <v>0</v>
      </c>
      <c r="W25" s="283">
        <v>0</v>
      </c>
      <c r="X25" s="283">
        <v>0</v>
      </c>
      <c r="Y25" s="199" t="s">
        <v>1395</v>
      </c>
      <c r="Z25" s="517" t="s">
        <v>5537</v>
      </c>
      <c r="AA25" s="493" t="s">
        <v>1485</v>
      </c>
      <c r="AB25" s="507"/>
    </row>
    <row r="26" spans="2:28" x14ac:dyDescent="0.15">
      <c r="B26" s="330" t="s">
        <v>2863</v>
      </c>
      <c r="C26" s="525">
        <v>42753</v>
      </c>
      <c r="D26" s="198" t="s">
        <v>1608</v>
      </c>
      <c r="E26" s="53" t="s">
        <v>1391</v>
      </c>
      <c r="F26" s="198" t="s">
        <v>3794</v>
      </c>
      <c r="G26" s="3" t="s">
        <v>364</v>
      </c>
      <c r="H26" s="53" t="s">
        <v>504</v>
      </c>
      <c r="I26" s="3" t="s">
        <v>1436</v>
      </c>
      <c r="J26" s="4" t="s">
        <v>292</v>
      </c>
      <c r="K26" s="4" t="s">
        <v>1163</v>
      </c>
      <c r="L26" s="4" t="s">
        <v>1609</v>
      </c>
      <c r="M26" s="191" t="s">
        <v>1610</v>
      </c>
      <c r="N26" s="255">
        <v>428000</v>
      </c>
      <c r="O26" s="265">
        <v>65</v>
      </c>
      <c r="P26" s="270">
        <v>1</v>
      </c>
      <c r="Q26" s="255">
        <v>278200</v>
      </c>
      <c r="R26" s="283">
        <v>278200</v>
      </c>
      <c r="S26" s="283">
        <v>85826</v>
      </c>
      <c r="T26" s="287">
        <v>1</v>
      </c>
      <c r="U26" s="287">
        <v>0</v>
      </c>
      <c r="V26" s="287">
        <v>0</v>
      </c>
      <c r="W26" s="283">
        <v>0</v>
      </c>
      <c r="X26" s="283">
        <v>0</v>
      </c>
      <c r="Y26" s="199" t="s">
        <v>1395</v>
      </c>
      <c r="Z26" s="517" t="s">
        <v>5538</v>
      </c>
      <c r="AA26" s="493" t="s">
        <v>1485</v>
      </c>
      <c r="AB26" s="507"/>
    </row>
    <row r="27" spans="2:28" x14ac:dyDescent="0.15">
      <c r="B27" s="330" t="s">
        <v>2864</v>
      </c>
      <c r="C27" s="526">
        <v>42755</v>
      </c>
      <c r="D27" s="191" t="s">
        <v>1564</v>
      </c>
      <c r="E27" s="43" t="s">
        <v>1391</v>
      </c>
      <c r="F27" s="191" t="s">
        <v>3794</v>
      </c>
      <c r="G27" s="4" t="s">
        <v>364</v>
      </c>
      <c r="H27" s="43" t="s">
        <v>468</v>
      </c>
      <c r="I27" s="4" t="s">
        <v>1510</v>
      </c>
      <c r="J27" s="4" t="s">
        <v>266</v>
      </c>
      <c r="K27" s="4" t="s">
        <v>1156</v>
      </c>
      <c r="L27" s="4" t="s">
        <v>1611</v>
      </c>
      <c r="M27" s="43" t="s">
        <v>1612</v>
      </c>
      <c r="N27" s="255">
        <v>290000</v>
      </c>
      <c r="O27" s="265">
        <v>60</v>
      </c>
      <c r="P27" s="270">
        <v>1</v>
      </c>
      <c r="Q27" s="255">
        <v>174000</v>
      </c>
      <c r="R27" s="283">
        <v>174000</v>
      </c>
      <c r="S27" s="283">
        <v>44158</v>
      </c>
      <c r="T27" s="287">
        <v>1</v>
      </c>
      <c r="U27" s="287">
        <v>0</v>
      </c>
      <c r="V27" s="287">
        <v>0</v>
      </c>
      <c r="W27" s="283">
        <v>0</v>
      </c>
      <c r="X27" s="283">
        <v>0</v>
      </c>
      <c r="Y27" s="199" t="s">
        <v>1395</v>
      </c>
      <c r="Z27" s="517" t="s">
        <v>5539</v>
      </c>
      <c r="AA27" s="493" t="s">
        <v>1485</v>
      </c>
      <c r="AB27" s="507"/>
    </row>
    <row r="28" spans="2:28" x14ac:dyDescent="0.15">
      <c r="B28" s="330" t="s">
        <v>2865</v>
      </c>
      <c r="C28" s="526">
        <v>42755</v>
      </c>
      <c r="D28" s="191" t="s">
        <v>1565</v>
      </c>
      <c r="E28" s="43" t="s">
        <v>1391</v>
      </c>
      <c r="F28" s="191" t="s">
        <v>3794</v>
      </c>
      <c r="G28" s="4" t="s">
        <v>364</v>
      </c>
      <c r="H28" s="43" t="s">
        <v>492</v>
      </c>
      <c r="I28" s="4" t="s">
        <v>1431</v>
      </c>
      <c r="J28" s="4" t="s">
        <v>268</v>
      </c>
      <c r="K28" s="4" t="s">
        <v>1158</v>
      </c>
      <c r="L28" s="4" t="s">
        <v>1577</v>
      </c>
      <c r="M28" s="43" t="s">
        <v>1613</v>
      </c>
      <c r="N28" s="255">
        <v>230000</v>
      </c>
      <c r="O28" s="265">
        <v>65</v>
      </c>
      <c r="P28" s="270">
        <v>1</v>
      </c>
      <c r="Q28" s="255">
        <v>149500</v>
      </c>
      <c r="R28" s="283">
        <v>149500</v>
      </c>
      <c r="S28" s="283">
        <v>39579</v>
      </c>
      <c r="T28" s="287">
        <v>0</v>
      </c>
      <c r="U28" s="287">
        <v>1</v>
      </c>
      <c r="V28" s="287">
        <v>0</v>
      </c>
      <c r="W28" s="283">
        <v>17250</v>
      </c>
      <c r="X28" s="283">
        <v>0</v>
      </c>
      <c r="Y28" s="199" t="s">
        <v>1392</v>
      </c>
      <c r="Z28" s="517" t="s">
        <v>5167</v>
      </c>
      <c r="AA28" s="493" t="s">
        <v>1485</v>
      </c>
      <c r="AB28" s="507"/>
    </row>
    <row r="29" spans="2:28" x14ac:dyDescent="0.15">
      <c r="B29" s="330" t="s">
        <v>2866</v>
      </c>
      <c r="C29" s="526">
        <v>42755</v>
      </c>
      <c r="D29" s="191" t="s">
        <v>1593</v>
      </c>
      <c r="E29" s="43" t="s">
        <v>1396</v>
      </c>
      <c r="F29" s="191" t="s">
        <v>3795</v>
      </c>
      <c r="G29" s="4" t="s">
        <v>1321</v>
      </c>
      <c r="H29" s="43"/>
      <c r="I29" s="4"/>
      <c r="J29" s="4"/>
      <c r="K29" s="4"/>
      <c r="L29" s="4" t="s">
        <v>1418</v>
      </c>
      <c r="M29" s="43"/>
      <c r="N29" s="255">
        <v>5000</v>
      </c>
      <c r="O29" s="265">
        <v>100</v>
      </c>
      <c r="P29" s="270">
        <v>-1</v>
      </c>
      <c r="Q29" s="255">
        <v>5000</v>
      </c>
      <c r="R29" s="283">
        <v>-5000</v>
      </c>
      <c r="S29" s="283">
        <v>-5000</v>
      </c>
      <c r="T29" s="287">
        <v>0</v>
      </c>
      <c r="U29" s="287">
        <v>0</v>
      </c>
      <c r="V29" s="287">
        <v>0</v>
      </c>
      <c r="W29" s="283">
        <v>5000</v>
      </c>
      <c r="X29" s="283">
        <v>0</v>
      </c>
      <c r="Y29" s="199" t="s">
        <v>1392</v>
      </c>
      <c r="Z29" s="517" t="s">
        <v>5449</v>
      </c>
      <c r="AA29" s="493"/>
      <c r="AB29" s="507"/>
    </row>
    <row r="30" spans="2:28" x14ac:dyDescent="0.15">
      <c r="B30" s="330" t="s">
        <v>2867</v>
      </c>
      <c r="C30" s="526">
        <v>42755</v>
      </c>
      <c r="D30" s="191" t="s">
        <v>1614</v>
      </c>
      <c r="E30" s="43" t="s">
        <v>1391</v>
      </c>
      <c r="F30" s="191" t="s">
        <v>3794</v>
      </c>
      <c r="G30" s="4" t="s">
        <v>364</v>
      </c>
      <c r="H30" s="43" t="s">
        <v>476</v>
      </c>
      <c r="I30" s="4" t="s">
        <v>1405</v>
      </c>
      <c r="J30" s="4" t="s">
        <v>299</v>
      </c>
      <c r="K30" s="4" t="s">
        <v>373</v>
      </c>
      <c r="L30" s="4" t="s">
        <v>1615</v>
      </c>
      <c r="M30" s="43"/>
      <c r="N30" s="255">
        <v>71500</v>
      </c>
      <c r="O30" s="265">
        <v>100</v>
      </c>
      <c r="P30" s="270">
        <v>1</v>
      </c>
      <c r="Q30" s="255">
        <v>71500</v>
      </c>
      <c r="R30" s="283">
        <v>71500</v>
      </c>
      <c r="S30" s="283">
        <v>45250</v>
      </c>
      <c r="T30" s="287">
        <v>0</v>
      </c>
      <c r="U30" s="287">
        <v>0</v>
      </c>
      <c r="V30" s="287">
        <v>0</v>
      </c>
      <c r="W30" s="283">
        <v>8250</v>
      </c>
      <c r="X30" s="283">
        <v>0</v>
      </c>
      <c r="Y30" s="199" t="s">
        <v>1392</v>
      </c>
      <c r="Z30" s="517" t="s">
        <v>5537</v>
      </c>
      <c r="AA30" s="493" t="s">
        <v>1485</v>
      </c>
      <c r="AB30" s="507"/>
    </row>
    <row r="31" spans="2:28" x14ac:dyDescent="0.15">
      <c r="B31" s="330" t="s">
        <v>2868</v>
      </c>
      <c r="C31" s="525">
        <v>42755</v>
      </c>
      <c r="D31" s="198" t="s">
        <v>1616</v>
      </c>
      <c r="E31" s="53" t="s">
        <v>1391</v>
      </c>
      <c r="F31" s="198" t="s">
        <v>3794</v>
      </c>
      <c r="G31" s="3" t="s">
        <v>364</v>
      </c>
      <c r="H31" s="53" t="s">
        <v>455</v>
      </c>
      <c r="I31" s="3" t="s">
        <v>1404</v>
      </c>
      <c r="J31" s="4" t="s">
        <v>271</v>
      </c>
      <c r="K31" s="4" t="s">
        <v>1160</v>
      </c>
      <c r="L31" s="4" t="s">
        <v>1617</v>
      </c>
      <c r="M31" s="43" t="s">
        <v>1618</v>
      </c>
      <c r="N31" s="255">
        <v>339000</v>
      </c>
      <c r="O31" s="265">
        <v>65</v>
      </c>
      <c r="P31" s="270">
        <v>1</v>
      </c>
      <c r="Q31" s="255">
        <v>220349</v>
      </c>
      <c r="R31" s="283">
        <v>220349</v>
      </c>
      <c r="S31" s="283">
        <v>47685</v>
      </c>
      <c r="T31" s="287">
        <v>1</v>
      </c>
      <c r="U31" s="287">
        <v>0</v>
      </c>
      <c r="V31" s="287">
        <v>0</v>
      </c>
      <c r="W31" s="283">
        <v>25425</v>
      </c>
      <c r="X31" s="283">
        <v>0</v>
      </c>
      <c r="Y31" s="199" t="s">
        <v>1395</v>
      </c>
      <c r="Z31" s="517" t="s">
        <v>5532</v>
      </c>
      <c r="AA31" s="493" t="s">
        <v>1485</v>
      </c>
      <c r="AB31" s="507"/>
    </row>
    <row r="32" spans="2:28" x14ac:dyDescent="0.15">
      <c r="B32" s="330" t="s">
        <v>2869</v>
      </c>
      <c r="C32" s="525">
        <v>42755</v>
      </c>
      <c r="D32" s="198" t="s">
        <v>1619</v>
      </c>
      <c r="E32" s="53" t="s">
        <v>1391</v>
      </c>
      <c r="F32" s="198" t="s">
        <v>3798</v>
      </c>
      <c r="G32" s="3" t="s">
        <v>370</v>
      </c>
      <c r="H32" s="53" t="s">
        <v>1491</v>
      </c>
      <c r="I32" s="3" t="s">
        <v>1492</v>
      </c>
      <c r="J32" s="3" t="s">
        <v>265</v>
      </c>
      <c r="K32" s="3" t="s">
        <v>1155</v>
      </c>
      <c r="L32" s="3" t="s">
        <v>1620</v>
      </c>
      <c r="M32" s="53" t="s">
        <v>1621</v>
      </c>
      <c r="N32" s="258">
        <v>387000</v>
      </c>
      <c r="O32" s="266">
        <v>60</v>
      </c>
      <c r="P32" s="272">
        <v>1</v>
      </c>
      <c r="Q32" s="258">
        <v>232200</v>
      </c>
      <c r="R32" s="286">
        <v>232200</v>
      </c>
      <c r="S32" s="286">
        <v>-100310</v>
      </c>
      <c r="T32" s="288">
        <v>0</v>
      </c>
      <c r="U32" s="288">
        <v>1</v>
      </c>
      <c r="V32" s="288">
        <v>0</v>
      </c>
      <c r="W32" s="286">
        <v>23220</v>
      </c>
      <c r="X32" s="286">
        <v>0</v>
      </c>
      <c r="Y32" s="200" t="s">
        <v>1392</v>
      </c>
      <c r="Z32" s="517" t="s">
        <v>5540</v>
      </c>
      <c r="AA32" s="499" t="s">
        <v>1485</v>
      </c>
      <c r="AB32" s="508"/>
    </row>
    <row r="33" spans="2:28" x14ac:dyDescent="0.15">
      <c r="B33" s="330" t="s">
        <v>2870</v>
      </c>
      <c r="C33" s="526">
        <v>42755</v>
      </c>
      <c r="D33" s="191" t="s">
        <v>1622</v>
      </c>
      <c r="E33" s="43" t="s">
        <v>1391</v>
      </c>
      <c r="F33" s="191" t="s">
        <v>3794</v>
      </c>
      <c r="G33" s="4" t="s">
        <v>364</v>
      </c>
      <c r="H33" s="43" t="s">
        <v>444</v>
      </c>
      <c r="I33" s="4" t="s">
        <v>1440</v>
      </c>
      <c r="J33" s="4" t="s">
        <v>299</v>
      </c>
      <c r="K33" s="4" t="s">
        <v>373</v>
      </c>
      <c r="L33" s="4" t="s">
        <v>1623</v>
      </c>
      <c r="M33" s="43"/>
      <c r="N33" s="255">
        <v>30000</v>
      </c>
      <c r="O33" s="265">
        <v>100</v>
      </c>
      <c r="P33" s="270">
        <v>1</v>
      </c>
      <c r="Q33" s="255">
        <v>30000</v>
      </c>
      <c r="R33" s="283">
        <v>30000</v>
      </c>
      <c r="S33" s="283">
        <v>7000</v>
      </c>
      <c r="T33" s="287">
        <v>0</v>
      </c>
      <c r="U33" s="287">
        <v>0</v>
      </c>
      <c r="V33" s="287">
        <v>0</v>
      </c>
      <c r="W33" s="283">
        <v>3000</v>
      </c>
      <c r="X33" s="283">
        <v>0</v>
      </c>
      <c r="Y33" s="199" t="s">
        <v>1392</v>
      </c>
      <c r="Z33" s="517" t="s">
        <v>5166</v>
      </c>
      <c r="AA33" s="493" t="s">
        <v>1485</v>
      </c>
      <c r="AB33" s="507"/>
    </row>
    <row r="34" spans="2:28" x14ac:dyDescent="0.15">
      <c r="B34" s="330" t="s">
        <v>2871</v>
      </c>
      <c r="C34" s="525">
        <v>42756</v>
      </c>
      <c r="D34" s="198" t="s">
        <v>1562</v>
      </c>
      <c r="E34" s="53" t="s">
        <v>1396</v>
      </c>
      <c r="F34" s="198" t="s">
        <v>3800</v>
      </c>
      <c r="G34" s="3" t="s">
        <v>50</v>
      </c>
      <c r="H34" s="53" t="s">
        <v>1434</v>
      </c>
      <c r="I34" s="3" t="s">
        <v>1435</v>
      </c>
      <c r="J34" s="3" t="s">
        <v>310</v>
      </c>
      <c r="K34" s="3" t="s">
        <v>1539</v>
      </c>
      <c r="L34" s="3" t="s">
        <v>1575</v>
      </c>
      <c r="M34" s="53" t="s">
        <v>1576</v>
      </c>
      <c r="N34" s="255">
        <v>430000</v>
      </c>
      <c r="O34" s="265">
        <v>60</v>
      </c>
      <c r="P34" s="270">
        <v>1</v>
      </c>
      <c r="Q34" s="255">
        <v>258000</v>
      </c>
      <c r="R34" s="283">
        <v>258000</v>
      </c>
      <c r="S34" s="283">
        <v>73320</v>
      </c>
      <c r="T34" s="287">
        <v>0</v>
      </c>
      <c r="U34" s="287">
        <v>1</v>
      </c>
      <c r="V34" s="287">
        <v>0</v>
      </c>
      <c r="W34" s="283">
        <v>25800</v>
      </c>
      <c r="X34" s="283">
        <v>0</v>
      </c>
      <c r="Y34" s="199" t="s">
        <v>1392</v>
      </c>
      <c r="Z34" s="517" t="s">
        <v>5540</v>
      </c>
      <c r="AA34" s="493" t="s">
        <v>1485</v>
      </c>
      <c r="AB34" s="507"/>
    </row>
    <row r="35" spans="2:28" x14ac:dyDescent="0.15">
      <c r="B35" s="330" t="s">
        <v>2872</v>
      </c>
      <c r="C35" s="525">
        <v>42756</v>
      </c>
      <c r="D35" s="198" t="s">
        <v>1614</v>
      </c>
      <c r="E35" s="53" t="s">
        <v>1396</v>
      </c>
      <c r="F35" s="198" t="s">
        <v>3800</v>
      </c>
      <c r="G35" s="3" t="s">
        <v>50</v>
      </c>
      <c r="H35" s="53" t="s">
        <v>380</v>
      </c>
      <c r="I35" s="3" t="s">
        <v>1410</v>
      </c>
      <c r="J35" s="3" t="s">
        <v>272</v>
      </c>
      <c r="K35" s="3" t="s">
        <v>363</v>
      </c>
      <c r="L35" s="197" t="s">
        <v>1624</v>
      </c>
      <c r="M35" s="53" t="s">
        <v>1625</v>
      </c>
      <c r="N35" s="255">
        <v>280000</v>
      </c>
      <c r="O35" s="265">
        <v>60</v>
      </c>
      <c r="P35" s="270">
        <v>1</v>
      </c>
      <c r="Q35" s="255">
        <v>168000</v>
      </c>
      <c r="R35" s="283">
        <v>168000</v>
      </c>
      <c r="S35" s="283">
        <v>44054</v>
      </c>
      <c r="T35" s="287">
        <v>0</v>
      </c>
      <c r="U35" s="287">
        <v>1</v>
      </c>
      <c r="V35" s="287">
        <v>0</v>
      </c>
      <c r="W35" s="283">
        <v>16800</v>
      </c>
      <c r="X35" s="283">
        <v>0</v>
      </c>
      <c r="Y35" s="199" t="s">
        <v>1392</v>
      </c>
      <c r="Z35" s="517" t="s">
        <v>5166</v>
      </c>
      <c r="AA35" s="493" t="s">
        <v>1485</v>
      </c>
      <c r="AB35" s="507"/>
    </row>
    <row r="36" spans="2:28" x14ac:dyDescent="0.15">
      <c r="B36" s="330" t="s">
        <v>2873</v>
      </c>
      <c r="C36" s="525">
        <v>42756</v>
      </c>
      <c r="D36" s="198" t="s">
        <v>1626</v>
      </c>
      <c r="E36" s="53" t="s">
        <v>1396</v>
      </c>
      <c r="F36" s="198" t="s">
        <v>3800</v>
      </c>
      <c r="G36" s="3" t="s">
        <v>50</v>
      </c>
      <c r="H36" s="43" t="s">
        <v>1434</v>
      </c>
      <c r="I36" s="4" t="s">
        <v>1435</v>
      </c>
      <c r="J36" s="4" t="s">
        <v>271</v>
      </c>
      <c r="K36" s="4" t="s">
        <v>1160</v>
      </c>
      <c r="L36" s="190" t="s">
        <v>1627</v>
      </c>
      <c r="M36" s="43" t="s">
        <v>1628</v>
      </c>
      <c r="N36" s="255">
        <v>234000</v>
      </c>
      <c r="O36" s="265">
        <v>100</v>
      </c>
      <c r="P36" s="270">
        <v>1</v>
      </c>
      <c r="Q36" s="255">
        <v>234000</v>
      </c>
      <c r="R36" s="283">
        <v>234000</v>
      </c>
      <c r="S36" s="283">
        <v>56536</v>
      </c>
      <c r="T36" s="287">
        <v>0</v>
      </c>
      <c r="U36" s="287">
        <v>1</v>
      </c>
      <c r="V36" s="287">
        <v>0</v>
      </c>
      <c r="W36" s="283">
        <v>29250</v>
      </c>
      <c r="X36" s="283">
        <v>0</v>
      </c>
      <c r="Y36" s="199" t="s">
        <v>1392</v>
      </c>
      <c r="Z36" s="517" t="s">
        <v>5540</v>
      </c>
      <c r="AA36" s="493" t="s">
        <v>1485</v>
      </c>
      <c r="AB36" s="507"/>
    </row>
    <row r="37" spans="2:28" x14ac:dyDescent="0.15">
      <c r="B37" s="330" t="s">
        <v>2874</v>
      </c>
      <c r="C37" s="525">
        <v>42756</v>
      </c>
      <c r="D37" s="198" t="s">
        <v>1629</v>
      </c>
      <c r="E37" s="53" t="s">
        <v>1396</v>
      </c>
      <c r="F37" s="198" t="s">
        <v>3800</v>
      </c>
      <c r="G37" s="3" t="s">
        <v>50</v>
      </c>
      <c r="H37" s="43" t="s">
        <v>381</v>
      </c>
      <c r="I37" s="4" t="s">
        <v>1408</v>
      </c>
      <c r="J37" s="4" t="s">
        <v>265</v>
      </c>
      <c r="K37" s="4" t="s">
        <v>1155</v>
      </c>
      <c r="L37" s="4" t="s">
        <v>1630</v>
      </c>
      <c r="M37" s="43" t="s">
        <v>1631</v>
      </c>
      <c r="N37" s="255">
        <v>393000</v>
      </c>
      <c r="O37" s="265">
        <v>60</v>
      </c>
      <c r="P37" s="270">
        <v>1</v>
      </c>
      <c r="Q37" s="255">
        <v>235800</v>
      </c>
      <c r="R37" s="283">
        <v>235800</v>
      </c>
      <c r="S37" s="283">
        <v>64260</v>
      </c>
      <c r="T37" s="287">
        <v>0</v>
      </c>
      <c r="U37" s="287">
        <v>1</v>
      </c>
      <c r="V37" s="287">
        <v>0</v>
      </c>
      <c r="W37" s="283">
        <v>23580</v>
      </c>
      <c r="X37" s="283">
        <v>0</v>
      </c>
      <c r="Y37" s="199" t="s">
        <v>1392</v>
      </c>
      <c r="Z37" s="517" t="s">
        <v>5166</v>
      </c>
      <c r="AA37" s="493" t="s">
        <v>1485</v>
      </c>
      <c r="AB37" s="507"/>
    </row>
    <row r="38" spans="2:28" x14ac:dyDescent="0.15">
      <c r="B38" s="330" t="s">
        <v>2875</v>
      </c>
      <c r="C38" s="525">
        <v>42756</v>
      </c>
      <c r="D38" s="198" t="s">
        <v>1632</v>
      </c>
      <c r="E38" s="53" t="s">
        <v>1396</v>
      </c>
      <c r="F38" s="198" t="s">
        <v>3800</v>
      </c>
      <c r="G38" s="3" t="s">
        <v>50</v>
      </c>
      <c r="H38" s="43" t="s">
        <v>381</v>
      </c>
      <c r="I38" s="4" t="s">
        <v>1408</v>
      </c>
      <c r="J38" s="4" t="s">
        <v>299</v>
      </c>
      <c r="K38" s="4" t="s">
        <v>373</v>
      </c>
      <c r="L38" s="4" t="s">
        <v>1633</v>
      </c>
      <c r="M38" s="43"/>
      <c r="N38" s="255">
        <v>35000</v>
      </c>
      <c r="O38" s="265">
        <v>100</v>
      </c>
      <c r="P38" s="270">
        <v>1</v>
      </c>
      <c r="Q38" s="255">
        <v>35000</v>
      </c>
      <c r="R38" s="283">
        <v>35000</v>
      </c>
      <c r="S38" s="283">
        <v>7500</v>
      </c>
      <c r="T38" s="287">
        <v>0</v>
      </c>
      <c r="U38" s="287">
        <v>0</v>
      </c>
      <c r="V38" s="287">
        <v>0</v>
      </c>
      <c r="W38" s="283">
        <v>0</v>
      </c>
      <c r="X38" s="283">
        <v>0</v>
      </c>
      <c r="Y38" s="199" t="s">
        <v>1392</v>
      </c>
      <c r="Z38" s="517" t="s">
        <v>5532</v>
      </c>
      <c r="AA38" s="493" t="s">
        <v>1485</v>
      </c>
      <c r="AB38" s="507"/>
    </row>
    <row r="39" spans="2:28" x14ac:dyDescent="0.15">
      <c r="B39" s="330" t="s">
        <v>2876</v>
      </c>
      <c r="C39" s="525">
        <v>42756</v>
      </c>
      <c r="D39" s="198" t="s">
        <v>1634</v>
      </c>
      <c r="E39" s="53" t="s">
        <v>1396</v>
      </c>
      <c r="F39" s="198" t="s">
        <v>3800</v>
      </c>
      <c r="G39" s="3" t="s">
        <v>50</v>
      </c>
      <c r="H39" s="43" t="s">
        <v>381</v>
      </c>
      <c r="I39" s="4" t="s">
        <v>1408</v>
      </c>
      <c r="J39" s="4" t="s">
        <v>272</v>
      </c>
      <c r="K39" s="4" t="s">
        <v>363</v>
      </c>
      <c r="L39" s="4" t="s">
        <v>1635</v>
      </c>
      <c r="M39" s="191" t="s">
        <v>1636</v>
      </c>
      <c r="N39" s="255">
        <v>250000</v>
      </c>
      <c r="O39" s="265">
        <v>60</v>
      </c>
      <c r="P39" s="270">
        <v>1</v>
      </c>
      <c r="Q39" s="255">
        <v>150000</v>
      </c>
      <c r="R39" s="283">
        <v>150000</v>
      </c>
      <c r="S39" s="283">
        <v>34310</v>
      </c>
      <c r="T39" s="287">
        <v>0</v>
      </c>
      <c r="U39" s="287">
        <v>1</v>
      </c>
      <c r="V39" s="287">
        <v>0</v>
      </c>
      <c r="W39" s="283">
        <v>15000</v>
      </c>
      <c r="X39" s="283">
        <v>0</v>
      </c>
      <c r="Y39" s="199" t="s">
        <v>1392</v>
      </c>
      <c r="Z39" s="517" t="s">
        <v>5166</v>
      </c>
      <c r="AA39" s="493" t="s">
        <v>1485</v>
      </c>
      <c r="AB39" s="507"/>
    </row>
    <row r="40" spans="2:28" x14ac:dyDescent="0.15">
      <c r="B40" s="330" t="s">
        <v>2877</v>
      </c>
      <c r="C40" s="525">
        <v>42762</v>
      </c>
      <c r="D40" s="198" t="s">
        <v>1589</v>
      </c>
      <c r="E40" s="53" t="s">
        <v>1396</v>
      </c>
      <c r="F40" s="198" t="s">
        <v>3796</v>
      </c>
      <c r="G40" s="3" t="s">
        <v>368</v>
      </c>
      <c r="H40" s="43" t="s">
        <v>792</v>
      </c>
      <c r="I40" s="4" t="s">
        <v>1413</v>
      </c>
      <c r="J40" s="4" t="s">
        <v>262</v>
      </c>
      <c r="K40" s="4" t="s">
        <v>365</v>
      </c>
      <c r="L40" s="4" t="s">
        <v>1637</v>
      </c>
      <c r="M40" s="43" t="s">
        <v>1638</v>
      </c>
      <c r="N40" s="255">
        <v>166800</v>
      </c>
      <c r="O40" s="265">
        <v>100</v>
      </c>
      <c r="P40" s="270">
        <v>1</v>
      </c>
      <c r="Q40" s="255">
        <v>166800</v>
      </c>
      <c r="R40" s="283">
        <v>166800</v>
      </c>
      <c r="S40" s="283">
        <v>45622</v>
      </c>
      <c r="T40" s="287">
        <v>0</v>
      </c>
      <c r="U40" s="287">
        <v>1</v>
      </c>
      <c r="V40" s="287">
        <v>0</v>
      </c>
      <c r="W40" s="283">
        <v>16680</v>
      </c>
      <c r="X40" s="283">
        <v>0</v>
      </c>
      <c r="Y40" s="199" t="s">
        <v>1392</v>
      </c>
      <c r="Z40" s="517" t="s">
        <v>5532</v>
      </c>
      <c r="AA40" s="493" t="s">
        <v>1485</v>
      </c>
      <c r="AB40" s="507"/>
    </row>
    <row r="41" spans="2:28" x14ac:dyDescent="0.15">
      <c r="B41" s="330" t="s">
        <v>2878</v>
      </c>
      <c r="C41" s="525">
        <v>42762</v>
      </c>
      <c r="D41" s="198" t="s">
        <v>1592</v>
      </c>
      <c r="E41" s="53" t="s">
        <v>1396</v>
      </c>
      <c r="F41" s="198" t="s">
        <v>3800</v>
      </c>
      <c r="G41" s="3" t="s">
        <v>50</v>
      </c>
      <c r="H41" s="43" t="s">
        <v>381</v>
      </c>
      <c r="I41" s="4" t="s">
        <v>1408</v>
      </c>
      <c r="J41" s="4" t="s">
        <v>270</v>
      </c>
      <c r="K41" s="4" t="s">
        <v>539</v>
      </c>
      <c r="L41" s="4" t="s">
        <v>1639</v>
      </c>
      <c r="M41" s="43" t="s">
        <v>1640</v>
      </c>
      <c r="N41" s="255">
        <v>268000</v>
      </c>
      <c r="O41" s="265">
        <v>60</v>
      </c>
      <c r="P41" s="270">
        <v>1</v>
      </c>
      <c r="Q41" s="255">
        <v>160800</v>
      </c>
      <c r="R41" s="283">
        <v>160800</v>
      </c>
      <c r="S41" s="283">
        <v>22919</v>
      </c>
      <c r="T41" s="287">
        <v>0</v>
      </c>
      <c r="U41" s="287">
        <v>1</v>
      </c>
      <c r="V41" s="287">
        <v>0</v>
      </c>
      <c r="W41" s="283">
        <v>16080</v>
      </c>
      <c r="X41" s="283">
        <v>0</v>
      </c>
      <c r="Y41" s="199" t="s">
        <v>1392</v>
      </c>
      <c r="Z41" s="517" t="s">
        <v>5166</v>
      </c>
      <c r="AA41" s="493" t="s">
        <v>1485</v>
      </c>
      <c r="AB41" s="507"/>
    </row>
    <row r="42" spans="2:28" x14ac:dyDescent="0.15">
      <c r="B42" s="330" t="s">
        <v>2879</v>
      </c>
      <c r="C42" s="526">
        <v>42762</v>
      </c>
      <c r="D42" s="191" t="s">
        <v>1622</v>
      </c>
      <c r="E42" s="43" t="s">
        <v>1396</v>
      </c>
      <c r="F42" s="191" t="s">
        <v>3796</v>
      </c>
      <c r="G42" s="4" t="s">
        <v>368</v>
      </c>
      <c r="H42" s="43" t="s">
        <v>792</v>
      </c>
      <c r="I42" s="4" t="s">
        <v>1413</v>
      </c>
      <c r="J42" s="4" t="s">
        <v>262</v>
      </c>
      <c r="K42" s="4" t="s">
        <v>365</v>
      </c>
      <c r="L42" s="4" t="s">
        <v>1552</v>
      </c>
      <c r="M42" s="43" t="s">
        <v>1695</v>
      </c>
      <c r="N42" s="255">
        <v>172800</v>
      </c>
      <c r="O42" s="265">
        <v>100</v>
      </c>
      <c r="P42" s="270">
        <v>1</v>
      </c>
      <c r="Q42" s="255">
        <v>172800</v>
      </c>
      <c r="R42" s="283">
        <v>172800</v>
      </c>
      <c r="S42" s="283">
        <v>44522</v>
      </c>
      <c r="T42" s="287">
        <v>0</v>
      </c>
      <c r="U42" s="287">
        <v>1</v>
      </c>
      <c r="V42" s="287">
        <v>0</v>
      </c>
      <c r="W42" s="283">
        <v>17280</v>
      </c>
      <c r="X42" s="283">
        <v>0</v>
      </c>
      <c r="Y42" s="199" t="s">
        <v>1392</v>
      </c>
      <c r="Z42" s="517" t="s">
        <v>5166</v>
      </c>
      <c r="AA42" s="493" t="s">
        <v>1485</v>
      </c>
      <c r="AB42" s="507"/>
    </row>
    <row r="43" spans="2:28" x14ac:dyDescent="0.15">
      <c r="B43" s="330" t="s">
        <v>2880</v>
      </c>
      <c r="C43" s="525">
        <v>42766</v>
      </c>
      <c r="D43" s="198" t="s">
        <v>1564</v>
      </c>
      <c r="E43" s="53" t="s">
        <v>1396</v>
      </c>
      <c r="F43" s="198" t="s">
        <v>3802</v>
      </c>
      <c r="G43" s="3" t="s">
        <v>376</v>
      </c>
      <c r="H43" s="43" t="s">
        <v>1118</v>
      </c>
      <c r="I43" s="4" t="s">
        <v>1641</v>
      </c>
      <c r="J43" s="4" t="s">
        <v>271</v>
      </c>
      <c r="K43" s="4" t="s">
        <v>1160</v>
      </c>
      <c r="L43" s="4" t="s">
        <v>1642</v>
      </c>
      <c r="M43" s="43" t="s">
        <v>1643</v>
      </c>
      <c r="N43" s="255">
        <v>308000</v>
      </c>
      <c r="O43" s="265">
        <v>65</v>
      </c>
      <c r="P43" s="270">
        <v>1</v>
      </c>
      <c r="Q43" s="255">
        <v>200200</v>
      </c>
      <c r="R43" s="283">
        <v>200200</v>
      </c>
      <c r="S43" s="283">
        <v>71186</v>
      </c>
      <c r="T43" s="287">
        <v>1</v>
      </c>
      <c r="U43" s="287">
        <v>0</v>
      </c>
      <c r="V43" s="287">
        <v>0</v>
      </c>
      <c r="W43" s="283">
        <v>0</v>
      </c>
      <c r="X43" s="283">
        <v>0</v>
      </c>
      <c r="Y43" s="199" t="s">
        <v>1395</v>
      </c>
      <c r="Z43" s="517" t="s">
        <v>5449</v>
      </c>
      <c r="AA43" s="493" t="s">
        <v>1485</v>
      </c>
      <c r="AB43" s="507"/>
    </row>
    <row r="44" spans="2:28" x14ac:dyDescent="0.15">
      <c r="B44" s="330" t="s">
        <v>2881</v>
      </c>
      <c r="C44" s="525">
        <v>42766</v>
      </c>
      <c r="D44" s="198" t="s">
        <v>1564</v>
      </c>
      <c r="E44" s="53" t="s">
        <v>1396</v>
      </c>
      <c r="F44" s="198" t="s">
        <v>3802</v>
      </c>
      <c r="G44" s="3" t="s">
        <v>376</v>
      </c>
      <c r="H44" s="43" t="s">
        <v>1118</v>
      </c>
      <c r="I44" s="4" t="s">
        <v>1641</v>
      </c>
      <c r="J44" s="4" t="s">
        <v>296</v>
      </c>
      <c r="K44" s="4" t="s">
        <v>1167</v>
      </c>
      <c r="L44" s="4" t="s">
        <v>1468</v>
      </c>
      <c r="M44" s="43"/>
      <c r="N44" s="255">
        <v>3500</v>
      </c>
      <c r="O44" s="265">
        <v>65</v>
      </c>
      <c r="P44" s="270">
        <v>1</v>
      </c>
      <c r="Q44" s="255">
        <v>2275</v>
      </c>
      <c r="R44" s="283">
        <v>2275</v>
      </c>
      <c r="S44" s="283">
        <v>1075</v>
      </c>
      <c r="T44" s="287">
        <v>0</v>
      </c>
      <c r="U44" s="287">
        <v>0</v>
      </c>
      <c r="V44" s="287">
        <v>0</v>
      </c>
      <c r="W44" s="283">
        <v>0</v>
      </c>
      <c r="X44" s="283">
        <v>0</v>
      </c>
      <c r="Y44" s="199" t="s">
        <v>1395</v>
      </c>
      <c r="Z44" s="517" t="s">
        <v>5533</v>
      </c>
      <c r="AA44" s="493" t="s">
        <v>1485</v>
      </c>
      <c r="AB44" s="507"/>
    </row>
    <row r="45" spans="2:28" x14ac:dyDescent="0.15">
      <c r="B45" s="330" t="s">
        <v>2882</v>
      </c>
      <c r="C45" s="525">
        <v>42767</v>
      </c>
      <c r="D45" s="198" t="s">
        <v>1563</v>
      </c>
      <c r="E45" s="53" t="s">
        <v>1391</v>
      </c>
      <c r="F45" s="198" t="s">
        <v>3797</v>
      </c>
      <c r="G45" s="3" t="s">
        <v>362</v>
      </c>
      <c r="H45" s="53" t="s">
        <v>689</v>
      </c>
      <c r="I45" s="3" t="s">
        <v>1394</v>
      </c>
      <c r="J45" s="3" t="s">
        <v>268</v>
      </c>
      <c r="K45" s="3" t="s">
        <v>1158</v>
      </c>
      <c r="L45" s="3" t="s">
        <v>1577</v>
      </c>
      <c r="M45" s="53" t="s">
        <v>1578</v>
      </c>
      <c r="N45" s="258">
        <v>230000</v>
      </c>
      <c r="O45" s="266">
        <v>58.5</v>
      </c>
      <c r="P45" s="272">
        <v>1</v>
      </c>
      <c r="Q45" s="258">
        <v>134550</v>
      </c>
      <c r="R45" s="286">
        <v>134550</v>
      </c>
      <c r="S45" s="286">
        <v>31529</v>
      </c>
      <c r="T45" s="288">
        <v>1</v>
      </c>
      <c r="U45" s="288">
        <v>0</v>
      </c>
      <c r="V45" s="288">
        <v>0</v>
      </c>
      <c r="W45" s="286">
        <v>0</v>
      </c>
      <c r="X45" s="286">
        <v>0</v>
      </c>
      <c r="Y45" s="200" t="s">
        <v>1395</v>
      </c>
      <c r="Z45" s="517" t="s">
        <v>5166</v>
      </c>
      <c r="AA45" s="499" t="s">
        <v>1485</v>
      </c>
      <c r="AB45" s="508"/>
    </row>
    <row r="46" spans="2:28" x14ac:dyDescent="0.15">
      <c r="B46" s="330" t="s">
        <v>2883</v>
      </c>
      <c r="C46" s="525">
        <v>42769</v>
      </c>
      <c r="D46" s="198" t="s">
        <v>1564</v>
      </c>
      <c r="E46" s="53" t="s">
        <v>1391</v>
      </c>
      <c r="F46" s="198" t="s">
        <v>3794</v>
      </c>
      <c r="G46" s="3" t="s">
        <v>364</v>
      </c>
      <c r="H46" s="53" t="s">
        <v>490</v>
      </c>
      <c r="I46" s="3" t="s">
        <v>1644</v>
      </c>
      <c r="J46" s="4" t="s">
        <v>297</v>
      </c>
      <c r="K46" s="4" t="s">
        <v>369</v>
      </c>
      <c r="L46" s="4" t="s">
        <v>1484</v>
      </c>
      <c r="M46" s="43"/>
      <c r="N46" s="255">
        <v>200</v>
      </c>
      <c r="O46" s="265">
        <v>50</v>
      </c>
      <c r="P46" s="270">
        <v>100</v>
      </c>
      <c r="Q46" s="255">
        <v>100</v>
      </c>
      <c r="R46" s="283">
        <v>10000</v>
      </c>
      <c r="S46" s="283">
        <v>5700</v>
      </c>
      <c r="T46" s="287">
        <v>0</v>
      </c>
      <c r="U46" s="287">
        <v>0</v>
      </c>
      <c r="V46" s="287">
        <v>0</v>
      </c>
      <c r="W46" s="283">
        <v>1500</v>
      </c>
      <c r="X46" s="283">
        <v>0</v>
      </c>
      <c r="Y46" s="199" t="s">
        <v>1392</v>
      </c>
      <c r="Z46" s="517" t="s">
        <v>5167</v>
      </c>
      <c r="AA46" s="493" t="s">
        <v>1485</v>
      </c>
      <c r="AB46" s="507"/>
    </row>
    <row r="47" spans="2:28" x14ac:dyDescent="0.15">
      <c r="B47" s="330" t="s">
        <v>2884</v>
      </c>
      <c r="C47" s="525">
        <v>42769</v>
      </c>
      <c r="D47" s="198" t="s">
        <v>1564</v>
      </c>
      <c r="E47" s="53" t="s">
        <v>1391</v>
      </c>
      <c r="F47" s="198" t="s">
        <v>3794</v>
      </c>
      <c r="G47" s="3" t="s">
        <v>364</v>
      </c>
      <c r="H47" s="53" t="s">
        <v>490</v>
      </c>
      <c r="I47" s="3" t="s">
        <v>1644</v>
      </c>
      <c r="J47" s="4" t="s">
        <v>297</v>
      </c>
      <c r="K47" s="4" t="s">
        <v>369</v>
      </c>
      <c r="L47" s="4" t="s">
        <v>1509</v>
      </c>
      <c r="M47" s="43"/>
      <c r="N47" s="255">
        <v>200</v>
      </c>
      <c r="O47" s="265">
        <v>50</v>
      </c>
      <c r="P47" s="270">
        <v>100</v>
      </c>
      <c r="Q47" s="255">
        <v>100</v>
      </c>
      <c r="R47" s="283">
        <v>10000</v>
      </c>
      <c r="S47" s="283">
        <v>5700</v>
      </c>
      <c r="T47" s="287">
        <v>0</v>
      </c>
      <c r="U47" s="287">
        <v>0</v>
      </c>
      <c r="V47" s="287">
        <v>0</v>
      </c>
      <c r="W47" s="283">
        <v>1500</v>
      </c>
      <c r="X47" s="283">
        <v>0</v>
      </c>
      <c r="Y47" s="199" t="s">
        <v>1392</v>
      </c>
      <c r="Z47" s="517" t="s">
        <v>5540</v>
      </c>
      <c r="AA47" s="493" t="s">
        <v>1485</v>
      </c>
      <c r="AB47" s="507"/>
    </row>
    <row r="48" spans="2:28" x14ac:dyDescent="0.15">
      <c r="B48" s="330" t="s">
        <v>2885</v>
      </c>
      <c r="C48" s="525">
        <v>42769</v>
      </c>
      <c r="D48" s="198" t="s">
        <v>1565</v>
      </c>
      <c r="E48" s="53" t="s">
        <v>1391</v>
      </c>
      <c r="F48" s="198" t="s">
        <v>3794</v>
      </c>
      <c r="G48" s="3" t="s">
        <v>364</v>
      </c>
      <c r="H48" s="53" t="s">
        <v>1447</v>
      </c>
      <c r="I48" s="3" t="s">
        <v>1448</v>
      </c>
      <c r="J48" s="4" t="s">
        <v>297</v>
      </c>
      <c r="K48" s="4" t="s">
        <v>369</v>
      </c>
      <c r="L48" s="4" t="s">
        <v>1509</v>
      </c>
      <c r="M48" s="43"/>
      <c r="N48" s="255">
        <v>200</v>
      </c>
      <c r="O48" s="265">
        <v>50</v>
      </c>
      <c r="P48" s="270">
        <v>100</v>
      </c>
      <c r="Q48" s="255">
        <v>100</v>
      </c>
      <c r="R48" s="283">
        <v>10000</v>
      </c>
      <c r="S48" s="283">
        <v>5700</v>
      </c>
      <c r="T48" s="287">
        <v>0</v>
      </c>
      <c r="U48" s="287">
        <v>0</v>
      </c>
      <c r="V48" s="287">
        <v>0</v>
      </c>
      <c r="W48" s="283">
        <v>1500</v>
      </c>
      <c r="X48" s="283">
        <v>0</v>
      </c>
      <c r="Y48" s="199" t="s">
        <v>1392</v>
      </c>
      <c r="Z48" s="517" t="s">
        <v>5541</v>
      </c>
      <c r="AA48" s="493" t="s">
        <v>1485</v>
      </c>
      <c r="AB48" s="507"/>
    </row>
    <row r="49" spans="2:28" x14ac:dyDescent="0.15">
      <c r="B49" s="330" t="s">
        <v>2886</v>
      </c>
      <c r="C49" s="525">
        <v>42769</v>
      </c>
      <c r="D49" s="198" t="s">
        <v>1582</v>
      </c>
      <c r="E49" s="53" t="s">
        <v>1391</v>
      </c>
      <c r="F49" s="198" t="s">
        <v>3794</v>
      </c>
      <c r="G49" s="3" t="s">
        <v>364</v>
      </c>
      <c r="H49" s="53" t="s">
        <v>444</v>
      </c>
      <c r="I49" s="3" t="s">
        <v>1440</v>
      </c>
      <c r="J49" s="4" t="s">
        <v>273</v>
      </c>
      <c r="K49" s="4" t="s">
        <v>1161</v>
      </c>
      <c r="L49" s="4" t="s">
        <v>1645</v>
      </c>
      <c r="M49" s="43" t="s">
        <v>1646</v>
      </c>
      <c r="N49" s="255">
        <v>230000</v>
      </c>
      <c r="O49" s="265">
        <v>60</v>
      </c>
      <c r="P49" s="270">
        <v>1</v>
      </c>
      <c r="Q49" s="255">
        <v>138000</v>
      </c>
      <c r="R49" s="283">
        <v>138000</v>
      </c>
      <c r="S49" s="283">
        <v>34685</v>
      </c>
      <c r="T49" s="287">
        <v>0</v>
      </c>
      <c r="U49" s="287">
        <v>1</v>
      </c>
      <c r="V49" s="287">
        <v>0</v>
      </c>
      <c r="W49" s="283">
        <v>13800</v>
      </c>
      <c r="X49" s="283">
        <v>0</v>
      </c>
      <c r="Y49" s="199" t="s">
        <v>1392</v>
      </c>
      <c r="Z49" s="517" t="s">
        <v>5166</v>
      </c>
      <c r="AA49" s="493" t="s">
        <v>1485</v>
      </c>
      <c r="AB49" s="507"/>
    </row>
    <row r="50" spans="2:28" x14ac:dyDescent="0.15">
      <c r="B50" s="330" t="s">
        <v>2887</v>
      </c>
      <c r="C50" s="525">
        <v>42769</v>
      </c>
      <c r="D50" s="198" t="s">
        <v>1589</v>
      </c>
      <c r="E50" s="53" t="s">
        <v>1396</v>
      </c>
      <c r="F50" s="198" t="s">
        <v>3796</v>
      </c>
      <c r="G50" s="3" t="s">
        <v>368</v>
      </c>
      <c r="H50" s="53" t="s">
        <v>792</v>
      </c>
      <c r="I50" s="3" t="s">
        <v>1413</v>
      </c>
      <c r="J50" s="4" t="s">
        <v>262</v>
      </c>
      <c r="K50" s="4" t="s">
        <v>365</v>
      </c>
      <c r="L50" s="4" t="s">
        <v>1470</v>
      </c>
      <c r="M50" s="43" t="s">
        <v>1647</v>
      </c>
      <c r="N50" s="255">
        <v>150000</v>
      </c>
      <c r="O50" s="265">
        <v>100</v>
      </c>
      <c r="P50" s="270">
        <v>1</v>
      </c>
      <c r="Q50" s="255">
        <v>150000</v>
      </c>
      <c r="R50" s="283">
        <v>150000</v>
      </c>
      <c r="S50" s="283">
        <v>40121</v>
      </c>
      <c r="T50" s="287">
        <v>0</v>
      </c>
      <c r="U50" s="287">
        <v>1</v>
      </c>
      <c r="V50" s="287">
        <v>0</v>
      </c>
      <c r="W50" s="283">
        <v>16761</v>
      </c>
      <c r="X50" s="283">
        <v>0</v>
      </c>
      <c r="Y50" s="199" t="s">
        <v>1392</v>
      </c>
      <c r="Z50" s="517" t="s">
        <v>5532</v>
      </c>
      <c r="AA50" s="493" t="s">
        <v>1485</v>
      </c>
      <c r="AB50" s="507"/>
    </row>
    <row r="51" spans="2:28" x14ac:dyDescent="0.15">
      <c r="B51" s="330" t="s">
        <v>2888</v>
      </c>
      <c r="C51" s="525">
        <v>42769</v>
      </c>
      <c r="D51" s="198" t="s">
        <v>1592</v>
      </c>
      <c r="E51" s="53" t="s">
        <v>1396</v>
      </c>
      <c r="F51" s="198" t="s">
        <v>3796</v>
      </c>
      <c r="G51" s="3" t="s">
        <v>368</v>
      </c>
      <c r="H51" s="53" t="s">
        <v>792</v>
      </c>
      <c r="I51" s="3" t="s">
        <v>1413</v>
      </c>
      <c r="J51" s="4" t="s">
        <v>262</v>
      </c>
      <c r="K51" s="4" t="s">
        <v>365</v>
      </c>
      <c r="L51" s="4" t="s">
        <v>1648</v>
      </c>
      <c r="M51" s="43" t="s">
        <v>1649</v>
      </c>
      <c r="N51" s="255">
        <v>181000</v>
      </c>
      <c r="O51" s="265">
        <v>100</v>
      </c>
      <c r="P51" s="270">
        <v>1</v>
      </c>
      <c r="Q51" s="255">
        <v>181000</v>
      </c>
      <c r="R51" s="283">
        <v>181000</v>
      </c>
      <c r="S51" s="283">
        <v>48748</v>
      </c>
      <c r="T51" s="287">
        <v>0</v>
      </c>
      <c r="U51" s="287">
        <v>1</v>
      </c>
      <c r="V51" s="287">
        <v>0</v>
      </c>
      <c r="W51" s="283">
        <v>20174</v>
      </c>
      <c r="X51" s="283">
        <v>0</v>
      </c>
      <c r="Y51" s="199" t="s">
        <v>1392</v>
      </c>
      <c r="Z51" s="517" t="s">
        <v>5166</v>
      </c>
      <c r="AA51" s="493" t="s">
        <v>1485</v>
      </c>
      <c r="AB51" s="507"/>
    </row>
    <row r="52" spans="2:28" x14ac:dyDescent="0.15">
      <c r="B52" s="330" t="s">
        <v>2889</v>
      </c>
      <c r="C52" s="525">
        <v>42769</v>
      </c>
      <c r="D52" s="198" t="s">
        <v>1593</v>
      </c>
      <c r="E52" s="53" t="s">
        <v>1396</v>
      </c>
      <c r="F52" s="198" t="s">
        <v>3800</v>
      </c>
      <c r="G52" s="3" t="s">
        <v>50</v>
      </c>
      <c r="H52" s="53" t="s">
        <v>1434</v>
      </c>
      <c r="I52" s="3" t="s">
        <v>1435</v>
      </c>
      <c r="J52" s="4" t="s">
        <v>271</v>
      </c>
      <c r="K52" s="4" t="s">
        <v>1160</v>
      </c>
      <c r="L52" s="4" t="s">
        <v>1650</v>
      </c>
      <c r="M52" s="43" t="s">
        <v>1651</v>
      </c>
      <c r="N52" s="255">
        <v>334000</v>
      </c>
      <c r="O52" s="265">
        <v>60</v>
      </c>
      <c r="P52" s="270">
        <v>1</v>
      </c>
      <c r="Q52" s="255">
        <v>200400</v>
      </c>
      <c r="R52" s="283">
        <v>200400</v>
      </c>
      <c r="S52" s="283">
        <v>30411</v>
      </c>
      <c r="T52" s="287">
        <v>0</v>
      </c>
      <c r="U52" s="287">
        <v>1</v>
      </c>
      <c r="V52" s="287">
        <v>0</v>
      </c>
      <c r="W52" s="283">
        <v>20040</v>
      </c>
      <c r="X52" s="283">
        <v>0</v>
      </c>
      <c r="Y52" s="199" t="s">
        <v>1392</v>
      </c>
      <c r="Z52" s="517" t="s">
        <v>5167</v>
      </c>
      <c r="AA52" s="493" t="s">
        <v>1485</v>
      </c>
      <c r="AB52" s="507"/>
    </row>
    <row r="53" spans="2:28" x14ac:dyDescent="0.15">
      <c r="B53" s="330" t="s">
        <v>2890</v>
      </c>
      <c r="C53" s="525">
        <v>42769</v>
      </c>
      <c r="D53" s="198" t="s">
        <v>1614</v>
      </c>
      <c r="E53" s="53" t="s">
        <v>1396</v>
      </c>
      <c r="F53" s="198" t="s">
        <v>3796</v>
      </c>
      <c r="G53" s="3" t="s">
        <v>368</v>
      </c>
      <c r="H53" s="53" t="s">
        <v>792</v>
      </c>
      <c r="I53" s="3" t="s">
        <v>1413</v>
      </c>
      <c r="J53" s="4" t="s">
        <v>298</v>
      </c>
      <c r="K53" s="4" t="s">
        <v>1168</v>
      </c>
      <c r="L53" s="4" t="s">
        <v>1652</v>
      </c>
      <c r="M53" s="43"/>
      <c r="N53" s="255">
        <v>2500</v>
      </c>
      <c r="O53" s="265">
        <v>65</v>
      </c>
      <c r="P53" s="270">
        <v>1</v>
      </c>
      <c r="Q53" s="255">
        <v>1625</v>
      </c>
      <c r="R53" s="283">
        <v>1625</v>
      </c>
      <c r="S53" s="283">
        <v>158</v>
      </c>
      <c r="T53" s="287">
        <v>0</v>
      </c>
      <c r="U53" s="287">
        <v>0</v>
      </c>
      <c r="V53" s="287">
        <v>0</v>
      </c>
      <c r="W53" s="283">
        <v>187</v>
      </c>
      <c r="X53" s="283">
        <v>0</v>
      </c>
      <c r="Y53" s="199" t="s">
        <v>1392</v>
      </c>
      <c r="Z53" s="517" t="s">
        <v>5166</v>
      </c>
      <c r="AA53" s="493" t="s">
        <v>1485</v>
      </c>
      <c r="AB53" s="507"/>
    </row>
    <row r="54" spans="2:28" x14ac:dyDescent="0.15">
      <c r="B54" s="330" t="s">
        <v>2891</v>
      </c>
      <c r="C54" s="525">
        <v>42769</v>
      </c>
      <c r="D54" s="198" t="s">
        <v>1626</v>
      </c>
      <c r="E54" s="53" t="s">
        <v>1391</v>
      </c>
      <c r="F54" s="198" t="s">
        <v>3794</v>
      </c>
      <c r="G54" s="3" t="s">
        <v>364</v>
      </c>
      <c r="H54" s="53" t="s">
        <v>432</v>
      </c>
      <c r="I54" s="3" t="s">
        <v>375</v>
      </c>
      <c r="J54" s="4"/>
      <c r="K54" s="4"/>
      <c r="L54" s="4" t="s">
        <v>1520</v>
      </c>
      <c r="M54" s="43"/>
      <c r="N54" s="255">
        <v>480</v>
      </c>
      <c r="O54" s="265">
        <v>100</v>
      </c>
      <c r="P54" s="270">
        <v>1</v>
      </c>
      <c r="Q54" s="255">
        <v>480</v>
      </c>
      <c r="R54" s="283">
        <v>480</v>
      </c>
      <c r="S54" s="283">
        <v>0</v>
      </c>
      <c r="T54" s="287">
        <v>0</v>
      </c>
      <c r="U54" s="287">
        <v>0</v>
      </c>
      <c r="V54" s="287">
        <v>0</v>
      </c>
      <c r="W54" s="283">
        <v>0</v>
      </c>
      <c r="X54" s="283">
        <v>0</v>
      </c>
      <c r="Y54" s="199" t="s">
        <v>4146</v>
      </c>
      <c r="Z54" s="517" t="s">
        <v>5166</v>
      </c>
      <c r="AA54" s="493" t="s">
        <v>1485</v>
      </c>
      <c r="AB54" s="507"/>
    </row>
    <row r="55" spans="2:28" x14ac:dyDescent="0.15">
      <c r="B55" s="330" t="s">
        <v>2892</v>
      </c>
      <c r="C55" s="525">
        <v>42769</v>
      </c>
      <c r="D55" s="198" t="s">
        <v>1596</v>
      </c>
      <c r="E55" s="53" t="s">
        <v>1396</v>
      </c>
      <c r="F55" s="198" t="s">
        <v>3811</v>
      </c>
      <c r="G55" s="3" t="s">
        <v>372</v>
      </c>
      <c r="H55" s="53"/>
      <c r="I55" s="3"/>
      <c r="J55" s="4" t="s">
        <v>297</v>
      </c>
      <c r="K55" s="4" t="s">
        <v>369</v>
      </c>
      <c r="L55" s="4" t="s">
        <v>1509</v>
      </c>
      <c r="M55" s="43"/>
      <c r="N55" s="255">
        <v>200</v>
      </c>
      <c r="O55" s="265">
        <v>40</v>
      </c>
      <c r="P55" s="270">
        <v>100</v>
      </c>
      <c r="Q55" s="255">
        <v>80</v>
      </c>
      <c r="R55" s="283">
        <v>8000</v>
      </c>
      <c r="S55" s="283">
        <v>5200</v>
      </c>
      <c r="T55" s="287">
        <v>0</v>
      </c>
      <c r="U55" s="287">
        <v>0</v>
      </c>
      <c r="V55" s="287">
        <v>0</v>
      </c>
      <c r="W55" s="283">
        <v>0</v>
      </c>
      <c r="X55" s="283">
        <v>0</v>
      </c>
      <c r="Y55" s="199" t="s">
        <v>1395</v>
      </c>
      <c r="Z55" s="517" t="s">
        <v>5541</v>
      </c>
      <c r="AA55" s="493" t="s">
        <v>1485</v>
      </c>
      <c r="AB55" s="507"/>
    </row>
    <row r="56" spans="2:28" x14ac:dyDescent="0.15">
      <c r="B56" s="330" t="s">
        <v>2893</v>
      </c>
      <c r="C56" s="525">
        <v>42776</v>
      </c>
      <c r="D56" s="198" t="s">
        <v>1629</v>
      </c>
      <c r="E56" s="53" t="s">
        <v>1396</v>
      </c>
      <c r="F56" s="198" t="s">
        <v>3796</v>
      </c>
      <c r="G56" s="3" t="s">
        <v>368</v>
      </c>
      <c r="H56" s="53" t="s">
        <v>792</v>
      </c>
      <c r="I56" s="3" t="s">
        <v>1413</v>
      </c>
      <c r="J56" s="4" t="s">
        <v>262</v>
      </c>
      <c r="K56" s="4" t="s">
        <v>365</v>
      </c>
      <c r="L56" s="4" t="s">
        <v>1655</v>
      </c>
      <c r="M56" s="43" t="s">
        <v>1656</v>
      </c>
      <c r="N56" s="255">
        <v>175000</v>
      </c>
      <c r="O56" s="265">
        <v>100</v>
      </c>
      <c r="P56" s="270">
        <v>1</v>
      </c>
      <c r="Q56" s="255">
        <v>175000</v>
      </c>
      <c r="R56" s="283">
        <v>175000</v>
      </c>
      <c r="S56" s="283">
        <v>49444</v>
      </c>
      <c r="T56" s="287">
        <v>0</v>
      </c>
      <c r="U56" s="287">
        <v>1</v>
      </c>
      <c r="V56" s="287">
        <v>0</v>
      </c>
      <c r="W56" s="283">
        <v>20488</v>
      </c>
      <c r="X56" s="283">
        <v>0</v>
      </c>
      <c r="Y56" s="199" t="s">
        <v>1392</v>
      </c>
      <c r="Z56" s="517" t="s">
        <v>5532</v>
      </c>
      <c r="AA56" s="493" t="s">
        <v>1485</v>
      </c>
      <c r="AB56" s="507"/>
    </row>
    <row r="57" spans="2:28" x14ac:dyDescent="0.15">
      <c r="B57" s="330" t="s">
        <v>2894</v>
      </c>
      <c r="C57" s="525">
        <v>42776</v>
      </c>
      <c r="D57" s="198" t="s">
        <v>1599</v>
      </c>
      <c r="E57" s="53" t="s">
        <v>1396</v>
      </c>
      <c r="F57" s="198" t="s">
        <v>3793</v>
      </c>
      <c r="G57" s="3" t="s">
        <v>1111</v>
      </c>
      <c r="H57" s="53" t="s">
        <v>1661</v>
      </c>
      <c r="I57" s="3" t="s">
        <v>1662</v>
      </c>
      <c r="J57" s="4" t="s">
        <v>298</v>
      </c>
      <c r="K57" s="4" t="s">
        <v>1168</v>
      </c>
      <c r="L57" s="4" t="s">
        <v>1663</v>
      </c>
      <c r="M57" s="43"/>
      <c r="N57" s="255">
        <v>1900</v>
      </c>
      <c r="O57" s="265">
        <v>65</v>
      </c>
      <c r="P57" s="270">
        <v>1</v>
      </c>
      <c r="Q57" s="255">
        <v>1235</v>
      </c>
      <c r="R57" s="283">
        <v>1235</v>
      </c>
      <c r="S57" s="283">
        <v>-226</v>
      </c>
      <c r="T57" s="287">
        <v>0</v>
      </c>
      <c r="U57" s="287">
        <v>0</v>
      </c>
      <c r="V57" s="287">
        <v>0</v>
      </c>
      <c r="W57" s="283">
        <v>142</v>
      </c>
      <c r="X57" s="283">
        <v>0</v>
      </c>
      <c r="Y57" s="199" t="s">
        <v>1392</v>
      </c>
      <c r="Z57" s="517" t="s">
        <v>5532</v>
      </c>
      <c r="AA57" s="493" t="s">
        <v>1485</v>
      </c>
      <c r="AB57" s="507"/>
    </row>
    <row r="58" spans="2:28" x14ac:dyDescent="0.15">
      <c r="B58" s="330" t="s">
        <v>2895</v>
      </c>
      <c r="C58" s="525">
        <v>42776</v>
      </c>
      <c r="D58" s="198" t="s">
        <v>1599</v>
      </c>
      <c r="E58" s="53" t="s">
        <v>1396</v>
      </c>
      <c r="F58" s="198" t="s">
        <v>3793</v>
      </c>
      <c r="G58" s="3" t="s">
        <v>1111</v>
      </c>
      <c r="H58" s="53" t="s">
        <v>1661</v>
      </c>
      <c r="I58" s="3" t="s">
        <v>1662</v>
      </c>
      <c r="J58" s="4" t="s">
        <v>299</v>
      </c>
      <c r="K58" s="4" t="s">
        <v>373</v>
      </c>
      <c r="L58" s="4" t="s">
        <v>1664</v>
      </c>
      <c r="M58" s="43"/>
      <c r="N58" s="255">
        <v>4000</v>
      </c>
      <c r="O58" s="265">
        <v>100</v>
      </c>
      <c r="P58" s="270">
        <v>1</v>
      </c>
      <c r="Q58" s="255">
        <v>4000</v>
      </c>
      <c r="R58" s="283">
        <v>4000</v>
      </c>
      <c r="S58" s="283">
        <v>1078</v>
      </c>
      <c r="T58" s="287">
        <v>0</v>
      </c>
      <c r="U58" s="287">
        <v>0</v>
      </c>
      <c r="V58" s="287">
        <v>0</v>
      </c>
      <c r="W58" s="283">
        <v>2922</v>
      </c>
      <c r="X58" s="283">
        <v>0</v>
      </c>
      <c r="Y58" s="199" t="s">
        <v>1392</v>
      </c>
      <c r="Z58" s="517" t="s">
        <v>5532</v>
      </c>
      <c r="AA58" s="493" t="s">
        <v>1485</v>
      </c>
      <c r="AB58" s="507"/>
    </row>
    <row r="59" spans="2:28" x14ac:dyDescent="0.15">
      <c r="B59" s="330" t="s">
        <v>2896</v>
      </c>
      <c r="C59" s="525">
        <v>42776</v>
      </c>
      <c r="D59" s="198" t="s">
        <v>1599</v>
      </c>
      <c r="E59" s="53" t="s">
        <v>1396</v>
      </c>
      <c r="F59" s="198" t="s">
        <v>3793</v>
      </c>
      <c r="G59" s="3" t="s">
        <v>1111</v>
      </c>
      <c r="H59" s="53" t="s">
        <v>1661</v>
      </c>
      <c r="I59" s="3" t="s">
        <v>1662</v>
      </c>
      <c r="J59" s="4"/>
      <c r="K59" s="4"/>
      <c r="L59" s="4" t="s">
        <v>1520</v>
      </c>
      <c r="M59" s="43"/>
      <c r="N59" s="255">
        <v>500</v>
      </c>
      <c r="O59" s="265">
        <v>100</v>
      </c>
      <c r="P59" s="270">
        <v>1</v>
      </c>
      <c r="Q59" s="255">
        <v>500</v>
      </c>
      <c r="R59" s="283">
        <v>500</v>
      </c>
      <c r="S59" s="283">
        <v>0</v>
      </c>
      <c r="T59" s="287">
        <v>0</v>
      </c>
      <c r="U59" s="287">
        <v>0</v>
      </c>
      <c r="V59" s="287">
        <v>0</v>
      </c>
      <c r="W59" s="283">
        <v>0</v>
      </c>
      <c r="X59" s="283">
        <v>0</v>
      </c>
      <c r="Y59" s="199" t="s">
        <v>4146</v>
      </c>
      <c r="Z59" s="517" t="s">
        <v>5542</v>
      </c>
      <c r="AA59" s="493" t="s">
        <v>1485</v>
      </c>
      <c r="AB59" s="507"/>
    </row>
    <row r="60" spans="2:28" x14ac:dyDescent="0.15">
      <c r="B60" s="330" t="s">
        <v>2897</v>
      </c>
      <c r="C60" s="525">
        <v>42776</v>
      </c>
      <c r="D60" s="198" t="s">
        <v>1616</v>
      </c>
      <c r="E60" s="53" t="s">
        <v>1391</v>
      </c>
      <c r="F60" s="198" t="s">
        <v>3797</v>
      </c>
      <c r="G60" s="3" t="s">
        <v>362</v>
      </c>
      <c r="H60" s="53" t="s">
        <v>1674</v>
      </c>
      <c r="I60" s="3" t="s">
        <v>1676</v>
      </c>
      <c r="J60" s="4" t="s">
        <v>268</v>
      </c>
      <c r="K60" s="4" t="s">
        <v>1158</v>
      </c>
      <c r="L60" s="4" t="s">
        <v>1577</v>
      </c>
      <c r="M60" s="43" t="s">
        <v>1680</v>
      </c>
      <c r="N60" s="255">
        <v>265000</v>
      </c>
      <c r="O60" s="265">
        <v>58.5</v>
      </c>
      <c r="P60" s="270">
        <v>1</v>
      </c>
      <c r="Q60" s="255">
        <v>155025</v>
      </c>
      <c r="R60" s="283">
        <v>155025</v>
      </c>
      <c r="S60" s="283">
        <v>57054</v>
      </c>
      <c r="T60" s="287">
        <v>1</v>
      </c>
      <c r="U60" s="287">
        <v>0</v>
      </c>
      <c r="V60" s="287">
        <v>0</v>
      </c>
      <c r="W60" s="283">
        <v>0</v>
      </c>
      <c r="X60" s="283">
        <v>0</v>
      </c>
      <c r="Y60" s="199" t="s">
        <v>1395</v>
      </c>
      <c r="Z60" s="517" t="s">
        <v>5537</v>
      </c>
      <c r="AA60" s="493" t="s">
        <v>1485</v>
      </c>
      <c r="AB60" s="507"/>
    </row>
    <row r="61" spans="2:28" x14ac:dyDescent="0.15">
      <c r="B61" s="330" t="s">
        <v>2898</v>
      </c>
      <c r="C61" s="526">
        <v>42781</v>
      </c>
      <c r="D61" s="191" t="s">
        <v>1634</v>
      </c>
      <c r="E61" s="43" t="s">
        <v>1391</v>
      </c>
      <c r="F61" s="191" t="s">
        <v>3812</v>
      </c>
      <c r="G61" s="4" t="s">
        <v>1453</v>
      </c>
      <c r="H61" s="43"/>
      <c r="I61" s="4"/>
      <c r="J61" s="4" t="s">
        <v>262</v>
      </c>
      <c r="K61" s="4" t="s">
        <v>365</v>
      </c>
      <c r="L61" s="4" t="s">
        <v>1681</v>
      </c>
      <c r="M61" s="43" t="s">
        <v>1682</v>
      </c>
      <c r="N61" s="255">
        <v>248000</v>
      </c>
      <c r="O61" s="265">
        <v>60</v>
      </c>
      <c r="P61" s="270">
        <v>1</v>
      </c>
      <c r="Q61" s="255">
        <v>148800</v>
      </c>
      <c r="R61" s="283">
        <v>148800</v>
      </c>
      <c r="S61" s="283">
        <v>39202</v>
      </c>
      <c r="T61" s="287">
        <v>0</v>
      </c>
      <c r="U61" s="287">
        <v>1</v>
      </c>
      <c r="V61" s="287">
        <v>0</v>
      </c>
      <c r="W61" s="283">
        <v>14880</v>
      </c>
      <c r="X61" s="283">
        <v>0</v>
      </c>
      <c r="Y61" s="199" t="s">
        <v>1392</v>
      </c>
      <c r="Z61" s="517" t="s">
        <v>5532</v>
      </c>
      <c r="AA61" s="493" t="s">
        <v>1485</v>
      </c>
      <c r="AB61" s="507"/>
    </row>
    <row r="62" spans="2:28" x14ac:dyDescent="0.15">
      <c r="B62" s="330" t="s">
        <v>2899</v>
      </c>
      <c r="C62" s="526">
        <v>42783</v>
      </c>
      <c r="D62" s="191" t="s">
        <v>1622</v>
      </c>
      <c r="E62" s="43" t="s">
        <v>1396</v>
      </c>
      <c r="F62" s="191" t="s">
        <v>3796</v>
      </c>
      <c r="G62" s="4" t="s">
        <v>368</v>
      </c>
      <c r="H62" s="43" t="s">
        <v>792</v>
      </c>
      <c r="I62" s="4" t="s">
        <v>1413</v>
      </c>
      <c r="J62" s="4" t="s">
        <v>262</v>
      </c>
      <c r="K62" s="4" t="s">
        <v>365</v>
      </c>
      <c r="L62" s="190" t="s">
        <v>1688</v>
      </c>
      <c r="M62" s="43" t="s">
        <v>1684</v>
      </c>
      <c r="N62" s="255">
        <v>258000</v>
      </c>
      <c r="O62" s="265">
        <v>60</v>
      </c>
      <c r="P62" s="270">
        <v>1</v>
      </c>
      <c r="Q62" s="255">
        <v>154800</v>
      </c>
      <c r="R62" s="283">
        <v>154800</v>
      </c>
      <c r="S62" s="283">
        <v>40702</v>
      </c>
      <c r="T62" s="287">
        <v>0</v>
      </c>
      <c r="U62" s="287">
        <v>1</v>
      </c>
      <c r="V62" s="287">
        <v>0</v>
      </c>
      <c r="W62" s="283">
        <v>15480</v>
      </c>
      <c r="X62" s="283">
        <v>0</v>
      </c>
      <c r="Y62" s="199" t="s">
        <v>1392</v>
      </c>
      <c r="Z62" s="517" t="s">
        <v>5166</v>
      </c>
      <c r="AA62" s="493" t="s">
        <v>1485</v>
      </c>
      <c r="AB62" s="507"/>
    </row>
    <row r="63" spans="2:28" x14ac:dyDescent="0.15">
      <c r="B63" s="330" t="s">
        <v>2900</v>
      </c>
      <c r="C63" s="526">
        <v>42783</v>
      </c>
      <c r="D63" s="191" t="s">
        <v>1685</v>
      </c>
      <c r="E63" s="43" t="s">
        <v>1396</v>
      </c>
      <c r="F63" s="191" t="s">
        <v>3796</v>
      </c>
      <c r="G63" s="4" t="s">
        <v>368</v>
      </c>
      <c r="H63" s="43" t="s">
        <v>792</v>
      </c>
      <c r="I63" s="4" t="s">
        <v>1413</v>
      </c>
      <c r="J63" s="4" t="s">
        <v>262</v>
      </c>
      <c r="K63" s="4" t="s">
        <v>365</v>
      </c>
      <c r="L63" s="190" t="s">
        <v>1687</v>
      </c>
      <c r="M63" s="43" t="s">
        <v>1686</v>
      </c>
      <c r="N63" s="255">
        <v>228000</v>
      </c>
      <c r="O63" s="265">
        <v>60</v>
      </c>
      <c r="P63" s="270">
        <v>1</v>
      </c>
      <c r="Q63" s="255">
        <v>136800</v>
      </c>
      <c r="R63" s="283">
        <v>136800</v>
      </c>
      <c r="S63" s="283">
        <v>32002</v>
      </c>
      <c r="T63" s="287">
        <v>0</v>
      </c>
      <c r="U63" s="287">
        <v>1</v>
      </c>
      <c r="V63" s="287">
        <v>0</v>
      </c>
      <c r="W63" s="283">
        <v>13680</v>
      </c>
      <c r="X63" s="283">
        <v>0</v>
      </c>
      <c r="Y63" s="199" t="s">
        <v>1392</v>
      </c>
      <c r="Z63" s="517" t="s">
        <v>5166</v>
      </c>
      <c r="AA63" s="493" t="s">
        <v>1485</v>
      </c>
      <c r="AB63" s="507"/>
    </row>
    <row r="64" spans="2:28" x14ac:dyDescent="0.15">
      <c r="B64" s="330" t="s">
        <v>2901</v>
      </c>
      <c r="C64" s="526">
        <v>42783</v>
      </c>
      <c r="D64" s="191" t="s">
        <v>1689</v>
      </c>
      <c r="E64" s="43" t="s">
        <v>1391</v>
      </c>
      <c r="F64" s="191" t="s">
        <v>3794</v>
      </c>
      <c r="G64" s="4" t="s">
        <v>364</v>
      </c>
      <c r="H64" s="43" t="s">
        <v>492</v>
      </c>
      <c r="I64" s="4" t="s">
        <v>1431</v>
      </c>
      <c r="J64" s="4" t="s">
        <v>262</v>
      </c>
      <c r="K64" s="4" t="s">
        <v>365</v>
      </c>
      <c r="L64" s="4" t="s">
        <v>1690</v>
      </c>
      <c r="M64" s="43" t="s">
        <v>1691</v>
      </c>
      <c r="N64" s="255">
        <v>260000</v>
      </c>
      <c r="O64" s="265">
        <v>60</v>
      </c>
      <c r="P64" s="270">
        <v>1</v>
      </c>
      <c r="Q64" s="255">
        <v>156000</v>
      </c>
      <c r="R64" s="283">
        <v>156000</v>
      </c>
      <c r="S64" s="283">
        <v>46728</v>
      </c>
      <c r="T64" s="287">
        <v>0</v>
      </c>
      <c r="U64" s="287">
        <v>1</v>
      </c>
      <c r="V64" s="287">
        <v>0</v>
      </c>
      <c r="W64" s="283">
        <v>15600</v>
      </c>
      <c r="X64" s="283">
        <v>0</v>
      </c>
      <c r="Y64" s="199" t="s">
        <v>1392</v>
      </c>
      <c r="Z64" s="517" t="s">
        <v>5167</v>
      </c>
      <c r="AA64" s="493" t="s">
        <v>1485</v>
      </c>
      <c r="AB64" s="507"/>
    </row>
    <row r="65" spans="2:28" x14ac:dyDescent="0.15">
      <c r="B65" s="330" t="s">
        <v>2902</v>
      </c>
      <c r="C65" s="526">
        <v>42783</v>
      </c>
      <c r="D65" s="191" t="s">
        <v>1692</v>
      </c>
      <c r="E65" s="43" t="s">
        <v>1391</v>
      </c>
      <c r="F65" s="191" t="s">
        <v>3797</v>
      </c>
      <c r="G65" s="4" t="s">
        <v>362</v>
      </c>
      <c r="H65" s="43" t="s">
        <v>689</v>
      </c>
      <c r="I65" s="4" t="s">
        <v>1394</v>
      </c>
      <c r="J65" s="4" t="s">
        <v>271</v>
      </c>
      <c r="K65" s="4" t="s">
        <v>1160</v>
      </c>
      <c r="L65" s="4" t="s">
        <v>1693</v>
      </c>
      <c r="M65" s="43" t="s">
        <v>1694</v>
      </c>
      <c r="N65" s="255">
        <v>368000</v>
      </c>
      <c r="O65" s="265">
        <v>58.5</v>
      </c>
      <c r="P65" s="270">
        <v>1</v>
      </c>
      <c r="Q65" s="255">
        <v>215279</v>
      </c>
      <c r="R65" s="283">
        <v>215279</v>
      </c>
      <c r="S65" s="283">
        <v>41506</v>
      </c>
      <c r="T65" s="287">
        <v>1</v>
      </c>
      <c r="U65" s="287">
        <v>0</v>
      </c>
      <c r="V65" s="287">
        <v>0</v>
      </c>
      <c r="W65" s="283">
        <v>0</v>
      </c>
      <c r="X65" s="283">
        <v>0</v>
      </c>
      <c r="Y65" s="199" t="s">
        <v>1395</v>
      </c>
      <c r="Z65" s="517" t="s">
        <v>5166</v>
      </c>
      <c r="AA65" s="493" t="s">
        <v>1485</v>
      </c>
      <c r="AB65" s="507"/>
    </row>
    <row r="66" spans="2:28" x14ac:dyDescent="0.15">
      <c r="B66" s="330" t="s">
        <v>2903</v>
      </c>
      <c r="C66" s="526">
        <v>42786</v>
      </c>
      <c r="D66" s="191" t="s">
        <v>1689</v>
      </c>
      <c r="E66" s="43" t="s">
        <v>1391</v>
      </c>
      <c r="F66" s="191" t="s">
        <v>3794</v>
      </c>
      <c r="G66" s="4" t="s">
        <v>364</v>
      </c>
      <c r="H66" s="43" t="s">
        <v>500</v>
      </c>
      <c r="I66" s="4" t="s">
        <v>1700</v>
      </c>
      <c r="J66" s="4" t="s">
        <v>268</v>
      </c>
      <c r="K66" s="4" t="s">
        <v>1158</v>
      </c>
      <c r="L66" s="4" t="s">
        <v>1577</v>
      </c>
      <c r="M66" s="43" t="s">
        <v>1701</v>
      </c>
      <c r="N66" s="255">
        <v>230000</v>
      </c>
      <c r="O66" s="265">
        <v>65</v>
      </c>
      <c r="P66" s="270">
        <v>1</v>
      </c>
      <c r="Q66" s="255">
        <v>149500</v>
      </c>
      <c r="R66" s="283">
        <v>149500</v>
      </c>
      <c r="S66" s="283">
        <v>39576</v>
      </c>
      <c r="T66" s="287">
        <v>0</v>
      </c>
      <c r="U66" s="287">
        <v>1</v>
      </c>
      <c r="V66" s="287">
        <v>0</v>
      </c>
      <c r="W66" s="283">
        <v>17250</v>
      </c>
      <c r="X66" s="283">
        <v>0</v>
      </c>
      <c r="Y66" s="199" t="s">
        <v>1392</v>
      </c>
      <c r="Z66" s="517" t="s">
        <v>5167</v>
      </c>
      <c r="AA66" s="493" t="s">
        <v>1485</v>
      </c>
      <c r="AB66" s="507"/>
    </row>
    <row r="67" spans="2:28" x14ac:dyDescent="0.15">
      <c r="B67" s="330" t="s">
        <v>2904</v>
      </c>
      <c r="C67" s="526">
        <v>42786</v>
      </c>
      <c r="D67" s="191" t="s">
        <v>1711</v>
      </c>
      <c r="E67" s="43" t="s">
        <v>1396</v>
      </c>
      <c r="F67" s="191" t="s">
        <v>3795</v>
      </c>
      <c r="G67" s="4" t="s">
        <v>1321</v>
      </c>
      <c r="H67" s="43"/>
      <c r="I67" s="4"/>
      <c r="J67" s="4"/>
      <c r="K67" s="4"/>
      <c r="L67" s="4" t="s">
        <v>1418</v>
      </c>
      <c r="M67" s="43"/>
      <c r="N67" s="255">
        <v>-24325</v>
      </c>
      <c r="O67" s="265">
        <v>100</v>
      </c>
      <c r="P67" s="270">
        <v>-1</v>
      </c>
      <c r="Q67" s="255">
        <v>-24325</v>
      </c>
      <c r="R67" s="283">
        <v>-24325</v>
      </c>
      <c r="S67" s="283">
        <v>-24325</v>
      </c>
      <c r="T67" s="287">
        <v>0</v>
      </c>
      <c r="U67" s="287">
        <v>0</v>
      </c>
      <c r="V67" s="287">
        <v>0</v>
      </c>
      <c r="W67" s="283">
        <v>24325</v>
      </c>
      <c r="X67" s="283">
        <v>0</v>
      </c>
      <c r="Y67" s="199" t="s">
        <v>1392</v>
      </c>
      <c r="Z67" s="517" t="s">
        <v>5449</v>
      </c>
      <c r="AA67" s="493"/>
      <c r="AB67" s="507"/>
    </row>
    <row r="68" spans="2:28" x14ac:dyDescent="0.15">
      <c r="B68" s="330" t="s">
        <v>2905</v>
      </c>
      <c r="C68" s="525">
        <v>42787</v>
      </c>
      <c r="D68" s="198" t="s">
        <v>1598</v>
      </c>
      <c r="E68" s="53" t="s">
        <v>1396</v>
      </c>
      <c r="F68" s="198" t="s">
        <v>3800</v>
      </c>
      <c r="G68" s="3" t="s">
        <v>50</v>
      </c>
      <c r="H68" s="53" t="s">
        <v>381</v>
      </c>
      <c r="I68" s="3" t="s">
        <v>1408</v>
      </c>
      <c r="J68" s="4" t="s">
        <v>272</v>
      </c>
      <c r="K68" s="4" t="s">
        <v>363</v>
      </c>
      <c r="L68" s="4" t="s">
        <v>1635</v>
      </c>
      <c r="M68" s="43" t="s">
        <v>1653</v>
      </c>
      <c r="N68" s="255">
        <v>280000</v>
      </c>
      <c r="O68" s="265">
        <v>60</v>
      </c>
      <c r="P68" s="270">
        <v>1</v>
      </c>
      <c r="Q68" s="255">
        <v>168000</v>
      </c>
      <c r="R68" s="283">
        <v>168000</v>
      </c>
      <c r="S68" s="283">
        <v>50510</v>
      </c>
      <c r="T68" s="287">
        <v>0</v>
      </c>
      <c r="U68" s="287">
        <v>1</v>
      </c>
      <c r="V68" s="287">
        <v>0</v>
      </c>
      <c r="W68" s="283">
        <v>16800</v>
      </c>
      <c r="X68" s="283">
        <v>0</v>
      </c>
      <c r="Y68" s="199" t="s">
        <v>1392</v>
      </c>
      <c r="Z68" s="517" t="s">
        <v>5166</v>
      </c>
      <c r="AA68" s="493" t="s">
        <v>1485</v>
      </c>
      <c r="AB68" s="507"/>
    </row>
    <row r="69" spans="2:28" x14ac:dyDescent="0.15">
      <c r="B69" s="330" t="s">
        <v>2906</v>
      </c>
      <c r="C69" s="525">
        <v>42787</v>
      </c>
      <c r="D69" s="198" t="s">
        <v>1598</v>
      </c>
      <c r="E69" s="53" t="s">
        <v>1396</v>
      </c>
      <c r="F69" s="198" t="s">
        <v>3800</v>
      </c>
      <c r="G69" s="3" t="s">
        <v>50</v>
      </c>
      <c r="H69" s="53" t="s">
        <v>381</v>
      </c>
      <c r="I69" s="3" t="s">
        <v>1408</v>
      </c>
      <c r="J69" s="4" t="s">
        <v>272</v>
      </c>
      <c r="K69" s="4" t="s">
        <v>363</v>
      </c>
      <c r="L69" s="4" t="s">
        <v>1654</v>
      </c>
      <c r="M69" s="43" t="s">
        <v>1646</v>
      </c>
      <c r="N69" s="255">
        <v>280000</v>
      </c>
      <c r="O69" s="265">
        <v>60</v>
      </c>
      <c r="P69" s="270">
        <v>1</v>
      </c>
      <c r="Q69" s="255">
        <v>168000</v>
      </c>
      <c r="R69" s="283">
        <v>168000</v>
      </c>
      <c r="S69" s="283">
        <v>50510</v>
      </c>
      <c r="T69" s="287">
        <v>0</v>
      </c>
      <c r="U69" s="287">
        <v>1</v>
      </c>
      <c r="V69" s="287">
        <v>0</v>
      </c>
      <c r="W69" s="283">
        <v>16800</v>
      </c>
      <c r="X69" s="283">
        <v>0</v>
      </c>
      <c r="Y69" s="199" t="s">
        <v>1392</v>
      </c>
      <c r="Z69" s="517" t="s">
        <v>5166</v>
      </c>
      <c r="AA69" s="493" t="s">
        <v>1485</v>
      </c>
      <c r="AB69" s="507"/>
    </row>
    <row r="70" spans="2:28" x14ac:dyDescent="0.15">
      <c r="B70" s="330" t="s">
        <v>2907</v>
      </c>
      <c r="C70" s="525">
        <v>42787</v>
      </c>
      <c r="D70" s="198" t="s">
        <v>1632</v>
      </c>
      <c r="E70" s="53" t="s">
        <v>1396</v>
      </c>
      <c r="F70" s="198" t="s">
        <v>3800</v>
      </c>
      <c r="G70" s="3" t="s">
        <v>50</v>
      </c>
      <c r="H70" s="53" t="s">
        <v>381</v>
      </c>
      <c r="I70" s="3" t="s">
        <v>1408</v>
      </c>
      <c r="J70" s="4" t="s">
        <v>271</v>
      </c>
      <c r="K70" s="4" t="s">
        <v>1160</v>
      </c>
      <c r="L70" s="4" t="s">
        <v>1503</v>
      </c>
      <c r="M70" s="43" t="s">
        <v>1665</v>
      </c>
      <c r="N70" s="255">
        <v>234000</v>
      </c>
      <c r="O70" s="265">
        <v>100</v>
      </c>
      <c r="P70" s="270">
        <v>1</v>
      </c>
      <c r="Q70" s="255">
        <v>234000</v>
      </c>
      <c r="R70" s="283">
        <v>234000</v>
      </c>
      <c r="S70" s="283">
        <v>56536</v>
      </c>
      <c r="T70" s="287">
        <v>0</v>
      </c>
      <c r="U70" s="287">
        <v>1</v>
      </c>
      <c r="V70" s="287">
        <v>0</v>
      </c>
      <c r="W70" s="283">
        <v>29250</v>
      </c>
      <c r="X70" s="283">
        <v>0</v>
      </c>
      <c r="Y70" s="199" t="s">
        <v>1392</v>
      </c>
      <c r="Z70" s="517" t="s">
        <v>5166</v>
      </c>
      <c r="AA70" s="493" t="s">
        <v>1485</v>
      </c>
      <c r="AB70" s="507"/>
    </row>
    <row r="71" spans="2:28" x14ac:dyDescent="0.15">
      <c r="B71" s="330" t="s">
        <v>2908</v>
      </c>
      <c r="C71" s="525">
        <v>42787</v>
      </c>
      <c r="D71" s="198" t="s">
        <v>1602</v>
      </c>
      <c r="E71" s="53" t="s">
        <v>1396</v>
      </c>
      <c r="F71" s="198" t="s">
        <v>3800</v>
      </c>
      <c r="G71" s="3" t="s">
        <v>50</v>
      </c>
      <c r="H71" s="53" t="s">
        <v>1434</v>
      </c>
      <c r="I71" s="3" t="s">
        <v>1435</v>
      </c>
      <c r="J71" s="4" t="s">
        <v>292</v>
      </c>
      <c r="K71" s="4" t="s">
        <v>1163</v>
      </c>
      <c r="L71" s="4" t="s">
        <v>1666</v>
      </c>
      <c r="M71" s="43" t="s">
        <v>1667</v>
      </c>
      <c r="N71" s="255">
        <v>350000</v>
      </c>
      <c r="O71" s="265">
        <v>60</v>
      </c>
      <c r="P71" s="270">
        <v>1</v>
      </c>
      <c r="Q71" s="255">
        <v>210000</v>
      </c>
      <c r="R71" s="283">
        <v>210000</v>
      </c>
      <c r="S71" s="283">
        <v>44276</v>
      </c>
      <c r="T71" s="287">
        <v>0</v>
      </c>
      <c r="U71" s="287">
        <v>1</v>
      </c>
      <c r="V71" s="287">
        <v>0</v>
      </c>
      <c r="W71" s="283">
        <v>21000</v>
      </c>
      <c r="X71" s="283">
        <v>0</v>
      </c>
      <c r="Y71" s="199" t="s">
        <v>1392</v>
      </c>
      <c r="Z71" s="517" t="s">
        <v>5167</v>
      </c>
      <c r="AA71" s="493" t="s">
        <v>1485</v>
      </c>
      <c r="AB71" s="507"/>
    </row>
    <row r="72" spans="2:28" x14ac:dyDescent="0.15">
      <c r="B72" s="330" t="s">
        <v>2909</v>
      </c>
      <c r="C72" s="525">
        <v>42787</v>
      </c>
      <c r="D72" s="198" t="s">
        <v>1604</v>
      </c>
      <c r="E72" s="53" t="s">
        <v>1396</v>
      </c>
      <c r="F72" s="198" t="s">
        <v>3800</v>
      </c>
      <c r="G72" s="3" t="s">
        <v>50</v>
      </c>
      <c r="H72" s="53" t="s">
        <v>1434</v>
      </c>
      <c r="I72" s="3" t="s">
        <v>1435</v>
      </c>
      <c r="J72" s="4" t="s">
        <v>293</v>
      </c>
      <c r="K72" s="4" t="s">
        <v>1164</v>
      </c>
      <c r="L72" s="4" t="s">
        <v>1668</v>
      </c>
      <c r="M72" s="43" t="s">
        <v>1669</v>
      </c>
      <c r="N72" s="255">
        <v>440000</v>
      </c>
      <c r="O72" s="265">
        <v>60</v>
      </c>
      <c r="P72" s="270">
        <v>1</v>
      </c>
      <c r="Q72" s="255">
        <v>264000</v>
      </c>
      <c r="R72" s="283">
        <v>264000</v>
      </c>
      <c r="S72" s="283">
        <v>60696</v>
      </c>
      <c r="T72" s="287">
        <v>0</v>
      </c>
      <c r="U72" s="287">
        <v>1</v>
      </c>
      <c r="V72" s="287">
        <v>0</v>
      </c>
      <c r="W72" s="283">
        <v>26400</v>
      </c>
      <c r="X72" s="283">
        <v>0</v>
      </c>
      <c r="Y72" s="199" t="s">
        <v>1392</v>
      </c>
      <c r="Z72" s="517" t="s">
        <v>5167</v>
      </c>
      <c r="AA72" s="493" t="s">
        <v>1485</v>
      </c>
      <c r="AB72" s="507"/>
    </row>
    <row r="73" spans="2:28" x14ac:dyDescent="0.15">
      <c r="B73" s="330" t="s">
        <v>2910</v>
      </c>
      <c r="C73" s="525">
        <v>42787</v>
      </c>
      <c r="D73" s="198" t="s">
        <v>1606</v>
      </c>
      <c r="E73" s="53" t="s">
        <v>1396</v>
      </c>
      <c r="F73" s="198" t="s">
        <v>3800</v>
      </c>
      <c r="G73" s="3" t="s">
        <v>50</v>
      </c>
      <c r="H73" s="53" t="s">
        <v>1434</v>
      </c>
      <c r="I73" s="3" t="s">
        <v>1435</v>
      </c>
      <c r="J73" s="3" t="s">
        <v>264</v>
      </c>
      <c r="K73" s="3" t="s">
        <v>538</v>
      </c>
      <c r="L73" s="3" t="s">
        <v>1670</v>
      </c>
      <c r="M73" s="53" t="s">
        <v>1671</v>
      </c>
      <c r="N73" s="258">
        <v>243000</v>
      </c>
      <c r="O73" s="266">
        <v>60</v>
      </c>
      <c r="P73" s="272">
        <v>1</v>
      </c>
      <c r="Q73" s="258">
        <v>145800</v>
      </c>
      <c r="R73" s="286">
        <v>145800</v>
      </c>
      <c r="S73" s="286">
        <v>46633</v>
      </c>
      <c r="T73" s="288">
        <v>0</v>
      </c>
      <c r="U73" s="288">
        <v>1</v>
      </c>
      <c r="V73" s="288">
        <v>0</v>
      </c>
      <c r="W73" s="286">
        <v>14580</v>
      </c>
      <c r="X73" s="286">
        <v>0</v>
      </c>
      <c r="Y73" s="200" t="s">
        <v>1392</v>
      </c>
      <c r="Z73" s="517" t="s">
        <v>5540</v>
      </c>
      <c r="AA73" s="499" t="s">
        <v>1485</v>
      </c>
      <c r="AB73" s="508"/>
    </row>
    <row r="74" spans="2:28" x14ac:dyDescent="0.15">
      <c r="B74" s="330" t="s">
        <v>2911</v>
      </c>
      <c r="C74" s="525">
        <v>42787</v>
      </c>
      <c r="D74" s="198" t="s">
        <v>1608</v>
      </c>
      <c r="E74" s="53" t="s">
        <v>1396</v>
      </c>
      <c r="F74" s="198" t="s">
        <v>3800</v>
      </c>
      <c r="G74" s="3" t="s">
        <v>50</v>
      </c>
      <c r="H74" s="53" t="s">
        <v>1434</v>
      </c>
      <c r="I74" s="3" t="s">
        <v>1435</v>
      </c>
      <c r="J74" s="4" t="s">
        <v>270</v>
      </c>
      <c r="K74" s="4" t="s">
        <v>539</v>
      </c>
      <c r="L74" s="190" t="s">
        <v>1673</v>
      </c>
      <c r="M74" s="43" t="s">
        <v>1672</v>
      </c>
      <c r="N74" s="255">
        <v>295000</v>
      </c>
      <c r="O74" s="265">
        <v>60</v>
      </c>
      <c r="P74" s="270">
        <v>1</v>
      </c>
      <c r="Q74" s="255">
        <v>177000</v>
      </c>
      <c r="R74" s="283">
        <v>177000</v>
      </c>
      <c r="S74" s="283">
        <v>37429</v>
      </c>
      <c r="T74" s="287">
        <v>0</v>
      </c>
      <c r="U74" s="287">
        <v>1</v>
      </c>
      <c r="V74" s="287">
        <v>0</v>
      </c>
      <c r="W74" s="283">
        <v>17700</v>
      </c>
      <c r="X74" s="283">
        <v>0</v>
      </c>
      <c r="Y74" s="199" t="s">
        <v>1392</v>
      </c>
      <c r="Z74" s="517" t="s">
        <v>5167</v>
      </c>
      <c r="AA74" s="493" t="s">
        <v>1485</v>
      </c>
      <c r="AB74" s="507"/>
    </row>
    <row r="75" spans="2:28" x14ac:dyDescent="0.15">
      <c r="B75" s="330" t="s">
        <v>2912</v>
      </c>
      <c r="C75" s="525">
        <v>42790</v>
      </c>
      <c r="D75" s="198" t="s">
        <v>1622</v>
      </c>
      <c r="E75" s="53" t="s">
        <v>1396</v>
      </c>
      <c r="F75" s="198" t="s">
        <v>3800</v>
      </c>
      <c r="G75" s="3" t="s">
        <v>50</v>
      </c>
      <c r="H75" s="53" t="s">
        <v>381</v>
      </c>
      <c r="I75" s="3" t="s">
        <v>1408</v>
      </c>
      <c r="J75" s="4" t="s">
        <v>265</v>
      </c>
      <c r="K75" s="4" t="s">
        <v>1155</v>
      </c>
      <c r="L75" s="4" t="s">
        <v>1696</v>
      </c>
      <c r="M75" s="43" t="s">
        <v>1697</v>
      </c>
      <c r="N75" s="255">
        <v>186000</v>
      </c>
      <c r="O75" s="265">
        <v>100</v>
      </c>
      <c r="P75" s="270">
        <v>1</v>
      </c>
      <c r="Q75" s="255">
        <v>186000</v>
      </c>
      <c r="R75" s="283">
        <v>186000</v>
      </c>
      <c r="S75" s="283">
        <v>52900</v>
      </c>
      <c r="T75" s="287">
        <v>0</v>
      </c>
      <c r="U75" s="287">
        <v>1</v>
      </c>
      <c r="V75" s="287">
        <v>0</v>
      </c>
      <c r="W75" s="283">
        <v>18600</v>
      </c>
      <c r="X75" s="283">
        <v>0</v>
      </c>
      <c r="Y75" s="199" t="s">
        <v>1392</v>
      </c>
      <c r="Z75" s="517" t="s">
        <v>5166</v>
      </c>
      <c r="AA75" s="493" t="s">
        <v>1485</v>
      </c>
      <c r="AB75" s="507"/>
    </row>
    <row r="76" spans="2:28" x14ac:dyDescent="0.15">
      <c r="B76" s="330" t="s">
        <v>2913</v>
      </c>
      <c r="C76" s="525">
        <v>42790</v>
      </c>
      <c r="D76" s="198" t="s">
        <v>1685</v>
      </c>
      <c r="E76" s="53" t="s">
        <v>1396</v>
      </c>
      <c r="F76" s="198" t="s">
        <v>3800</v>
      </c>
      <c r="G76" s="3" t="s">
        <v>50</v>
      </c>
      <c r="H76" s="53" t="s">
        <v>381</v>
      </c>
      <c r="I76" s="3" t="s">
        <v>1408</v>
      </c>
      <c r="J76" s="4" t="s">
        <v>272</v>
      </c>
      <c r="K76" s="4" t="s">
        <v>363</v>
      </c>
      <c r="L76" s="4" t="s">
        <v>1698</v>
      </c>
      <c r="M76" s="191" t="s">
        <v>1699</v>
      </c>
      <c r="N76" s="255">
        <v>290000</v>
      </c>
      <c r="O76" s="265">
        <v>60</v>
      </c>
      <c r="P76" s="270">
        <v>1</v>
      </c>
      <c r="Q76" s="255">
        <v>174000</v>
      </c>
      <c r="R76" s="283">
        <v>174000</v>
      </c>
      <c r="S76" s="283">
        <v>53410</v>
      </c>
      <c r="T76" s="287">
        <v>0</v>
      </c>
      <c r="U76" s="287">
        <v>1</v>
      </c>
      <c r="V76" s="287">
        <v>0</v>
      </c>
      <c r="W76" s="283">
        <v>17400</v>
      </c>
      <c r="X76" s="283">
        <v>0</v>
      </c>
      <c r="Y76" s="199" t="s">
        <v>1392</v>
      </c>
      <c r="Z76" s="517" t="s">
        <v>5166</v>
      </c>
      <c r="AA76" s="493" t="s">
        <v>1485</v>
      </c>
      <c r="AB76" s="507"/>
    </row>
    <row r="77" spans="2:28" x14ac:dyDescent="0.15">
      <c r="B77" s="330" t="s">
        <v>2914</v>
      </c>
      <c r="C77" s="525">
        <v>42790</v>
      </c>
      <c r="D77" s="198" t="s">
        <v>1703</v>
      </c>
      <c r="E77" s="53" t="s">
        <v>1396</v>
      </c>
      <c r="F77" s="198" t="s">
        <v>3800</v>
      </c>
      <c r="G77" s="3" t="s">
        <v>50</v>
      </c>
      <c r="H77" s="53" t="s">
        <v>381</v>
      </c>
      <c r="I77" s="3" t="s">
        <v>1408</v>
      </c>
      <c r="J77" s="4" t="s">
        <v>270</v>
      </c>
      <c r="K77" s="4" t="s">
        <v>539</v>
      </c>
      <c r="L77" s="4" t="s">
        <v>1704</v>
      </c>
      <c r="M77" s="43" t="s">
        <v>1705</v>
      </c>
      <c r="N77" s="255">
        <v>154800</v>
      </c>
      <c r="O77" s="265">
        <v>100</v>
      </c>
      <c r="P77" s="270">
        <v>1</v>
      </c>
      <c r="Q77" s="255">
        <v>154800</v>
      </c>
      <c r="R77" s="283">
        <v>154800</v>
      </c>
      <c r="S77" s="283">
        <v>21519</v>
      </c>
      <c r="T77" s="287">
        <v>0</v>
      </c>
      <c r="U77" s="287">
        <v>1</v>
      </c>
      <c r="V77" s="287">
        <v>0</v>
      </c>
      <c r="W77" s="283">
        <v>15480</v>
      </c>
      <c r="X77" s="283">
        <v>0</v>
      </c>
      <c r="Y77" s="199" t="s">
        <v>1392</v>
      </c>
      <c r="Z77" s="517" t="s">
        <v>5166</v>
      </c>
      <c r="AA77" s="493" t="s">
        <v>1485</v>
      </c>
      <c r="AB77" s="507"/>
    </row>
    <row r="78" spans="2:28" x14ac:dyDescent="0.15">
      <c r="B78" s="330" t="s">
        <v>2915</v>
      </c>
      <c r="C78" s="525">
        <v>42790</v>
      </c>
      <c r="D78" s="198" t="s">
        <v>1706</v>
      </c>
      <c r="E78" s="53" t="s">
        <v>1396</v>
      </c>
      <c r="F78" s="198" t="s">
        <v>3800</v>
      </c>
      <c r="G78" s="3" t="s">
        <v>50</v>
      </c>
      <c r="H78" s="53" t="s">
        <v>380</v>
      </c>
      <c r="I78" s="3" t="s">
        <v>1410</v>
      </c>
      <c r="J78" s="4" t="s">
        <v>270</v>
      </c>
      <c r="K78" s="4" t="s">
        <v>539</v>
      </c>
      <c r="L78" s="4" t="s">
        <v>1707</v>
      </c>
      <c r="M78" s="43" t="s">
        <v>1708</v>
      </c>
      <c r="N78" s="255">
        <v>166800</v>
      </c>
      <c r="O78" s="265">
        <v>100</v>
      </c>
      <c r="P78" s="270">
        <v>1</v>
      </c>
      <c r="Q78" s="255">
        <v>166800</v>
      </c>
      <c r="R78" s="283">
        <v>166800</v>
      </c>
      <c r="S78" s="283">
        <v>26319</v>
      </c>
      <c r="T78" s="287">
        <v>0</v>
      </c>
      <c r="U78" s="287">
        <v>1</v>
      </c>
      <c r="V78" s="287">
        <v>0</v>
      </c>
      <c r="W78" s="283">
        <v>16680</v>
      </c>
      <c r="X78" s="283">
        <v>0</v>
      </c>
      <c r="Y78" s="199" t="s">
        <v>1392</v>
      </c>
      <c r="Z78" s="517" t="s">
        <v>5542</v>
      </c>
      <c r="AA78" s="493" t="s">
        <v>1485</v>
      </c>
      <c r="AB78" s="507"/>
    </row>
    <row r="79" spans="2:28" x14ac:dyDescent="0.15">
      <c r="B79" s="330" t="s">
        <v>2916</v>
      </c>
      <c r="C79" s="525">
        <v>42795</v>
      </c>
      <c r="D79" s="198" t="s">
        <v>1619</v>
      </c>
      <c r="E79" s="53" t="s">
        <v>1391</v>
      </c>
      <c r="F79" s="198" t="s">
        <v>3812</v>
      </c>
      <c r="G79" s="3" t="s">
        <v>1453</v>
      </c>
      <c r="H79" s="53"/>
      <c r="I79" s="3"/>
      <c r="J79" s="4" t="s">
        <v>262</v>
      </c>
      <c r="K79" s="4" t="s">
        <v>365</v>
      </c>
      <c r="L79" s="4" t="s">
        <v>1590</v>
      </c>
      <c r="M79" s="43" t="s">
        <v>1683</v>
      </c>
      <c r="N79" s="255">
        <v>238000</v>
      </c>
      <c r="O79" s="265">
        <v>60</v>
      </c>
      <c r="P79" s="270">
        <v>1</v>
      </c>
      <c r="Q79" s="255">
        <v>142800</v>
      </c>
      <c r="R79" s="283">
        <v>142800</v>
      </c>
      <c r="S79" s="283">
        <v>34902</v>
      </c>
      <c r="T79" s="287">
        <v>0</v>
      </c>
      <c r="U79" s="287">
        <v>1</v>
      </c>
      <c r="V79" s="287">
        <v>0</v>
      </c>
      <c r="W79" s="283">
        <v>14280</v>
      </c>
      <c r="X79" s="283">
        <v>0</v>
      </c>
      <c r="Y79" s="199" t="s">
        <v>1392</v>
      </c>
      <c r="Z79" s="517" t="s">
        <v>5166</v>
      </c>
      <c r="AA79" s="493" t="s">
        <v>1485</v>
      </c>
      <c r="AB79" s="507"/>
    </row>
    <row r="80" spans="2:28" x14ac:dyDescent="0.15">
      <c r="B80" s="330" t="s">
        <v>2917</v>
      </c>
      <c r="C80" s="525">
        <v>42795</v>
      </c>
      <c r="D80" s="198" t="s">
        <v>1692</v>
      </c>
      <c r="E80" s="53" t="s">
        <v>1391</v>
      </c>
      <c r="F80" s="198" t="s">
        <v>3798</v>
      </c>
      <c r="G80" s="3" t="s">
        <v>370</v>
      </c>
      <c r="H80" s="53" t="s">
        <v>1491</v>
      </c>
      <c r="I80" s="3" t="s">
        <v>1492</v>
      </c>
      <c r="J80" s="4" t="s">
        <v>268</v>
      </c>
      <c r="K80" s="4" t="s">
        <v>1158</v>
      </c>
      <c r="L80" s="4" t="s">
        <v>1577</v>
      </c>
      <c r="M80" s="43" t="s">
        <v>1702</v>
      </c>
      <c r="N80" s="255">
        <v>138000</v>
      </c>
      <c r="O80" s="265">
        <v>100</v>
      </c>
      <c r="P80" s="270">
        <v>1</v>
      </c>
      <c r="Q80" s="255">
        <v>138000</v>
      </c>
      <c r="R80" s="283">
        <v>138000</v>
      </c>
      <c r="S80" s="283">
        <v>31529</v>
      </c>
      <c r="T80" s="287">
        <v>0</v>
      </c>
      <c r="U80" s="287">
        <v>1</v>
      </c>
      <c r="V80" s="287">
        <v>0</v>
      </c>
      <c r="W80" s="283">
        <v>13800</v>
      </c>
      <c r="X80" s="283">
        <v>0</v>
      </c>
      <c r="Y80" s="199" t="s">
        <v>1392</v>
      </c>
      <c r="Z80" s="517" t="s">
        <v>5167</v>
      </c>
      <c r="AA80" s="493" t="s">
        <v>1485</v>
      </c>
      <c r="AB80" s="507"/>
    </row>
    <row r="81" spans="2:28" x14ac:dyDescent="0.15">
      <c r="B81" s="330" t="s">
        <v>2918</v>
      </c>
      <c r="C81" s="525">
        <v>42795</v>
      </c>
      <c r="D81" s="198" t="s">
        <v>1709</v>
      </c>
      <c r="E81" s="53" t="s">
        <v>1391</v>
      </c>
      <c r="F81" s="198" t="s">
        <v>3798</v>
      </c>
      <c r="G81" s="3" t="s">
        <v>370</v>
      </c>
      <c r="H81" s="53" t="s">
        <v>1491</v>
      </c>
      <c r="I81" s="3" t="s">
        <v>1492</v>
      </c>
      <c r="J81" s="4" t="s">
        <v>271</v>
      </c>
      <c r="K81" s="4" t="s">
        <v>1160</v>
      </c>
      <c r="L81" s="4" t="s">
        <v>1710</v>
      </c>
      <c r="M81" s="43" t="s">
        <v>1701</v>
      </c>
      <c r="N81" s="255">
        <v>192600</v>
      </c>
      <c r="O81" s="265">
        <v>100</v>
      </c>
      <c r="P81" s="270">
        <v>1</v>
      </c>
      <c r="Q81" s="255">
        <v>192600</v>
      </c>
      <c r="R81" s="283">
        <v>192600</v>
      </c>
      <c r="S81" s="283">
        <v>48703</v>
      </c>
      <c r="T81" s="287">
        <v>0</v>
      </c>
      <c r="U81" s="287">
        <v>1</v>
      </c>
      <c r="V81" s="287">
        <v>0</v>
      </c>
      <c r="W81" s="283">
        <v>19260</v>
      </c>
      <c r="X81" s="283">
        <v>0</v>
      </c>
      <c r="Y81" s="199" t="s">
        <v>1392</v>
      </c>
      <c r="Z81" s="517" t="s">
        <v>5540</v>
      </c>
      <c r="AA81" s="493" t="s">
        <v>1485</v>
      </c>
      <c r="AB81" s="507"/>
    </row>
    <row r="82" spans="2:28" x14ac:dyDescent="0.15">
      <c r="B82" s="330" t="s">
        <v>2919</v>
      </c>
      <c r="C82" s="525">
        <v>42795</v>
      </c>
      <c r="D82" s="198" t="s">
        <v>1712</v>
      </c>
      <c r="E82" s="53" t="s">
        <v>1391</v>
      </c>
      <c r="F82" s="198" t="s">
        <v>3797</v>
      </c>
      <c r="G82" s="3" t="s">
        <v>362</v>
      </c>
      <c r="H82" s="53" t="s">
        <v>689</v>
      </c>
      <c r="I82" s="3" t="s">
        <v>1394</v>
      </c>
      <c r="J82" s="4" t="s">
        <v>270</v>
      </c>
      <c r="K82" s="4" t="s">
        <v>539</v>
      </c>
      <c r="L82" s="4" t="s">
        <v>1639</v>
      </c>
      <c r="M82" s="43" t="s">
        <v>1713</v>
      </c>
      <c r="N82" s="255">
        <v>268000</v>
      </c>
      <c r="O82" s="265">
        <v>58.5</v>
      </c>
      <c r="P82" s="270">
        <v>1</v>
      </c>
      <c r="Q82" s="255">
        <v>156780</v>
      </c>
      <c r="R82" s="283">
        <v>156780</v>
      </c>
      <c r="S82" s="283">
        <v>34979</v>
      </c>
      <c r="T82" s="287">
        <v>1</v>
      </c>
      <c r="U82" s="287">
        <v>0</v>
      </c>
      <c r="V82" s="287">
        <v>0</v>
      </c>
      <c r="W82" s="283">
        <v>0</v>
      </c>
      <c r="X82" s="283">
        <v>0</v>
      </c>
      <c r="Y82" s="199" t="s">
        <v>1395</v>
      </c>
      <c r="Z82" s="517" t="s">
        <v>5532</v>
      </c>
      <c r="AA82" s="493" t="s">
        <v>1485</v>
      </c>
      <c r="AB82" s="507"/>
    </row>
    <row r="83" spans="2:28" x14ac:dyDescent="0.15">
      <c r="B83" s="330" t="s">
        <v>2920</v>
      </c>
      <c r="C83" s="525">
        <v>42795</v>
      </c>
      <c r="D83" s="198" t="s">
        <v>1714</v>
      </c>
      <c r="E83" s="53" t="s">
        <v>1391</v>
      </c>
      <c r="F83" s="198" t="s">
        <v>3797</v>
      </c>
      <c r="G83" s="3" t="s">
        <v>362</v>
      </c>
      <c r="H83" s="53" t="s">
        <v>689</v>
      </c>
      <c r="I83" s="3" t="s">
        <v>1394</v>
      </c>
      <c r="J83" s="4" t="s">
        <v>270</v>
      </c>
      <c r="K83" s="4" t="s">
        <v>539</v>
      </c>
      <c r="L83" s="4" t="s">
        <v>1715</v>
      </c>
      <c r="M83" s="43" t="s">
        <v>1716</v>
      </c>
      <c r="N83" s="255">
        <v>258000</v>
      </c>
      <c r="O83" s="265">
        <v>58.5</v>
      </c>
      <c r="P83" s="270">
        <v>1</v>
      </c>
      <c r="Q83" s="255">
        <v>150930</v>
      </c>
      <c r="R83" s="283">
        <v>150930</v>
      </c>
      <c r="S83" s="283">
        <v>33129</v>
      </c>
      <c r="T83" s="287">
        <v>1</v>
      </c>
      <c r="U83" s="287">
        <v>0</v>
      </c>
      <c r="V83" s="287">
        <v>0</v>
      </c>
      <c r="W83" s="283">
        <v>0</v>
      </c>
      <c r="X83" s="283">
        <v>0</v>
      </c>
      <c r="Y83" s="199" t="s">
        <v>1395</v>
      </c>
      <c r="Z83" s="517" t="s">
        <v>5166</v>
      </c>
      <c r="AA83" s="493" t="s">
        <v>1485</v>
      </c>
      <c r="AB83" s="507"/>
    </row>
    <row r="84" spans="2:28" x14ac:dyDescent="0.15">
      <c r="B84" s="330" t="s">
        <v>2921</v>
      </c>
      <c r="C84" s="525">
        <v>42797</v>
      </c>
      <c r="D84" s="198" t="s">
        <v>1717</v>
      </c>
      <c r="E84" s="53" t="s">
        <v>1391</v>
      </c>
      <c r="F84" s="198" t="s">
        <v>3794</v>
      </c>
      <c r="G84" s="3" t="s">
        <v>364</v>
      </c>
      <c r="H84" s="53" t="s">
        <v>444</v>
      </c>
      <c r="I84" s="3" t="s">
        <v>1440</v>
      </c>
      <c r="J84" s="4" t="s">
        <v>262</v>
      </c>
      <c r="K84" s="4" t="s">
        <v>365</v>
      </c>
      <c r="L84" s="4" t="s">
        <v>1718</v>
      </c>
      <c r="M84" s="43" t="s">
        <v>1719</v>
      </c>
      <c r="N84" s="255">
        <v>260000</v>
      </c>
      <c r="O84" s="265">
        <v>60</v>
      </c>
      <c r="P84" s="270">
        <v>1</v>
      </c>
      <c r="Q84" s="255">
        <v>156000</v>
      </c>
      <c r="R84" s="283">
        <v>156000</v>
      </c>
      <c r="S84" s="283">
        <v>42782</v>
      </c>
      <c r="T84" s="287">
        <v>0</v>
      </c>
      <c r="U84" s="287">
        <v>1</v>
      </c>
      <c r="V84" s="287">
        <v>0</v>
      </c>
      <c r="W84" s="283">
        <v>15600</v>
      </c>
      <c r="X84" s="283">
        <v>0</v>
      </c>
      <c r="Y84" s="199" t="s">
        <v>1392</v>
      </c>
      <c r="Z84" s="517" t="s">
        <v>5532</v>
      </c>
      <c r="AA84" s="493" t="s">
        <v>1485</v>
      </c>
      <c r="AB84" s="507"/>
    </row>
    <row r="85" spans="2:28" x14ac:dyDescent="0.15">
      <c r="B85" s="330" t="s">
        <v>2922</v>
      </c>
      <c r="C85" s="525">
        <v>42797</v>
      </c>
      <c r="D85" s="198" t="s">
        <v>1720</v>
      </c>
      <c r="E85" s="53" t="s">
        <v>1391</v>
      </c>
      <c r="F85" s="198" t="s">
        <v>3794</v>
      </c>
      <c r="G85" s="3" t="s">
        <v>364</v>
      </c>
      <c r="H85" s="53" t="s">
        <v>456</v>
      </c>
      <c r="I85" s="3" t="s">
        <v>1721</v>
      </c>
      <c r="J85" s="4" t="s">
        <v>297</v>
      </c>
      <c r="K85" s="4" t="s">
        <v>369</v>
      </c>
      <c r="L85" s="4" t="s">
        <v>1484</v>
      </c>
      <c r="M85" s="43"/>
      <c r="N85" s="255">
        <v>200</v>
      </c>
      <c r="O85" s="265">
        <v>50</v>
      </c>
      <c r="P85" s="270">
        <v>100</v>
      </c>
      <c r="Q85" s="255">
        <v>100</v>
      </c>
      <c r="R85" s="283">
        <v>10000</v>
      </c>
      <c r="S85" s="283">
        <v>5700</v>
      </c>
      <c r="T85" s="287">
        <v>0</v>
      </c>
      <c r="U85" s="287">
        <v>0</v>
      </c>
      <c r="V85" s="287">
        <v>0</v>
      </c>
      <c r="W85" s="283">
        <v>1500</v>
      </c>
      <c r="X85" s="283">
        <v>0</v>
      </c>
      <c r="Y85" s="199" t="s">
        <v>1392</v>
      </c>
      <c r="Z85" s="517" t="s">
        <v>5532</v>
      </c>
      <c r="AA85" s="493" t="s">
        <v>1485</v>
      </c>
      <c r="AB85" s="507"/>
    </row>
    <row r="86" spans="2:28" x14ac:dyDescent="0.15">
      <c r="B86" s="330" t="s">
        <v>2923</v>
      </c>
      <c r="C86" s="525">
        <v>42797</v>
      </c>
      <c r="D86" s="198" t="s">
        <v>1722</v>
      </c>
      <c r="E86" s="53" t="s">
        <v>1391</v>
      </c>
      <c r="F86" s="198" t="s">
        <v>3794</v>
      </c>
      <c r="G86" s="3" t="s">
        <v>364</v>
      </c>
      <c r="H86" s="53" t="s">
        <v>442</v>
      </c>
      <c r="I86" s="3" t="s">
        <v>1723</v>
      </c>
      <c r="J86" s="4" t="s">
        <v>297</v>
      </c>
      <c r="K86" s="4" t="s">
        <v>369</v>
      </c>
      <c r="L86" s="4" t="s">
        <v>1509</v>
      </c>
      <c r="M86" s="43"/>
      <c r="N86" s="255">
        <v>200</v>
      </c>
      <c r="O86" s="265">
        <v>50</v>
      </c>
      <c r="P86" s="270">
        <v>100</v>
      </c>
      <c r="Q86" s="255">
        <v>100</v>
      </c>
      <c r="R86" s="283">
        <v>10000</v>
      </c>
      <c r="S86" s="283">
        <v>5700</v>
      </c>
      <c r="T86" s="287">
        <v>0</v>
      </c>
      <c r="U86" s="287">
        <v>0</v>
      </c>
      <c r="V86" s="287">
        <v>0</v>
      </c>
      <c r="W86" s="283">
        <v>1500</v>
      </c>
      <c r="X86" s="283">
        <v>0</v>
      </c>
      <c r="Y86" s="199" t="s">
        <v>1392</v>
      </c>
      <c r="Z86" s="517" t="s">
        <v>5532</v>
      </c>
      <c r="AA86" s="493" t="s">
        <v>1485</v>
      </c>
      <c r="AB86" s="507"/>
    </row>
    <row r="87" spans="2:28" x14ac:dyDescent="0.15">
      <c r="B87" s="330" t="s">
        <v>2924</v>
      </c>
      <c r="C87" s="525">
        <v>42797</v>
      </c>
      <c r="D87" s="198" t="s">
        <v>1724</v>
      </c>
      <c r="E87" s="53" t="s">
        <v>1391</v>
      </c>
      <c r="F87" s="198" t="s">
        <v>3810</v>
      </c>
      <c r="G87" s="3" t="s">
        <v>367</v>
      </c>
      <c r="H87" s="53"/>
      <c r="I87" s="3"/>
      <c r="J87" s="4" t="s">
        <v>1402</v>
      </c>
      <c r="K87" s="4" t="s">
        <v>1403</v>
      </c>
      <c r="L87" s="4" t="s">
        <v>1725</v>
      </c>
      <c r="M87" s="43" t="s">
        <v>1726</v>
      </c>
      <c r="N87" s="255">
        <v>273000</v>
      </c>
      <c r="O87" s="265">
        <v>60</v>
      </c>
      <c r="P87" s="270">
        <v>1</v>
      </c>
      <c r="Q87" s="255">
        <v>163800</v>
      </c>
      <c r="R87" s="283">
        <v>163800</v>
      </c>
      <c r="S87" s="283">
        <v>27753</v>
      </c>
      <c r="T87" s="287">
        <v>0</v>
      </c>
      <c r="U87" s="287">
        <v>1</v>
      </c>
      <c r="V87" s="287">
        <v>0</v>
      </c>
      <c r="W87" s="283">
        <v>16380</v>
      </c>
      <c r="X87" s="283">
        <v>0</v>
      </c>
      <c r="Y87" s="199" t="s">
        <v>1392</v>
      </c>
      <c r="Z87" s="517" t="s">
        <v>5166</v>
      </c>
      <c r="AA87" s="493" t="s">
        <v>1485</v>
      </c>
      <c r="AB87" s="507"/>
    </row>
    <row r="88" spans="2:28" x14ac:dyDescent="0.15">
      <c r="B88" s="330" t="s">
        <v>2925</v>
      </c>
      <c r="C88" s="525">
        <v>42797</v>
      </c>
      <c r="D88" s="198" t="s">
        <v>1727</v>
      </c>
      <c r="E88" s="53" t="s">
        <v>1391</v>
      </c>
      <c r="F88" s="198" t="s">
        <v>3794</v>
      </c>
      <c r="G88" s="3" t="s">
        <v>364</v>
      </c>
      <c r="H88" s="53" t="s">
        <v>473</v>
      </c>
      <c r="I88" s="3" t="s">
        <v>1400</v>
      </c>
      <c r="J88" s="4" t="s">
        <v>262</v>
      </c>
      <c r="K88" s="4" t="s">
        <v>365</v>
      </c>
      <c r="L88" s="4" t="s">
        <v>1728</v>
      </c>
      <c r="M88" s="43" t="s">
        <v>1729</v>
      </c>
      <c r="N88" s="255">
        <v>148800</v>
      </c>
      <c r="O88" s="265">
        <v>100</v>
      </c>
      <c r="P88" s="270">
        <v>1</v>
      </c>
      <c r="Q88" s="255">
        <v>148800</v>
      </c>
      <c r="R88" s="283">
        <v>148800</v>
      </c>
      <c r="S88" s="283">
        <v>39202</v>
      </c>
      <c r="T88" s="287">
        <v>0</v>
      </c>
      <c r="U88" s="287">
        <v>1</v>
      </c>
      <c r="V88" s="287">
        <v>0</v>
      </c>
      <c r="W88" s="283">
        <v>14880</v>
      </c>
      <c r="X88" s="283">
        <v>0</v>
      </c>
      <c r="Y88" s="199" t="s">
        <v>1392</v>
      </c>
      <c r="Z88" s="517" t="s">
        <v>5541</v>
      </c>
      <c r="AA88" s="493" t="s">
        <v>1485</v>
      </c>
      <c r="AB88" s="507"/>
    </row>
    <row r="89" spans="2:28" x14ac:dyDescent="0.15">
      <c r="B89" s="330" t="s">
        <v>2926</v>
      </c>
      <c r="C89" s="525">
        <v>42797</v>
      </c>
      <c r="D89" s="198" t="s">
        <v>1734</v>
      </c>
      <c r="E89" s="53" t="s">
        <v>1391</v>
      </c>
      <c r="F89" s="198" t="s">
        <v>3794</v>
      </c>
      <c r="G89" s="3" t="s">
        <v>364</v>
      </c>
      <c r="H89" s="53" t="s">
        <v>1730</v>
      </c>
      <c r="I89" s="3" t="s">
        <v>1732</v>
      </c>
      <c r="J89" s="4" t="s">
        <v>262</v>
      </c>
      <c r="K89" s="4" t="s">
        <v>365</v>
      </c>
      <c r="L89" s="4" t="s">
        <v>1690</v>
      </c>
      <c r="M89" s="43" t="s">
        <v>1735</v>
      </c>
      <c r="N89" s="255">
        <v>142800</v>
      </c>
      <c r="O89" s="265">
        <v>100</v>
      </c>
      <c r="P89" s="270">
        <v>1</v>
      </c>
      <c r="Q89" s="255">
        <v>142800</v>
      </c>
      <c r="R89" s="283">
        <v>142800</v>
      </c>
      <c r="S89" s="283">
        <v>34902</v>
      </c>
      <c r="T89" s="287">
        <v>0</v>
      </c>
      <c r="U89" s="287">
        <v>1</v>
      </c>
      <c r="V89" s="287">
        <v>0</v>
      </c>
      <c r="W89" s="283">
        <v>14280</v>
      </c>
      <c r="X89" s="283">
        <v>0</v>
      </c>
      <c r="Y89" s="199" t="s">
        <v>1392</v>
      </c>
      <c r="Z89" s="517" t="s">
        <v>5537</v>
      </c>
      <c r="AA89" s="493" t="s">
        <v>1485</v>
      </c>
      <c r="AB89" s="507"/>
    </row>
    <row r="90" spans="2:28" x14ac:dyDescent="0.15">
      <c r="B90" s="330" t="s">
        <v>2927</v>
      </c>
      <c r="C90" s="525">
        <v>42797</v>
      </c>
      <c r="D90" s="198" t="s">
        <v>1736</v>
      </c>
      <c r="E90" s="53" t="s">
        <v>1396</v>
      </c>
      <c r="F90" s="198" t="s">
        <v>3801</v>
      </c>
      <c r="G90" s="3" t="s">
        <v>374</v>
      </c>
      <c r="H90" s="53"/>
      <c r="I90" s="3"/>
      <c r="J90" s="4" t="s">
        <v>295</v>
      </c>
      <c r="K90" s="4" t="s">
        <v>1166</v>
      </c>
      <c r="L90" s="4" t="s">
        <v>1512</v>
      </c>
      <c r="M90" s="43"/>
      <c r="N90" s="255">
        <v>34000</v>
      </c>
      <c r="O90" s="265">
        <v>60</v>
      </c>
      <c r="P90" s="270">
        <v>1</v>
      </c>
      <c r="Q90" s="255">
        <v>20400</v>
      </c>
      <c r="R90" s="283">
        <v>20400</v>
      </c>
      <c r="S90" s="283">
        <v>5800</v>
      </c>
      <c r="T90" s="287">
        <v>0</v>
      </c>
      <c r="U90" s="287">
        <v>0</v>
      </c>
      <c r="V90" s="287">
        <v>0</v>
      </c>
      <c r="W90" s="283">
        <v>0</v>
      </c>
      <c r="X90" s="283">
        <v>0</v>
      </c>
      <c r="Y90" s="199" t="s">
        <v>1395</v>
      </c>
      <c r="Z90" s="517" t="s">
        <v>5168</v>
      </c>
      <c r="AA90" s="493" t="s">
        <v>1485</v>
      </c>
      <c r="AB90" s="507"/>
    </row>
    <row r="91" spans="2:28" x14ac:dyDescent="0.15">
      <c r="B91" s="330" t="s">
        <v>2928</v>
      </c>
      <c r="C91" s="525">
        <v>42800</v>
      </c>
      <c r="D91" s="198" t="s">
        <v>1737</v>
      </c>
      <c r="E91" s="53" t="s">
        <v>1396</v>
      </c>
      <c r="F91" s="198" t="s">
        <v>3799</v>
      </c>
      <c r="G91" s="3" t="s">
        <v>1110</v>
      </c>
      <c r="H91" s="53" t="s">
        <v>799</v>
      </c>
      <c r="I91" s="3" t="s">
        <v>1399</v>
      </c>
      <c r="J91" s="4" t="s">
        <v>262</v>
      </c>
      <c r="K91" s="4" t="s">
        <v>365</v>
      </c>
      <c r="L91" s="4" t="s">
        <v>1738</v>
      </c>
      <c r="M91" s="43" t="s">
        <v>1739</v>
      </c>
      <c r="N91" s="255">
        <v>238000</v>
      </c>
      <c r="O91" s="265">
        <v>60</v>
      </c>
      <c r="P91" s="270">
        <v>1</v>
      </c>
      <c r="Q91" s="255">
        <v>142800</v>
      </c>
      <c r="R91" s="283">
        <v>142800</v>
      </c>
      <c r="S91" s="283">
        <v>29902</v>
      </c>
      <c r="T91" s="287">
        <v>0</v>
      </c>
      <c r="U91" s="287">
        <v>1</v>
      </c>
      <c r="V91" s="287">
        <v>0</v>
      </c>
      <c r="W91" s="283">
        <v>14280</v>
      </c>
      <c r="X91" s="283">
        <v>0</v>
      </c>
      <c r="Y91" s="199" t="s">
        <v>1392</v>
      </c>
      <c r="Z91" s="517" t="s">
        <v>5166</v>
      </c>
      <c r="AA91" s="493" t="s">
        <v>1485</v>
      </c>
      <c r="AB91" s="507"/>
    </row>
    <row r="92" spans="2:28" x14ac:dyDescent="0.15">
      <c r="B92" s="330" t="s">
        <v>2929</v>
      </c>
      <c r="C92" s="525">
        <v>42800</v>
      </c>
      <c r="D92" s="198" t="s">
        <v>1737</v>
      </c>
      <c r="E92" s="53" t="s">
        <v>1396</v>
      </c>
      <c r="F92" s="198" t="s">
        <v>3799</v>
      </c>
      <c r="G92" s="3" t="s">
        <v>1110</v>
      </c>
      <c r="H92" s="53" t="s">
        <v>799</v>
      </c>
      <c r="I92" s="3" t="s">
        <v>1399</v>
      </c>
      <c r="J92" s="4" t="s">
        <v>262</v>
      </c>
      <c r="K92" s="4" t="s">
        <v>365</v>
      </c>
      <c r="L92" s="4" t="s">
        <v>1740</v>
      </c>
      <c r="M92" s="43" t="s">
        <v>1741</v>
      </c>
      <c r="N92" s="255">
        <v>238000</v>
      </c>
      <c r="O92" s="265">
        <v>60</v>
      </c>
      <c r="P92" s="270">
        <v>1</v>
      </c>
      <c r="Q92" s="255">
        <v>142800</v>
      </c>
      <c r="R92" s="283">
        <v>142800</v>
      </c>
      <c r="S92" s="283">
        <v>31902</v>
      </c>
      <c r="T92" s="287">
        <v>0</v>
      </c>
      <c r="U92" s="287">
        <v>1</v>
      </c>
      <c r="V92" s="287">
        <v>0</v>
      </c>
      <c r="W92" s="283">
        <v>14280</v>
      </c>
      <c r="X92" s="283">
        <v>0</v>
      </c>
      <c r="Y92" s="199" t="s">
        <v>1392</v>
      </c>
      <c r="Z92" s="517" t="s">
        <v>5532</v>
      </c>
      <c r="AA92" s="493" t="s">
        <v>1485</v>
      </c>
      <c r="AB92" s="507"/>
    </row>
    <row r="93" spans="2:28" x14ac:dyDescent="0.15">
      <c r="B93" s="330" t="s">
        <v>2930</v>
      </c>
      <c r="C93" s="525">
        <v>42801</v>
      </c>
      <c r="D93" s="198" t="s">
        <v>1742</v>
      </c>
      <c r="E93" s="53" t="s">
        <v>1396</v>
      </c>
      <c r="F93" s="198" t="s">
        <v>3800</v>
      </c>
      <c r="G93" s="3" t="s">
        <v>50</v>
      </c>
      <c r="H93" s="53" t="s">
        <v>381</v>
      </c>
      <c r="I93" s="3" t="s">
        <v>1408</v>
      </c>
      <c r="J93" s="4" t="s">
        <v>265</v>
      </c>
      <c r="K93" s="4" t="s">
        <v>1155</v>
      </c>
      <c r="L93" s="4" t="s">
        <v>1743</v>
      </c>
      <c r="M93" s="43" t="s">
        <v>1744</v>
      </c>
      <c r="N93" s="255">
        <v>204000</v>
      </c>
      <c r="O93" s="265">
        <v>100</v>
      </c>
      <c r="P93" s="270">
        <v>1</v>
      </c>
      <c r="Q93" s="255">
        <v>204000</v>
      </c>
      <c r="R93" s="283">
        <v>204000</v>
      </c>
      <c r="S93" s="283">
        <v>54920</v>
      </c>
      <c r="T93" s="287">
        <v>0</v>
      </c>
      <c r="U93" s="287">
        <v>1</v>
      </c>
      <c r="V93" s="287">
        <v>0</v>
      </c>
      <c r="W93" s="283">
        <v>20400</v>
      </c>
      <c r="X93" s="283">
        <v>0</v>
      </c>
      <c r="Y93" s="199" t="s">
        <v>1392</v>
      </c>
      <c r="Z93" s="517" t="s">
        <v>5166</v>
      </c>
      <c r="AA93" s="493" t="s">
        <v>1485</v>
      </c>
      <c r="AB93" s="507"/>
    </row>
    <row r="94" spans="2:28" x14ac:dyDescent="0.15">
      <c r="B94" s="330" t="s">
        <v>2931</v>
      </c>
      <c r="C94" s="525">
        <v>42801</v>
      </c>
      <c r="D94" s="198" t="s">
        <v>1745</v>
      </c>
      <c r="E94" s="53" t="s">
        <v>1391</v>
      </c>
      <c r="F94" s="198" t="s">
        <v>3798</v>
      </c>
      <c r="G94" s="3" t="s">
        <v>370</v>
      </c>
      <c r="H94" s="53" t="s">
        <v>1135</v>
      </c>
      <c r="I94" s="3" t="s">
        <v>1427</v>
      </c>
      <c r="J94" s="4" t="s">
        <v>1402</v>
      </c>
      <c r="K94" s="4" t="s">
        <v>1403</v>
      </c>
      <c r="L94" s="4" t="s">
        <v>1746</v>
      </c>
      <c r="M94" s="43" t="s">
        <v>1747</v>
      </c>
      <c r="N94" s="255">
        <v>270000</v>
      </c>
      <c r="O94" s="265">
        <v>65</v>
      </c>
      <c r="P94" s="270">
        <v>1</v>
      </c>
      <c r="Q94" s="255">
        <v>175500</v>
      </c>
      <c r="R94" s="283">
        <v>175500</v>
      </c>
      <c r="S94" s="283">
        <v>44582</v>
      </c>
      <c r="T94" s="287">
        <v>0</v>
      </c>
      <c r="U94" s="287">
        <v>1</v>
      </c>
      <c r="V94" s="287">
        <v>0</v>
      </c>
      <c r="W94" s="283">
        <v>20250</v>
      </c>
      <c r="X94" s="283">
        <v>0</v>
      </c>
      <c r="Y94" s="199" t="s">
        <v>1392</v>
      </c>
      <c r="Z94" s="517" t="s">
        <v>5167</v>
      </c>
      <c r="AA94" s="493" t="s">
        <v>1485</v>
      </c>
      <c r="AB94" s="507"/>
    </row>
    <row r="95" spans="2:28" x14ac:dyDescent="0.15">
      <c r="B95" s="330" t="s">
        <v>2932</v>
      </c>
      <c r="C95" s="525">
        <v>42802</v>
      </c>
      <c r="D95" s="198" t="s">
        <v>1750</v>
      </c>
      <c r="E95" s="53" t="s">
        <v>1391</v>
      </c>
      <c r="F95" s="198" t="s">
        <v>3810</v>
      </c>
      <c r="G95" s="3" t="s">
        <v>367</v>
      </c>
      <c r="H95" s="53"/>
      <c r="I95" s="3"/>
      <c r="J95" s="4" t="s">
        <v>1402</v>
      </c>
      <c r="K95" s="4" t="s">
        <v>1403</v>
      </c>
      <c r="L95" s="4" t="s">
        <v>1751</v>
      </c>
      <c r="M95" s="43" t="s">
        <v>1752</v>
      </c>
      <c r="N95" s="255">
        <v>214000</v>
      </c>
      <c r="O95" s="265">
        <v>100</v>
      </c>
      <c r="P95" s="270">
        <v>1</v>
      </c>
      <c r="Q95" s="255">
        <v>214000</v>
      </c>
      <c r="R95" s="283">
        <v>214000</v>
      </c>
      <c r="S95" s="283">
        <v>64193</v>
      </c>
      <c r="T95" s="287">
        <v>0</v>
      </c>
      <c r="U95" s="287">
        <v>1</v>
      </c>
      <c r="V95" s="287">
        <v>0</v>
      </c>
      <c r="W95" s="283">
        <v>27496</v>
      </c>
      <c r="X95" s="283">
        <v>0</v>
      </c>
      <c r="Y95" s="199" t="s">
        <v>1392</v>
      </c>
      <c r="Z95" s="517" t="s">
        <v>5166</v>
      </c>
      <c r="AA95" s="493" t="s">
        <v>1485</v>
      </c>
      <c r="AB95" s="507"/>
    </row>
    <row r="96" spans="2:28" x14ac:dyDescent="0.15">
      <c r="B96" s="330" t="s">
        <v>2933</v>
      </c>
      <c r="C96" s="525">
        <v>42804</v>
      </c>
      <c r="D96" s="198" t="s">
        <v>1753</v>
      </c>
      <c r="E96" s="53" t="s">
        <v>1391</v>
      </c>
      <c r="F96" s="198" t="s">
        <v>3794</v>
      </c>
      <c r="G96" s="3" t="s">
        <v>364</v>
      </c>
      <c r="H96" s="53" t="s">
        <v>475</v>
      </c>
      <c r="I96" s="3" t="s">
        <v>1451</v>
      </c>
      <c r="J96" s="4" t="s">
        <v>297</v>
      </c>
      <c r="K96" s="4" t="s">
        <v>369</v>
      </c>
      <c r="L96" s="4" t="s">
        <v>1509</v>
      </c>
      <c r="M96" s="43"/>
      <c r="N96" s="255">
        <v>200</v>
      </c>
      <c r="O96" s="265">
        <v>50</v>
      </c>
      <c r="P96" s="270">
        <v>100</v>
      </c>
      <c r="Q96" s="255">
        <v>100</v>
      </c>
      <c r="R96" s="283">
        <v>10000</v>
      </c>
      <c r="S96" s="283">
        <v>5700</v>
      </c>
      <c r="T96" s="287">
        <v>0</v>
      </c>
      <c r="U96" s="287">
        <v>0</v>
      </c>
      <c r="V96" s="287">
        <v>0</v>
      </c>
      <c r="W96" s="283">
        <v>1500</v>
      </c>
      <c r="X96" s="283">
        <v>0</v>
      </c>
      <c r="Y96" s="199" t="s">
        <v>1392</v>
      </c>
      <c r="Z96" s="517" t="s">
        <v>5541</v>
      </c>
      <c r="AA96" s="493" t="s">
        <v>1485</v>
      </c>
      <c r="AB96" s="507"/>
    </row>
    <row r="97" spans="2:28" x14ac:dyDescent="0.15">
      <c r="B97" s="330" t="s">
        <v>2934</v>
      </c>
      <c r="C97" s="525">
        <v>42804</v>
      </c>
      <c r="D97" s="198" t="s">
        <v>1754</v>
      </c>
      <c r="E97" s="53" t="s">
        <v>1396</v>
      </c>
      <c r="F97" s="198" t="s">
        <v>3800</v>
      </c>
      <c r="G97" s="3" t="s">
        <v>50</v>
      </c>
      <c r="H97" s="53" t="s">
        <v>1434</v>
      </c>
      <c r="I97" s="3" t="s">
        <v>1435</v>
      </c>
      <c r="J97" s="4" t="s">
        <v>294</v>
      </c>
      <c r="K97" s="4" t="s">
        <v>1165</v>
      </c>
      <c r="L97" s="4" t="s">
        <v>1409</v>
      </c>
      <c r="M97" s="43"/>
      <c r="N97" s="255">
        <v>42000</v>
      </c>
      <c r="O97" s="265">
        <v>60</v>
      </c>
      <c r="P97" s="270">
        <v>1</v>
      </c>
      <c r="Q97" s="255">
        <v>25200</v>
      </c>
      <c r="R97" s="283">
        <v>25200</v>
      </c>
      <c r="S97" s="283">
        <v>6028</v>
      </c>
      <c r="T97" s="287">
        <v>0</v>
      </c>
      <c r="U97" s="287">
        <v>0</v>
      </c>
      <c r="V97" s="287">
        <v>0</v>
      </c>
      <c r="W97" s="283">
        <v>2520</v>
      </c>
      <c r="X97" s="283">
        <v>0</v>
      </c>
      <c r="Y97" s="199" t="s">
        <v>1392</v>
      </c>
      <c r="Z97" s="517" t="s">
        <v>5167</v>
      </c>
      <c r="AA97" s="493" t="s">
        <v>1485</v>
      </c>
      <c r="AB97" s="507"/>
    </row>
    <row r="98" spans="2:28" x14ac:dyDescent="0.15">
      <c r="B98" s="330" t="s">
        <v>2935</v>
      </c>
      <c r="C98" s="525">
        <v>42804</v>
      </c>
      <c r="D98" s="198" t="s">
        <v>1758</v>
      </c>
      <c r="E98" s="53" t="s">
        <v>1391</v>
      </c>
      <c r="F98" s="198" t="s">
        <v>3798</v>
      </c>
      <c r="G98" s="3" t="s">
        <v>370</v>
      </c>
      <c r="H98" s="53" t="s">
        <v>1491</v>
      </c>
      <c r="I98" s="3" t="s">
        <v>1492</v>
      </c>
      <c r="J98" s="4" t="s">
        <v>299</v>
      </c>
      <c r="K98" s="4" t="s">
        <v>373</v>
      </c>
      <c r="L98" s="4" t="s">
        <v>1759</v>
      </c>
      <c r="M98" s="43"/>
      <c r="N98" s="255">
        <v>22500</v>
      </c>
      <c r="O98" s="265">
        <v>100</v>
      </c>
      <c r="P98" s="270">
        <v>1</v>
      </c>
      <c r="Q98" s="255">
        <v>22500</v>
      </c>
      <c r="R98" s="283">
        <v>22500</v>
      </c>
      <c r="S98" s="283">
        <v>7904</v>
      </c>
      <c r="T98" s="287">
        <v>0</v>
      </c>
      <c r="U98" s="287">
        <v>0</v>
      </c>
      <c r="V98" s="287">
        <v>0</v>
      </c>
      <c r="W98" s="283">
        <v>2596</v>
      </c>
      <c r="X98" s="283">
        <v>0</v>
      </c>
      <c r="Y98" s="199" t="s">
        <v>1392</v>
      </c>
      <c r="Z98" s="517" t="s">
        <v>5540</v>
      </c>
      <c r="AA98" s="493" t="s">
        <v>1485</v>
      </c>
      <c r="AB98" s="507"/>
    </row>
    <row r="99" spans="2:28" x14ac:dyDescent="0.15">
      <c r="B99" s="330" t="s">
        <v>2936</v>
      </c>
      <c r="C99" s="525">
        <v>42809</v>
      </c>
      <c r="D99" s="198" t="s">
        <v>1760</v>
      </c>
      <c r="E99" s="53" t="s">
        <v>1396</v>
      </c>
      <c r="F99" s="198" t="s">
        <v>3800</v>
      </c>
      <c r="G99" s="3" t="s">
        <v>50</v>
      </c>
      <c r="H99" s="53" t="s">
        <v>1434</v>
      </c>
      <c r="I99" s="3" t="s">
        <v>1435</v>
      </c>
      <c r="J99" s="4" t="s">
        <v>264</v>
      </c>
      <c r="K99" s="4" t="s">
        <v>538</v>
      </c>
      <c r="L99" s="4" t="s">
        <v>1670</v>
      </c>
      <c r="M99" s="43" t="s">
        <v>1671</v>
      </c>
      <c r="N99" s="255">
        <v>243000</v>
      </c>
      <c r="O99" s="265">
        <v>60</v>
      </c>
      <c r="P99" s="270">
        <v>-1</v>
      </c>
      <c r="Q99" s="255">
        <v>145800</v>
      </c>
      <c r="R99" s="283">
        <v>-145800</v>
      </c>
      <c r="S99" s="283">
        <v>-46633</v>
      </c>
      <c r="T99" s="287">
        <v>0</v>
      </c>
      <c r="U99" s="287">
        <v>-1</v>
      </c>
      <c r="V99" s="287">
        <v>0</v>
      </c>
      <c r="W99" s="283">
        <v>-14580</v>
      </c>
      <c r="X99" s="283">
        <v>0</v>
      </c>
      <c r="Y99" s="199" t="s">
        <v>1392</v>
      </c>
      <c r="Z99" s="517" t="s">
        <v>5167</v>
      </c>
      <c r="AA99" s="493" t="s">
        <v>1485</v>
      </c>
      <c r="AB99" s="507"/>
    </row>
    <row r="100" spans="2:28" x14ac:dyDescent="0.15">
      <c r="B100" s="330" t="s">
        <v>2937</v>
      </c>
      <c r="C100" s="525">
        <v>42811</v>
      </c>
      <c r="D100" s="198" t="s">
        <v>1762</v>
      </c>
      <c r="E100" s="53" t="s">
        <v>1396</v>
      </c>
      <c r="F100" s="198" t="s">
        <v>3799</v>
      </c>
      <c r="G100" s="3" t="s">
        <v>1110</v>
      </c>
      <c r="H100" s="53" t="s">
        <v>796</v>
      </c>
      <c r="I100" s="3" t="s">
        <v>1428</v>
      </c>
      <c r="J100" s="4" t="s">
        <v>271</v>
      </c>
      <c r="K100" s="4" t="s">
        <v>1160</v>
      </c>
      <c r="L100" s="4" t="s">
        <v>1763</v>
      </c>
      <c r="M100" s="43" t="s">
        <v>1764</v>
      </c>
      <c r="N100" s="255">
        <v>184800</v>
      </c>
      <c r="O100" s="265">
        <v>100</v>
      </c>
      <c r="P100" s="270">
        <v>1</v>
      </c>
      <c r="Q100" s="255">
        <v>184800</v>
      </c>
      <c r="R100" s="283">
        <v>184800</v>
      </c>
      <c r="S100" s="283">
        <v>40411</v>
      </c>
      <c r="T100" s="287">
        <v>0</v>
      </c>
      <c r="U100" s="287">
        <v>1</v>
      </c>
      <c r="V100" s="287">
        <v>0</v>
      </c>
      <c r="W100" s="283">
        <v>18480</v>
      </c>
      <c r="X100" s="283">
        <v>0</v>
      </c>
      <c r="Y100" s="199" t="s">
        <v>1392</v>
      </c>
      <c r="Z100" s="517" t="s">
        <v>5532</v>
      </c>
      <c r="AA100" s="493" t="s">
        <v>1485</v>
      </c>
      <c r="AB100" s="507"/>
    </row>
    <row r="101" spans="2:28" x14ac:dyDescent="0.15">
      <c r="B101" s="330" t="s">
        <v>2938</v>
      </c>
      <c r="C101" s="525">
        <v>42811</v>
      </c>
      <c r="D101" s="198" t="s">
        <v>1768</v>
      </c>
      <c r="E101" s="53" t="s">
        <v>1391</v>
      </c>
      <c r="F101" s="198" t="s">
        <v>3794</v>
      </c>
      <c r="G101" s="3" t="s">
        <v>364</v>
      </c>
      <c r="H101" s="198" t="s">
        <v>5189</v>
      </c>
      <c r="I101" s="3" t="s">
        <v>5172</v>
      </c>
      <c r="J101" s="4" t="s">
        <v>298</v>
      </c>
      <c r="K101" s="4" t="s">
        <v>1168</v>
      </c>
      <c r="L101" s="4" t="s">
        <v>1769</v>
      </c>
      <c r="M101" s="43"/>
      <c r="N101" s="255">
        <v>14000</v>
      </c>
      <c r="O101" s="265">
        <v>65</v>
      </c>
      <c r="P101" s="270">
        <v>1</v>
      </c>
      <c r="Q101" s="255">
        <v>9100</v>
      </c>
      <c r="R101" s="283">
        <v>9100</v>
      </c>
      <c r="S101" s="283">
        <v>6130</v>
      </c>
      <c r="T101" s="287">
        <v>0</v>
      </c>
      <c r="U101" s="287">
        <v>0</v>
      </c>
      <c r="V101" s="287">
        <v>0</v>
      </c>
      <c r="W101" s="283">
        <v>1050</v>
      </c>
      <c r="X101" s="283">
        <v>0</v>
      </c>
      <c r="Y101" s="199" t="s">
        <v>1392</v>
      </c>
      <c r="Z101" s="517" t="s">
        <v>5533</v>
      </c>
      <c r="AA101" s="493" t="s">
        <v>1485</v>
      </c>
      <c r="AB101" s="507"/>
    </row>
    <row r="102" spans="2:28" x14ac:dyDescent="0.15">
      <c r="B102" s="330" t="s">
        <v>2939</v>
      </c>
      <c r="C102" s="525">
        <v>42811</v>
      </c>
      <c r="D102" s="198" t="s">
        <v>1770</v>
      </c>
      <c r="E102" s="53" t="s">
        <v>1391</v>
      </c>
      <c r="F102" s="198" t="s">
        <v>3794</v>
      </c>
      <c r="G102" s="3" t="s">
        <v>364</v>
      </c>
      <c r="H102" s="53" t="s">
        <v>473</v>
      </c>
      <c r="I102" s="3" t="s">
        <v>1400</v>
      </c>
      <c r="J102" s="4" t="s">
        <v>297</v>
      </c>
      <c r="K102" s="4" t="s">
        <v>369</v>
      </c>
      <c r="L102" s="4" t="s">
        <v>1509</v>
      </c>
      <c r="M102" s="43"/>
      <c r="N102" s="255">
        <v>200</v>
      </c>
      <c r="O102" s="265">
        <v>50</v>
      </c>
      <c r="P102" s="270">
        <v>100</v>
      </c>
      <c r="Q102" s="255">
        <v>100</v>
      </c>
      <c r="R102" s="283">
        <v>10000</v>
      </c>
      <c r="S102" s="283">
        <v>5700</v>
      </c>
      <c r="T102" s="287">
        <v>0</v>
      </c>
      <c r="U102" s="287">
        <v>0</v>
      </c>
      <c r="V102" s="287">
        <v>0</v>
      </c>
      <c r="W102" s="283">
        <v>1500</v>
      </c>
      <c r="X102" s="283">
        <v>0</v>
      </c>
      <c r="Y102" s="199" t="s">
        <v>1392</v>
      </c>
      <c r="Z102" s="517" t="s">
        <v>5541</v>
      </c>
      <c r="AA102" s="493" t="s">
        <v>1485</v>
      </c>
      <c r="AB102" s="507"/>
    </row>
    <row r="103" spans="2:28" x14ac:dyDescent="0.15">
      <c r="B103" s="330" t="s">
        <v>2940</v>
      </c>
      <c r="C103" s="525">
        <v>42811</v>
      </c>
      <c r="D103" s="198" t="s">
        <v>1773</v>
      </c>
      <c r="E103" s="53" t="s">
        <v>1391</v>
      </c>
      <c r="F103" s="198" t="s">
        <v>3794</v>
      </c>
      <c r="G103" s="3" t="s">
        <v>364</v>
      </c>
      <c r="H103" s="53" t="s">
        <v>432</v>
      </c>
      <c r="I103" s="3" t="s">
        <v>375</v>
      </c>
      <c r="J103" s="4" t="s">
        <v>299</v>
      </c>
      <c r="K103" s="4" t="s">
        <v>373</v>
      </c>
      <c r="L103" s="4" t="s">
        <v>1774</v>
      </c>
      <c r="M103" s="43"/>
      <c r="N103" s="255">
        <v>4000</v>
      </c>
      <c r="O103" s="265">
        <v>100</v>
      </c>
      <c r="P103" s="270">
        <v>1</v>
      </c>
      <c r="Q103" s="255">
        <v>4000</v>
      </c>
      <c r="R103" s="283">
        <v>4000</v>
      </c>
      <c r="S103" s="283">
        <v>1539</v>
      </c>
      <c r="T103" s="287">
        <v>0</v>
      </c>
      <c r="U103" s="287">
        <v>0</v>
      </c>
      <c r="V103" s="287">
        <v>0</v>
      </c>
      <c r="W103" s="283">
        <v>2461</v>
      </c>
      <c r="X103" s="283">
        <v>0</v>
      </c>
      <c r="Y103" s="199" t="s">
        <v>1392</v>
      </c>
      <c r="Z103" s="517" t="s">
        <v>5532</v>
      </c>
      <c r="AA103" s="493" t="s">
        <v>1485</v>
      </c>
      <c r="AB103" s="507"/>
    </row>
    <row r="104" spans="2:28" x14ac:dyDescent="0.15">
      <c r="B104" s="330" t="s">
        <v>2941</v>
      </c>
      <c r="C104" s="526">
        <v>42811</v>
      </c>
      <c r="D104" s="191" t="s">
        <v>1845</v>
      </c>
      <c r="E104" s="43" t="s">
        <v>1396</v>
      </c>
      <c r="F104" s="191" t="s">
        <v>3795</v>
      </c>
      <c r="G104" s="4" t="s">
        <v>1321</v>
      </c>
      <c r="H104" s="43"/>
      <c r="I104" s="4"/>
      <c r="J104" s="4" t="s">
        <v>299</v>
      </c>
      <c r="K104" s="4" t="s">
        <v>373</v>
      </c>
      <c r="L104" s="4" t="s">
        <v>1846</v>
      </c>
      <c r="M104" s="43"/>
      <c r="N104" s="255">
        <v>461</v>
      </c>
      <c r="O104" s="265">
        <v>100</v>
      </c>
      <c r="P104" s="270">
        <v>-1</v>
      </c>
      <c r="Q104" s="255">
        <v>461</v>
      </c>
      <c r="R104" s="283">
        <v>-461</v>
      </c>
      <c r="S104" s="283">
        <v>-461</v>
      </c>
      <c r="T104" s="287">
        <v>0</v>
      </c>
      <c r="U104" s="287">
        <v>0</v>
      </c>
      <c r="V104" s="287">
        <v>0</v>
      </c>
      <c r="W104" s="283">
        <v>461</v>
      </c>
      <c r="X104" s="283">
        <v>0</v>
      </c>
      <c r="Y104" s="199" t="s">
        <v>1392</v>
      </c>
      <c r="Z104" s="517" t="s">
        <v>5449</v>
      </c>
      <c r="AA104" s="493"/>
      <c r="AB104" s="507"/>
    </row>
    <row r="105" spans="2:28" x14ac:dyDescent="0.15">
      <c r="B105" s="330" t="s">
        <v>2942</v>
      </c>
      <c r="C105" s="526">
        <v>42814</v>
      </c>
      <c r="D105" s="191" t="s">
        <v>1793</v>
      </c>
      <c r="E105" s="43" t="s">
        <v>1396</v>
      </c>
      <c r="F105" s="191" t="s">
        <v>3795</v>
      </c>
      <c r="G105" s="4" t="s">
        <v>1321</v>
      </c>
      <c r="H105" s="43"/>
      <c r="I105" s="4"/>
      <c r="J105" s="4"/>
      <c r="K105" s="4"/>
      <c r="L105" s="4" t="s">
        <v>1418</v>
      </c>
      <c r="M105" s="43"/>
      <c r="N105" s="255">
        <v>62150</v>
      </c>
      <c r="O105" s="265">
        <v>100</v>
      </c>
      <c r="P105" s="270">
        <v>-1</v>
      </c>
      <c r="Q105" s="255">
        <v>62150</v>
      </c>
      <c r="R105" s="283">
        <v>-62150</v>
      </c>
      <c r="S105" s="283">
        <v>-62150</v>
      </c>
      <c r="T105" s="287">
        <v>0</v>
      </c>
      <c r="U105" s="287">
        <v>0</v>
      </c>
      <c r="V105" s="287">
        <v>0</v>
      </c>
      <c r="W105" s="283">
        <v>62150</v>
      </c>
      <c r="X105" s="283">
        <v>0</v>
      </c>
      <c r="Y105" s="199" t="s">
        <v>4148</v>
      </c>
      <c r="Z105" s="517" t="s">
        <v>5449</v>
      </c>
      <c r="AA105" s="493"/>
      <c r="AB105" s="507"/>
    </row>
    <row r="106" spans="2:28" x14ac:dyDescent="0.15">
      <c r="B106" s="330" t="s">
        <v>2943</v>
      </c>
      <c r="C106" s="526">
        <v>42814</v>
      </c>
      <c r="D106" s="191" t="s">
        <v>1794</v>
      </c>
      <c r="E106" s="43" t="s">
        <v>1391</v>
      </c>
      <c r="F106" s="191" t="s">
        <v>3797</v>
      </c>
      <c r="G106" s="4" t="s">
        <v>362</v>
      </c>
      <c r="H106" s="43" t="s">
        <v>689</v>
      </c>
      <c r="I106" s="4" t="s">
        <v>1394</v>
      </c>
      <c r="J106" s="4" t="s">
        <v>272</v>
      </c>
      <c r="K106" s="4" t="s">
        <v>363</v>
      </c>
      <c r="L106" s="4" t="s">
        <v>1795</v>
      </c>
      <c r="M106" s="43" t="s">
        <v>1796</v>
      </c>
      <c r="N106" s="255">
        <v>255000</v>
      </c>
      <c r="O106" s="265">
        <v>58.5</v>
      </c>
      <c r="P106" s="270">
        <v>1</v>
      </c>
      <c r="Q106" s="255">
        <v>149175</v>
      </c>
      <c r="R106" s="283">
        <v>149175</v>
      </c>
      <c r="S106" s="283">
        <v>48485</v>
      </c>
      <c r="T106" s="287">
        <v>1</v>
      </c>
      <c r="U106" s="287">
        <v>0</v>
      </c>
      <c r="V106" s="287">
        <v>0</v>
      </c>
      <c r="W106" s="283">
        <v>0</v>
      </c>
      <c r="X106" s="283">
        <v>0</v>
      </c>
      <c r="Y106" s="199" t="s">
        <v>1395</v>
      </c>
      <c r="Z106" s="517" t="s">
        <v>5166</v>
      </c>
      <c r="AA106" s="493" t="s">
        <v>1485</v>
      </c>
      <c r="AB106" s="507"/>
    </row>
    <row r="107" spans="2:28" x14ac:dyDescent="0.15">
      <c r="B107" s="330" t="s">
        <v>2944</v>
      </c>
      <c r="C107" s="526">
        <v>42814</v>
      </c>
      <c r="D107" s="191" t="s">
        <v>1806</v>
      </c>
      <c r="E107" s="43" t="s">
        <v>1391</v>
      </c>
      <c r="F107" s="191" t="s">
        <v>3797</v>
      </c>
      <c r="G107" s="4" t="s">
        <v>362</v>
      </c>
      <c r="H107" s="43" t="s">
        <v>689</v>
      </c>
      <c r="I107" s="4" t="s">
        <v>1394</v>
      </c>
      <c r="J107" s="4" t="s">
        <v>271</v>
      </c>
      <c r="K107" s="4" t="s">
        <v>1160</v>
      </c>
      <c r="L107" s="4" t="s">
        <v>1807</v>
      </c>
      <c r="M107" s="43" t="s">
        <v>1808</v>
      </c>
      <c r="N107" s="255">
        <v>298000</v>
      </c>
      <c r="O107" s="265">
        <v>58.5</v>
      </c>
      <c r="P107" s="270">
        <v>1</v>
      </c>
      <c r="Q107" s="255">
        <v>174330</v>
      </c>
      <c r="R107" s="283">
        <v>174330</v>
      </c>
      <c r="S107" s="283">
        <v>36856</v>
      </c>
      <c r="T107" s="287">
        <v>1</v>
      </c>
      <c r="U107" s="287">
        <v>0</v>
      </c>
      <c r="V107" s="287">
        <v>0</v>
      </c>
      <c r="W107" s="283">
        <v>0</v>
      </c>
      <c r="X107" s="283">
        <v>0</v>
      </c>
      <c r="Y107" s="199" t="s">
        <v>1395</v>
      </c>
      <c r="Z107" s="517" t="s">
        <v>5166</v>
      </c>
      <c r="AA107" s="493" t="s">
        <v>1485</v>
      </c>
      <c r="AB107" s="507"/>
    </row>
    <row r="108" spans="2:28" x14ac:dyDescent="0.15">
      <c r="B108" s="330" t="s">
        <v>2945</v>
      </c>
      <c r="C108" s="525">
        <v>42815</v>
      </c>
      <c r="D108" s="198" t="s">
        <v>1755</v>
      </c>
      <c r="E108" s="53" t="s">
        <v>1396</v>
      </c>
      <c r="F108" s="198" t="s">
        <v>3800</v>
      </c>
      <c r="G108" s="3" t="s">
        <v>50</v>
      </c>
      <c r="H108" s="53" t="s">
        <v>1434</v>
      </c>
      <c r="I108" s="3" t="s">
        <v>1435</v>
      </c>
      <c r="J108" s="4" t="s">
        <v>265</v>
      </c>
      <c r="K108" s="4" t="s">
        <v>1155</v>
      </c>
      <c r="L108" s="4" t="s">
        <v>1756</v>
      </c>
      <c r="M108" s="43" t="s">
        <v>1757</v>
      </c>
      <c r="N108" s="255">
        <v>350000</v>
      </c>
      <c r="O108" s="265">
        <v>60</v>
      </c>
      <c r="P108" s="270">
        <v>1</v>
      </c>
      <c r="Q108" s="255">
        <v>210000</v>
      </c>
      <c r="R108" s="283">
        <v>210000</v>
      </c>
      <c r="S108" s="283">
        <v>53640</v>
      </c>
      <c r="T108" s="287">
        <v>0</v>
      </c>
      <c r="U108" s="287">
        <v>1</v>
      </c>
      <c r="V108" s="287">
        <v>0</v>
      </c>
      <c r="W108" s="283">
        <v>21000</v>
      </c>
      <c r="X108" s="283">
        <v>0</v>
      </c>
      <c r="Y108" s="199" t="s">
        <v>1392</v>
      </c>
      <c r="Z108" s="517" t="s">
        <v>5535</v>
      </c>
      <c r="AA108" s="493" t="s">
        <v>1485</v>
      </c>
      <c r="AB108" s="507"/>
    </row>
    <row r="109" spans="2:28" x14ac:dyDescent="0.15">
      <c r="B109" s="330" t="s">
        <v>2946</v>
      </c>
      <c r="C109" s="525">
        <v>42815</v>
      </c>
      <c r="D109" s="198" t="s">
        <v>1761</v>
      </c>
      <c r="E109" s="53" t="s">
        <v>1396</v>
      </c>
      <c r="F109" s="198" t="s">
        <v>3800</v>
      </c>
      <c r="G109" s="3" t="s">
        <v>50</v>
      </c>
      <c r="H109" s="53" t="s">
        <v>1434</v>
      </c>
      <c r="I109" s="3" t="s">
        <v>1435</v>
      </c>
      <c r="J109" s="4" t="s">
        <v>264</v>
      </c>
      <c r="K109" s="4" t="s">
        <v>538</v>
      </c>
      <c r="L109" s="4" t="s">
        <v>1670</v>
      </c>
      <c r="M109" s="43" t="s">
        <v>1671</v>
      </c>
      <c r="N109" s="255">
        <v>243000</v>
      </c>
      <c r="O109" s="265">
        <v>60</v>
      </c>
      <c r="P109" s="270">
        <v>1</v>
      </c>
      <c r="Q109" s="255">
        <v>145800</v>
      </c>
      <c r="R109" s="283">
        <v>145800</v>
      </c>
      <c r="S109" s="283">
        <v>46633</v>
      </c>
      <c r="T109" s="287">
        <v>0</v>
      </c>
      <c r="U109" s="287">
        <v>1</v>
      </c>
      <c r="V109" s="287">
        <v>0</v>
      </c>
      <c r="W109" s="283">
        <v>14580</v>
      </c>
      <c r="X109" s="283">
        <v>0</v>
      </c>
      <c r="Y109" s="199" t="s">
        <v>1392</v>
      </c>
      <c r="Z109" s="517" t="s">
        <v>5167</v>
      </c>
      <c r="AA109" s="493" t="s">
        <v>1485</v>
      </c>
      <c r="AB109" s="507"/>
    </row>
    <row r="110" spans="2:28" x14ac:dyDescent="0.15">
      <c r="B110" s="330" t="s">
        <v>2947</v>
      </c>
      <c r="C110" s="525">
        <v>42815</v>
      </c>
      <c r="D110" s="198" t="s">
        <v>1771</v>
      </c>
      <c r="E110" s="53" t="s">
        <v>1396</v>
      </c>
      <c r="F110" s="198" t="s">
        <v>3800</v>
      </c>
      <c r="G110" s="3" t="s">
        <v>50</v>
      </c>
      <c r="H110" s="53" t="s">
        <v>380</v>
      </c>
      <c r="I110" s="3" t="s">
        <v>1410</v>
      </c>
      <c r="J110" s="4" t="s">
        <v>271</v>
      </c>
      <c r="K110" s="4" t="s">
        <v>1160</v>
      </c>
      <c r="L110" s="4" t="s">
        <v>1594</v>
      </c>
      <c r="M110" s="43" t="s">
        <v>1772</v>
      </c>
      <c r="N110" s="255">
        <v>358000</v>
      </c>
      <c r="O110" s="265">
        <v>60</v>
      </c>
      <c r="P110" s="270">
        <v>1</v>
      </c>
      <c r="Q110" s="255">
        <v>214800</v>
      </c>
      <c r="R110" s="283">
        <v>214800</v>
      </c>
      <c r="S110" s="283">
        <v>64806</v>
      </c>
      <c r="T110" s="287">
        <v>0</v>
      </c>
      <c r="U110" s="287">
        <v>1</v>
      </c>
      <c r="V110" s="287">
        <v>0</v>
      </c>
      <c r="W110" s="283">
        <v>21480</v>
      </c>
      <c r="X110" s="283">
        <v>0</v>
      </c>
      <c r="Y110" s="199" t="s">
        <v>1392</v>
      </c>
      <c r="Z110" s="517" t="s">
        <v>5532</v>
      </c>
      <c r="AA110" s="493" t="s">
        <v>1485</v>
      </c>
      <c r="AB110" s="507"/>
    </row>
    <row r="111" spans="2:28" x14ac:dyDescent="0.15">
      <c r="B111" s="330" t="s">
        <v>2948</v>
      </c>
      <c r="C111" s="525">
        <v>42817</v>
      </c>
      <c r="D111" s="198" t="s">
        <v>1778</v>
      </c>
      <c r="E111" s="53" t="s">
        <v>1396</v>
      </c>
      <c r="F111" s="198" t="s">
        <v>3800</v>
      </c>
      <c r="G111" s="3" t="s">
        <v>50</v>
      </c>
      <c r="H111" s="53" t="s">
        <v>381</v>
      </c>
      <c r="I111" s="3" t="s">
        <v>1408</v>
      </c>
      <c r="J111" s="4" t="s">
        <v>265</v>
      </c>
      <c r="K111" s="4" t="s">
        <v>1155</v>
      </c>
      <c r="L111" s="4" t="s">
        <v>1779</v>
      </c>
      <c r="M111" s="43" t="s">
        <v>1780</v>
      </c>
      <c r="N111" s="255">
        <v>330000</v>
      </c>
      <c r="O111" s="265">
        <v>60</v>
      </c>
      <c r="P111" s="270">
        <v>1</v>
      </c>
      <c r="Q111" s="255">
        <v>198000</v>
      </c>
      <c r="R111" s="283">
        <v>198000</v>
      </c>
      <c r="S111" s="283">
        <v>40810</v>
      </c>
      <c r="T111" s="287">
        <v>0</v>
      </c>
      <c r="U111" s="287">
        <v>1</v>
      </c>
      <c r="V111" s="287">
        <v>0</v>
      </c>
      <c r="W111" s="283">
        <v>19800</v>
      </c>
      <c r="X111" s="283">
        <v>0</v>
      </c>
      <c r="Y111" s="199" t="s">
        <v>1392</v>
      </c>
      <c r="Z111" s="517" t="s">
        <v>5166</v>
      </c>
      <c r="AA111" s="493" t="s">
        <v>1485</v>
      </c>
      <c r="AB111" s="507"/>
    </row>
    <row r="112" spans="2:28" x14ac:dyDescent="0.15">
      <c r="B112" s="330" t="s">
        <v>2949</v>
      </c>
      <c r="C112" s="525">
        <v>42817</v>
      </c>
      <c r="D112" s="198" t="s">
        <v>1781</v>
      </c>
      <c r="E112" s="53" t="s">
        <v>1396</v>
      </c>
      <c r="F112" s="198" t="s">
        <v>3796</v>
      </c>
      <c r="G112" s="3" t="s">
        <v>368</v>
      </c>
      <c r="H112" s="53" t="s">
        <v>792</v>
      </c>
      <c r="I112" s="3" t="s">
        <v>1413</v>
      </c>
      <c r="J112" s="4" t="s">
        <v>271</v>
      </c>
      <c r="K112" s="4" t="s">
        <v>1160</v>
      </c>
      <c r="L112" s="4" t="s">
        <v>1650</v>
      </c>
      <c r="M112" s="43" t="s">
        <v>1782</v>
      </c>
      <c r="N112" s="255">
        <v>195600</v>
      </c>
      <c r="O112" s="265">
        <v>100</v>
      </c>
      <c r="P112" s="270">
        <v>1</v>
      </c>
      <c r="Q112" s="255">
        <v>195600</v>
      </c>
      <c r="R112" s="283">
        <v>195600</v>
      </c>
      <c r="S112" s="283">
        <v>50106</v>
      </c>
      <c r="T112" s="287">
        <v>0</v>
      </c>
      <c r="U112" s="287">
        <v>1</v>
      </c>
      <c r="V112" s="287">
        <v>0</v>
      </c>
      <c r="W112" s="283">
        <v>19560</v>
      </c>
      <c r="X112" s="283">
        <v>0</v>
      </c>
      <c r="Y112" s="199" t="s">
        <v>1392</v>
      </c>
      <c r="Z112" s="517" t="s">
        <v>5166</v>
      </c>
      <c r="AA112" s="493" t="s">
        <v>1485</v>
      </c>
      <c r="AB112" s="507"/>
    </row>
    <row r="113" spans="2:28" x14ac:dyDescent="0.15">
      <c r="B113" s="330" t="s">
        <v>2950</v>
      </c>
      <c r="C113" s="525">
        <v>42817</v>
      </c>
      <c r="D113" s="198" t="s">
        <v>1783</v>
      </c>
      <c r="E113" s="53" t="s">
        <v>1396</v>
      </c>
      <c r="F113" s="198" t="s">
        <v>3800</v>
      </c>
      <c r="G113" s="3" t="s">
        <v>50</v>
      </c>
      <c r="H113" s="53" t="s">
        <v>381</v>
      </c>
      <c r="I113" s="3" t="s">
        <v>1408</v>
      </c>
      <c r="J113" s="4" t="s">
        <v>271</v>
      </c>
      <c r="K113" s="4" t="s">
        <v>1160</v>
      </c>
      <c r="L113" s="4" t="s">
        <v>1763</v>
      </c>
      <c r="M113" s="43" t="s">
        <v>1784</v>
      </c>
      <c r="N113" s="255">
        <v>183600</v>
      </c>
      <c r="O113" s="265">
        <v>100</v>
      </c>
      <c r="P113" s="270">
        <v>1</v>
      </c>
      <c r="Q113" s="255">
        <v>183600</v>
      </c>
      <c r="R113" s="283">
        <v>183600</v>
      </c>
      <c r="S113" s="283">
        <v>40411</v>
      </c>
      <c r="T113" s="287">
        <v>0</v>
      </c>
      <c r="U113" s="287">
        <v>1</v>
      </c>
      <c r="V113" s="287">
        <v>0</v>
      </c>
      <c r="W113" s="283">
        <v>18360</v>
      </c>
      <c r="X113" s="283">
        <v>0</v>
      </c>
      <c r="Y113" s="199" t="s">
        <v>1392</v>
      </c>
      <c r="Z113" s="517" t="s">
        <v>5166</v>
      </c>
      <c r="AA113" s="493" t="s">
        <v>1485</v>
      </c>
      <c r="AB113" s="507"/>
    </row>
    <row r="114" spans="2:28" x14ac:dyDescent="0.15">
      <c r="B114" s="330" t="s">
        <v>2951</v>
      </c>
      <c r="C114" s="525">
        <v>42817</v>
      </c>
      <c r="D114" s="198" t="s">
        <v>1785</v>
      </c>
      <c r="E114" s="53" t="s">
        <v>1396</v>
      </c>
      <c r="F114" s="198" t="s">
        <v>3796</v>
      </c>
      <c r="G114" s="3" t="s">
        <v>368</v>
      </c>
      <c r="H114" s="53" t="s">
        <v>792</v>
      </c>
      <c r="I114" s="3" t="s">
        <v>1413</v>
      </c>
      <c r="J114" s="4" t="s">
        <v>264</v>
      </c>
      <c r="K114" s="4" t="s">
        <v>538</v>
      </c>
      <c r="L114" s="4" t="s">
        <v>1786</v>
      </c>
      <c r="M114" s="43" t="s">
        <v>1787</v>
      </c>
      <c r="N114" s="255">
        <v>180000</v>
      </c>
      <c r="O114" s="265">
        <v>100</v>
      </c>
      <c r="P114" s="270">
        <v>1</v>
      </c>
      <c r="Q114" s="255">
        <v>180000</v>
      </c>
      <c r="R114" s="283">
        <v>180000</v>
      </c>
      <c r="S114" s="283">
        <v>25498</v>
      </c>
      <c r="T114" s="287">
        <v>0</v>
      </c>
      <c r="U114" s="287">
        <v>1</v>
      </c>
      <c r="V114" s="287">
        <v>0</v>
      </c>
      <c r="W114" s="283">
        <v>18000</v>
      </c>
      <c r="X114" s="283">
        <v>0</v>
      </c>
      <c r="Y114" s="199" t="s">
        <v>1392</v>
      </c>
      <c r="Z114" s="517" t="s">
        <v>5532</v>
      </c>
      <c r="AA114" s="493" t="s">
        <v>1485</v>
      </c>
      <c r="AB114" s="507"/>
    </row>
    <row r="115" spans="2:28" x14ac:dyDescent="0.15">
      <c r="B115" s="330" t="s">
        <v>2952</v>
      </c>
      <c r="C115" s="525">
        <v>42817</v>
      </c>
      <c r="D115" s="198" t="s">
        <v>1790</v>
      </c>
      <c r="E115" s="53" t="s">
        <v>1396</v>
      </c>
      <c r="F115" s="198" t="s">
        <v>3800</v>
      </c>
      <c r="G115" s="3" t="s">
        <v>50</v>
      </c>
      <c r="H115" s="53" t="s">
        <v>1434</v>
      </c>
      <c r="I115" s="3" t="s">
        <v>1435</v>
      </c>
      <c r="J115" s="4" t="s">
        <v>268</v>
      </c>
      <c r="K115" s="4" t="s">
        <v>1158</v>
      </c>
      <c r="L115" s="4" t="s">
        <v>1791</v>
      </c>
      <c r="M115" s="43" t="s">
        <v>1792</v>
      </c>
      <c r="N115" s="255">
        <v>138000</v>
      </c>
      <c r="O115" s="265">
        <v>100</v>
      </c>
      <c r="P115" s="270">
        <v>1</v>
      </c>
      <c r="Q115" s="255">
        <v>138000</v>
      </c>
      <c r="R115" s="283">
        <v>138000</v>
      </c>
      <c r="S115" s="283">
        <v>34692</v>
      </c>
      <c r="T115" s="287">
        <v>0</v>
      </c>
      <c r="U115" s="287">
        <v>1</v>
      </c>
      <c r="V115" s="287">
        <v>0</v>
      </c>
      <c r="W115" s="283">
        <v>13800</v>
      </c>
      <c r="X115" s="283">
        <v>0</v>
      </c>
      <c r="Y115" s="199" t="s">
        <v>1392</v>
      </c>
      <c r="Z115" s="517" t="s">
        <v>5540</v>
      </c>
      <c r="AA115" s="493" t="s">
        <v>1485</v>
      </c>
      <c r="AB115" s="507"/>
    </row>
    <row r="116" spans="2:28" x14ac:dyDescent="0.15">
      <c r="B116" s="330" t="s">
        <v>2953</v>
      </c>
      <c r="C116" s="525">
        <v>42820</v>
      </c>
      <c r="D116" s="198" t="s">
        <v>1797</v>
      </c>
      <c r="E116" s="53" t="s">
        <v>1396</v>
      </c>
      <c r="F116" s="198" t="s">
        <v>3800</v>
      </c>
      <c r="G116" s="3" t="s">
        <v>50</v>
      </c>
      <c r="H116" s="53" t="s">
        <v>381</v>
      </c>
      <c r="I116" s="3" t="s">
        <v>1408</v>
      </c>
      <c r="J116" s="4" t="s">
        <v>265</v>
      </c>
      <c r="K116" s="4" t="s">
        <v>1155</v>
      </c>
      <c r="L116" s="4" t="s">
        <v>1798</v>
      </c>
      <c r="M116" s="43" t="s">
        <v>1799</v>
      </c>
      <c r="N116" s="255">
        <v>390000</v>
      </c>
      <c r="O116" s="265">
        <v>65</v>
      </c>
      <c r="P116" s="270">
        <v>1</v>
      </c>
      <c r="Q116" s="255">
        <v>253500</v>
      </c>
      <c r="R116" s="283">
        <v>253500</v>
      </c>
      <c r="S116" s="283">
        <v>111578</v>
      </c>
      <c r="T116" s="287">
        <v>0</v>
      </c>
      <c r="U116" s="287">
        <v>1</v>
      </c>
      <c r="V116" s="287">
        <v>0</v>
      </c>
      <c r="W116" s="283">
        <v>29250</v>
      </c>
      <c r="X116" s="283">
        <v>0</v>
      </c>
      <c r="Y116" s="199" t="s">
        <v>1392</v>
      </c>
      <c r="Z116" s="517" t="s">
        <v>5166</v>
      </c>
      <c r="AA116" s="493" t="s">
        <v>1485</v>
      </c>
      <c r="AB116" s="507"/>
    </row>
    <row r="117" spans="2:28" x14ac:dyDescent="0.15">
      <c r="B117" s="330" t="s">
        <v>2954</v>
      </c>
      <c r="C117" s="525">
        <v>42822</v>
      </c>
      <c r="D117" s="198" t="s">
        <v>1812</v>
      </c>
      <c r="E117" s="53" t="s">
        <v>1396</v>
      </c>
      <c r="F117" s="198" t="s">
        <v>3793</v>
      </c>
      <c r="G117" s="3" t="s">
        <v>1111</v>
      </c>
      <c r="H117" s="53" t="s">
        <v>1425</v>
      </c>
      <c r="I117" s="3" t="s">
        <v>1426</v>
      </c>
      <c r="J117" s="4" t="s">
        <v>264</v>
      </c>
      <c r="K117" s="4" t="s">
        <v>538</v>
      </c>
      <c r="L117" s="4" t="s">
        <v>1786</v>
      </c>
      <c r="M117" s="191" t="s">
        <v>1813</v>
      </c>
      <c r="N117" s="255">
        <v>180000</v>
      </c>
      <c r="O117" s="265">
        <v>100</v>
      </c>
      <c r="P117" s="270">
        <v>1</v>
      </c>
      <c r="Q117" s="255">
        <v>180000</v>
      </c>
      <c r="R117" s="283">
        <v>180000</v>
      </c>
      <c r="S117" s="283">
        <v>25498</v>
      </c>
      <c r="T117" s="287">
        <v>0</v>
      </c>
      <c r="U117" s="287">
        <v>1</v>
      </c>
      <c r="V117" s="287">
        <v>0</v>
      </c>
      <c r="W117" s="283">
        <v>18000</v>
      </c>
      <c r="X117" s="283">
        <v>0</v>
      </c>
      <c r="Y117" s="199" t="s">
        <v>1392</v>
      </c>
      <c r="Z117" s="517" t="s">
        <v>5532</v>
      </c>
      <c r="AA117" s="493" t="s">
        <v>1485</v>
      </c>
      <c r="AB117" s="507"/>
    </row>
    <row r="118" spans="2:28" x14ac:dyDescent="0.15">
      <c r="B118" s="330" t="s">
        <v>2955</v>
      </c>
      <c r="C118" s="525">
        <v>42825</v>
      </c>
      <c r="D118" s="198" t="s">
        <v>1814</v>
      </c>
      <c r="E118" s="53" t="s">
        <v>1396</v>
      </c>
      <c r="F118" s="198" t="s">
        <v>3800</v>
      </c>
      <c r="G118" s="3" t="s">
        <v>50</v>
      </c>
      <c r="H118" s="53" t="s">
        <v>379</v>
      </c>
      <c r="I118" s="3" t="s">
        <v>1407</v>
      </c>
      <c r="J118" s="4" t="s">
        <v>270</v>
      </c>
      <c r="K118" s="4" t="s">
        <v>539</v>
      </c>
      <c r="L118" s="4" t="s">
        <v>1815</v>
      </c>
      <c r="M118" s="191" t="s">
        <v>1816</v>
      </c>
      <c r="N118" s="255">
        <v>368000</v>
      </c>
      <c r="O118" s="265">
        <v>60</v>
      </c>
      <c r="P118" s="270">
        <v>1</v>
      </c>
      <c r="Q118" s="255">
        <v>220800</v>
      </c>
      <c r="R118" s="283">
        <v>220800</v>
      </c>
      <c r="S118" s="283">
        <v>35878</v>
      </c>
      <c r="T118" s="287">
        <v>0</v>
      </c>
      <c r="U118" s="287">
        <v>1</v>
      </c>
      <c r="V118" s="287">
        <v>0</v>
      </c>
      <c r="W118" s="283">
        <v>22080</v>
      </c>
      <c r="X118" s="283">
        <v>0</v>
      </c>
      <c r="Y118" s="199" t="s">
        <v>1392</v>
      </c>
      <c r="Z118" s="517" t="s">
        <v>5532</v>
      </c>
      <c r="AA118" s="493" t="s">
        <v>1485</v>
      </c>
      <c r="AB118" s="507"/>
    </row>
    <row r="119" spans="2:28" x14ac:dyDescent="0.15">
      <c r="B119" s="330" t="s">
        <v>2956</v>
      </c>
      <c r="C119" s="525">
        <v>42825</v>
      </c>
      <c r="D119" s="198" t="s">
        <v>1825</v>
      </c>
      <c r="E119" s="53" t="s">
        <v>1396</v>
      </c>
      <c r="F119" s="198" t="s">
        <v>3800</v>
      </c>
      <c r="G119" s="3" t="s">
        <v>50</v>
      </c>
      <c r="H119" s="53" t="s">
        <v>381</v>
      </c>
      <c r="I119" s="3" t="s">
        <v>1408</v>
      </c>
      <c r="J119" s="3" t="s">
        <v>298</v>
      </c>
      <c r="K119" s="3" t="s">
        <v>1168</v>
      </c>
      <c r="L119" s="3" t="s">
        <v>1826</v>
      </c>
      <c r="M119" s="53"/>
      <c r="N119" s="258">
        <v>18000</v>
      </c>
      <c r="O119" s="266">
        <v>65</v>
      </c>
      <c r="P119" s="272">
        <v>1</v>
      </c>
      <c r="Q119" s="258">
        <v>11700</v>
      </c>
      <c r="R119" s="286">
        <v>11700</v>
      </c>
      <c r="S119" s="286">
        <v>2350</v>
      </c>
      <c r="T119" s="288">
        <v>0</v>
      </c>
      <c r="U119" s="288">
        <v>0</v>
      </c>
      <c r="V119" s="288">
        <v>0</v>
      </c>
      <c r="W119" s="286">
        <v>1350</v>
      </c>
      <c r="X119" s="286">
        <v>0</v>
      </c>
      <c r="Y119" s="200" t="s">
        <v>1392</v>
      </c>
      <c r="Z119" s="517" t="s">
        <v>5166</v>
      </c>
      <c r="AA119" s="499" t="s">
        <v>1485</v>
      </c>
      <c r="AB119" s="508"/>
    </row>
    <row r="120" spans="2:28" x14ac:dyDescent="0.15">
      <c r="B120" s="330" t="s">
        <v>2957</v>
      </c>
      <c r="C120" s="525">
        <v>42825</v>
      </c>
      <c r="D120" s="198" t="s">
        <v>1825</v>
      </c>
      <c r="E120" s="53" t="s">
        <v>1396</v>
      </c>
      <c r="F120" s="198" t="s">
        <v>3800</v>
      </c>
      <c r="G120" s="3" t="s">
        <v>50</v>
      </c>
      <c r="H120" s="53" t="s">
        <v>381</v>
      </c>
      <c r="I120" s="3" t="s">
        <v>1408</v>
      </c>
      <c r="J120" s="3" t="s">
        <v>299</v>
      </c>
      <c r="K120" s="3" t="s">
        <v>373</v>
      </c>
      <c r="L120" s="197" t="s">
        <v>1827</v>
      </c>
      <c r="M120" s="53"/>
      <c r="N120" s="258">
        <v>3000</v>
      </c>
      <c r="O120" s="266">
        <v>100</v>
      </c>
      <c r="P120" s="272">
        <v>1</v>
      </c>
      <c r="Q120" s="258">
        <v>3000</v>
      </c>
      <c r="R120" s="286">
        <v>3000</v>
      </c>
      <c r="S120" s="286">
        <v>808</v>
      </c>
      <c r="T120" s="288">
        <v>0</v>
      </c>
      <c r="U120" s="288">
        <v>0</v>
      </c>
      <c r="V120" s="288">
        <v>0</v>
      </c>
      <c r="W120" s="286">
        <v>2192</v>
      </c>
      <c r="X120" s="286">
        <v>0</v>
      </c>
      <c r="Y120" s="200" t="s">
        <v>1392</v>
      </c>
      <c r="Z120" s="517" t="s">
        <v>5166</v>
      </c>
      <c r="AA120" s="499" t="s">
        <v>1485</v>
      </c>
      <c r="AB120" s="508"/>
    </row>
    <row r="121" spans="2:28" x14ac:dyDescent="0.15">
      <c r="B121" s="330" t="s">
        <v>2958</v>
      </c>
      <c r="C121" s="525">
        <v>42826</v>
      </c>
      <c r="D121" s="198" t="s">
        <v>1765</v>
      </c>
      <c r="E121" s="53" t="s">
        <v>1391</v>
      </c>
      <c r="F121" s="198" t="s">
        <v>3812</v>
      </c>
      <c r="G121" s="3" t="s">
        <v>1453</v>
      </c>
      <c r="H121" s="53"/>
      <c r="I121" s="3"/>
      <c r="J121" s="4" t="s">
        <v>262</v>
      </c>
      <c r="K121" s="4" t="s">
        <v>365</v>
      </c>
      <c r="L121" s="4" t="s">
        <v>1728</v>
      </c>
      <c r="M121" s="43" t="s">
        <v>1766</v>
      </c>
      <c r="N121" s="255">
        <v>148800</v>
      </c>
      <c r="O121" s="265">
        <v>100</v>
      </c>
      <c r="P121" s="270">
        <v>1</v>
      </c>
      <c r="Q121" s="255">
        <v>148800</v>
      </c>
      <c r="R121" s="283">
        <v>148800</v>
      </c>
      <c r="S121" s="283">
        <v>39202</v>
      </c>
      <c r="T121" s="287">
        <v>0</v>
      </c>
      <c r="U121" s="287">
        <v>1</v>
      </c>
      <c r="V121" s="287">
        <v>0</v>
      </c>
      <c r="W121" s="283">
        <v>14880</v>
      </c>
      <c r="X121" s="283">
        <v>0</v>
      </c>
      <c r="Y121" s="199" t="s">
        <v>1392</v>
      </c>
      <c r="Z121" s="517" t="s">
        <v>5166</v>
      </c>
      <c r="AA121" s="493" t="s">
        <v>1485</v>
      </c>
      <c r="AB121" s="507"/>
    </row>
    <row r="122" spans="2:28" x14ac:dyDescent="0.15">
      <c r="B122" s="330" t="s">
        <v>2959</v>
      </c>
      <c r="C122" s="525">
        <v>42826</v>
      </c>
      <c r="D122" s="198" t="s">
        <v>1775</v>
      </c>
      <c r="E122" s="53" t="s">
        <v>1396</v>
      </c>
      <c r="F122" s="198" t="s">
        <v>3799</v>
      </c>
      <c r="G122" s="3" t="s">
        <v>1110</v>
      </c>
      <c r="H122" s="53" t="s">
        <v>803</v>
      </c>
      <c r="I122" s="3" t="s">
        <v>1542</v>
      </c>
      <c r="J122" s="4" t="s">
        <v>270</v>
      </c>
      <c r="K122" s="4" t="s">
        <v>539</v>
      </c>
      <c r="L122" s="4" t="s">
        <v>1776</v>
      </c>
      <c r="M122" s="43" t="s">
        <v>1777</v>
      </c>
      <c r="N122" s="255">
        <v>172800</v>
      </c>
      <c r="O122" s="265">
        <v>100</v>
      </c>
      <c r="P122" s="270">
        <v>1</v>
      </c>
      <c r="Q122" s="255">
        <v>172800</v>
      </c>
      <c r="R122" s="283">
        <v>172800</v>
      </c>
      <c r="S122" s="283">
        <v>50499</v>
      </c>
      <c r="T122" s="287">
        <v>1</v>
      </c>
      <c r="U122" s="287">
        <v>0</v>
      </c>
      <c r="V122" s="287">
        <v>0</v>
      </c>
      <c r="W122" s="283">
        <v>0</v>
      </c>
      <c r="X122" s="283">
        <v>0</v>
      </c>
      <c r="Y122" s="199" t="s">
        <v>1395</v>
      </c>
      <c r="Z122" s="517" t="s">
        <v>5533</v>
      </c>
      <c r="AA122" s="493" t="s">
        <v>1485</v>
      </c>
      <c r="AB122" s="507"/>
    </row>
    <row r="123" spans="2:28" x14ac:dyDescent="0.15">
      <c r="B123" s="330" t="s">
        <v>2960</v>
      </c>
      <c r="C123" s="525">
        <v>42826</v>
      </c>
      <c r="D123" s="198" t="s">
        <v>1778</v>
      </c>
      <c r="E123" s="53" t="s">
        <v>1396</v>
      </c>
      <c r="F123" s="198" t="s">
        <v>3796</v>
      </c>
      <c r="G123" s="3" t="s">
        <v>368</v>
      </c>
      <c r="H123" s="198" t="s">
        <v>793</v>
      </c>
      <c r="I123" s="3" t="s">
        <v>1829</v>
      </c>
      <c r="J123" s="4" t="s">
        <v>265</v>
      </c>
      <c r="K123" s="4" t="s">
        <v>1155</v>
      </c>
      <c r="L123" s="4" t="s">
        <v>1788</v>
      </c>
      <c r="M123" s="43" t="s">
        <v>1789</v>
      </c>
      <c r="N123" s="255">
        <v>198000</v>
      </c>
      <c r="O123" s="265">
        <v>100</v>
      </c>
      <c r="P123" s="270">
        <v>1</v>
      </c>
      <c r="Q123" s="255">
        <v>198000</v>
      </c>
      <c r="R123" s="283">
        <v>198000</v>
      </c>
      <c r="S123" s="283">
        <v>46840</v>
      </c>
      <c r="T123" s="287">
        <v>0</v>
      </c>
      <c r="U123" s="287">
        <v>1</v>
      </c>
      <c r="V123" s="287">
        <v>0</v>
      </c>
      <c r="W123" s="283">
        <v>19800</v>
      </c>
      <c r="X123" s="283">
        <v>0</v>
      </c>
      <c r="Y123" s="199" t="s">
        <v>1392</v>
      </c>
      <c r="Z123" s="517" t="s">
        <v>5532</v>
      </c>
      <c r="AA123" s="493"/>
      <c r="AB123" s="507"/>
    </row>
    <row r="124" spans="2:28" x14ac:dyDescent="0.15">
      <c r="B124" s="330" t="s">
        <v>2961</v>
      </c>
      <c r="C124" s="525">
        <v>42826</v>
      </c>
      <c r="D124" s="198" t="s">
        <v>1800</v>
      </c>
      <c r="E124" s="53" t="s">
        <v>1391</v>
      </c>
      <c r="F124" s="198" t="s">
        <v>3798</v>
      </c>
      <c r="G124" s="3" t="s">
        <v>370</v>
      </c>
      <c r="H124" s="53" t="s">
        <v>1491</v>
      </c>
      <c r="I124" s="3" t="s">
        <v>1492</v>
      </c>
      <c r="J124" s="4" t="s">
        <v>273</v>
      </c>
      <c r="K124" s="4" t="s">
        <v>1161</v>
      </c>
      <c r="L124" s="4" t="s">
        <v>1801</v>
      </c>
      <c r="M124" s="43" t="s">
        <v>1802</v>
      </c>
      <c r="N124" s="255">
        <v>144000</v>
      </c>
      <c r="O124" s="265">
        <v>100</v>
      </c>
      <c r="P124" s="270">
        <v>1</v>
      </c>
      <c r="Q124" s="255">
        <v>144000</v>
      </c>
      <c r="R124" s="283">
        <v>144000</v>
      </c>
      <c r="S124" s="283">
        <v>38085</v>
      </c>
      <c r="T124" s="287">
        <v>0</v>
      </c>
      <c r="U124" s="287">
        <v>1</v>
      </c>
      <c r="V124" s="287">
        <v>0</v>
      </c>
      <c r="W124" s="283">
        <v>14400</v>
      </c>
      <c r="X124" s="283">
        <v>0</v>
      </c>
      <c r="Y124" s="199" t="s">
        <v>1392</v>
      </c>
      <c r="Z124" s="517" t="s">
        <v>5167</v>
      </c>
      <c r="AA124" s="493" t="s">
        <v>1485</v>
      </c>
      <c r="AB124" s="507"/>
    </row>
    <row r="125" spans="2:28" x14ac:dyDescent="0.15">
      <c r="B125" s="330" t="s">
        <v>2962</v>
      </c>
      <c r="C125" s="525">
        <v>42826</v>
      </c>
      <c r="D125" s="198" t="s">
        <v>1803</v>
      </c>
      <c r="E125" s="53" t="s">
        <v>1391</v>
      </c>
      <c r="F125" s="198" t="s">
        <v>3797</v>
      </c>
      <c r="G125" s="3" t="s">
        <v>362</v>
      </c>
      <c r="H125" s="53" t="s">
        <v>689</v>
      </c>
      <c r="I125" s="3" t="s">
        <v>1394</v>
      </c>
      <c r="J125" s="4" t="s">
        <v>273</v>
      </c>
      <c r="K125" s="4" t="s">
        <v>1161</v>
      </c>
      <c r="L125" s="4" t="s">
        <v>1804</v>
      </c>
      <c r="M125" s="43" t="s">
        <v>1805</v>
      </c>
      <c r="N125" s="255">
        <v>134550</v>
      </c>
      <c r="O125" s="265">
        <v>100</v>
      </c>
      <c r="P125" s="270">
        <v>1</v>
      </c>
      <c r="Q125" s="255">
        <v>134550</v>
      </c>
      <c r="R125" s="283">
        <v>134550</v>
      </c>
      <c r="S125" s="283">
        <v>46535</v>
      </c>
      <c r="T125" s="287">
        <v>1</v>
      </c>
      <c r="U125" s="287">
        <v>0</v>
      </c>
      <c r="V125" s="287">
        <v>0</v>
      </c>
      <c r="W125" s="283">
        <v>0</v>
      </c>
      <c r="X125" s="283">
        <v>0</v>
      </c>
      <c r="Y125" s="199" t="s">
        <v>1395</v>
      </c>
      <c r="Z125" s="517" t="s">
        <v>5166</v>
      </c>
      <c r="AA125" s="493" t="s">
        <v>1485</v>
      </c>
      <c r="AB125" s="507"/>
    </row>
    <row r="126" spans="2:28" x14ac:dyDescent="0.15">
      <c r="B126" s="330" t="s">
        <v>2963</v>
      </c>
      <c r="C126" s="525">
        <v>42826</v>
      </c>
      <c r="D126" s="198" t="s">
        <v>1809</v>
      </c>
      <c r="E126" s="53" t="s">
        <v>1391</v>
      </c>
      <c r="F126" s="198" t="s">
        <v>3797</v>
      </c>
      <c r="G126" s="3" t="s">
        <v>362</v>
      </c>
      <c r="H126" s="53" t="s">
        <v>689</v>
      </c>
      <c r="I126" s="3" t="s">
        <v>1394</v>
      </c>
      <c r="J126" s="4" t="s">
        <v>292</v>
      </c>
      <c r="K126" s="4" t="s">
        <v>1163</v>
      </c>
      <c r="L126" s="4" t="s">
        <v>1810</v>
      </c>
      <c r="M126" s="43" t="s">
        <v>1811</v>
      </c>
      <c r="N126" s="255">
        <v>330000</v>
      </c>
      <c r="O126" s="265">
        <v>58.5</v>
      </c>
      <c r="P126" s="270">
        <v>1</v>
      </c>
      <c r="Q126" s="255">
        <v>193050</v>
      </c>
      <c r="R126" s="283">
        <v>193050</v>
      </c>
      <c r="S126" s="283">
        <v>48326</v>
      </c>
      <c r="T126" s="287">
        <v>1</v>
      </c>
      <c r="U126" s="287">
        <v>0</v>
      </c>
      <c r="V126" s="287">
        <v>0</v>
      </c>
      <c r="W126" s="283">
        <v>0</v>
      </c>
      <c r="X126" s="283">
        <v>0</v>
      </c>
      <c r="Y126" s="199" t="s">
        <v>1395</v>
      </c>
      <c r="Z126" s="517" t="s">
        <v>5532</v>
      </c>
      <c r="AA126" s="493" t="s">
        <v>1485</v>
      </c>
      <c r="AB126" s="507"/>
    </row>
    <row r="127" spans="2:28" x14ac:dyDescent="0.15">
      <c r="B127" s="330" t="s">
        <v>2964</v>
      </c>
      <c r="C127" s="525">
        <v>42826</v>
      </c>
      <c r="D127" s="198" t="s">
        <v>1817</v>
      </c>
      <c r="E127" s="53" t="s">
        <v>1391</v>
      </c>
      <c r="F127" s="198" t="s">
        <v>3812</v>
      </c>
      <c r="G127" s="3" t="s">
        <v>1453</v>
      </c>
      <c r="H127" s="53"/>
      <c r="I127" s="3"/>
      <c r="J127" s="4" t="s">
        <v>262</v>
      </c>
      <c r="K127" s="4" t="s">
        <v>365</v>
      </c>
      <c r="L127" s="4" t="s">
        <v>1818</v>
      </c>
      <c r="M127" s="43" t="s">
        <v>1819</v>
      </c>
      <c r="N127" s="255">
        <v>160800</v>
      </c>
      <c r="O127" s="265">
        <v>100</v>
      </c>
      <c r="P127" s="270">
        <v>1</v>
      </c>
      <c r="Q127" s="255">
        <v>160800</v>
      </c>
      <c r="R127" s="283">
        <v>160800</v>
      </c>
      <c r="S127" s="283">
        <v>45002</v>
      </c>
      <c r="T127" s="287">
        <v>0</v>
      </c>
      <c r="U127" s="287">
        <v>1</v>
      </c>
      <c r="V127" s="287">
        <v>0</v>
      </c>
      <c r="W127" s="283">
        <v>16080</v>
      </c>
      <c r="X127" s="283">
        <v>0</v>
      </c>
      <c r="Y127" s="199" t="s">
        <v>1392</v>
      </c>
      <c r="Z127" s="517" t="s">
        <v>5532</v>
      </c>
      <c r="AA127" s="493" t="s">
        <v>1485</v>
      </c>
      <c r="AB127" s="507"/>
    </row>
    <row r="128" spans="2:28" x14ac:dyDescent="0.15">
      <c r="B128" s="330" t="s">
        <v>2965</v>
      </c>
      <c r="C128" s="525">
        <v>42826</v>
      </c>
      <c r="D128" s="198" t="s">
        <v>1820</v>
      </c>
      <c r="E128" s="53" t="s">
        <v>1396</v>
      </c>
      <c r="F128" s="198" t="s">
        <v>3799</v>
      </c>
      <c r="G128" s="3" t="s">
        <v>1110</v>
      </c>
      <c r="H128" s="53" t="s">
        <v>796</v>
      </c>
      <c r="I128" s="3" t="s">
        <v>1428</v>
      </c>
      <c r="J128" s="4" t="s">
        <v>262</v>
      </c>
      <c r="K128" s="4" t="s">
        <v>365</v>
      </c>
      <c r="L128" s="4" t="s">
        <v>1818</v>
      </c>
      <c r="M128" s="43" t="s">
        <v>1821</v>
      </c>
      <c r="N128" s="255">
        <v>160800</v>
      </c>
      <c r="O128" s="265">
        <v>100</v>
      </c>
      <c r="P128" s="270">
        <v>1</v>
      </c>
      <c r="Q128" s="255">
        <v>160800</v>
      </c>
      <c r="R128" s="283">
        <v>160800</v>
      </c>
      <c r="S128" s="283">
        <v>45002</v>
      </c>
      <c r="T128" s="287">
        <v>0</v>
      </c>
      <c r="U128" s="287">
        <v>1</v>
      </c>
      <c r="V128" s="287">
        <v>0</v>
      </c>
      <c r="W128" s="283">
        <v>16080</v>
      </c>
      <c r="X128" s="283">
        <v>0</v>
      </c>
      <c r="Y128" s="199" t="s">
        <v>1392</v>
      </c>
      <c r="Z128" s="517" t="s">
        <v>5532</v>
      </c>
      <c r="AA128" s="493" t="s">
        <v>1485</v>
      </c>
      <c r="AB128" s="507"/>
    </row>
    <row r="129" spans="2:28" x14ac:dyDescent="0.15">
      <c r="B129" s="330" t="s">
        <v>2966</v>
      </c>
      <c r="C129" s="525">
        <v>42826</v>
      </c>
      <c r="D129" s="198" t="s">
        <v>1822</v>
      </c>
      <c r="E129" s="53" t="s">
        <v>1396</v>
      </c>
      <c r="F129" s="198" t="s">
        <v>3799</v>
      </c>
      <c r="G129" s="3" t="s">
        <v>1110</v>
      </c>
      <c r="H129" s="53" t="s">
        <v>796</v>
      </c>
      <c r="I129" s="3" t="s">
        <v>1428</v>
      </c>
      <c r="J129" s="4" t="s">
        <v>272</v>
      </c>
      <c r="K129" s="4" t="s">
        <v>363</v>
      </c>
      <c r="L129" s="4" t="s">
        <v>1823</v>
      </c>
      <c r="M129" s="43" t="s">
        <v>1824</v>
      </c>
      <c r="N129" s="255">
        <v>144000</v>
      </c>
      <c r="O129" s="265">
        <v>100</v>
      </c>
      <c r="P129" s="270">
        <v>1</v>
      </c>
      <c r="Q129" s="255">
        <v>144000</v>
      </c>
      <c r="R129" s="283">
        <v>144000</v>
      </c>
      <c r="S129" s="283">
        <v>31910</v>
      </c>
      <c r="T129" s="287">
        <v>0</v>
      </c>
      <c r="U129" s="287">
        <v>1</v>
      </c>
      <c r="V129" s="287">
        <v>0</v>
      </c>
      <c r="W129" s="283">
        <v>14400</v>
      </c>
      <c r="X129" s="283">
        <v>0</v>
      </c>
      <c r="Y129" s="199" t="s">
        <v>1392</v>
      </c>
      <c r="Z129" s="517" t="s">
        <v>5166</v>
      </c>
      <c r="AA129" s="493" t="s">
        <v>1485</v>
      </c>
      <c r="AB129" s="507"/>
    </row>
    <row r="130" spans="2:28" x14ac:dyDescent="0.15">
      <c r="B130" s="330" t="s">
        <v>2967</v>
      </c>
      <c r="C130" s="525">
        <v>42826</v>
      </c>
      <c r="D130" s="198" t="s">
        <v>1828</v>
      </c>
      <c r="E130" s="53" t="s">
        <v>1396</v>
      </c>
      <c r="F130" s="198" t="s">
        <v>3796</v>
      </c>
      <c r="G130" s="3" t="s">
        <v>368</v>
      </c>
      <c r="H130" s="53" t="s">
        <v>793</v>
      </c>
      <c r="I130" s="3" t="s">
        <v>1829</v>
      </c>
      <c r="J130" s="4" t="s">
        <v>292</v>
      </c>
      <c r="K130" s="4" t="s">
        <v>1163</v>
      </c>
      <c r="L130" s="4" t="s">
        <v>1830</v>
      </c>
      <c r="M130" s="43" t="s">
        <v>1831</v>
      </c>
      <c r="N130" s="255">
        <v>198000</v>
      </c>
      <c r="O130" s="265">
        <v>100</v>
      </c>
      <c r="P130" s="270">
        <v>1</v>
      </c>
      <c r="Q130" s="255">
        <v>198000</v>
      </c>
      <c r="R130" s="283">
        <v>198000</v>
      </c>
      <c r="S130" s="283">
        <v>44276</v>
      </c>
      <c r="T130" s="287">
        <v>0</v>
      </c>
      <c r="U130" s="287">
        <v>1</v>
      </c>
      <c r="V130" s="287">
        <v>0</v>
      </c>
      <c r="W130" s="283">
        <v>19800</v>
      </c>
      <c r="X130" s="283">
        <v>0</v>
      </c>
      <c r="Y130" s="199" t="s">
        <v>1392</v>
      </c>
      <c r="Z130" s="517" t="s">
        <v>5166</v>
      </c>
      <c r="AA130" s="493" t="s">
        <v>1485</v>
      </c>
      <c r="AB130" s="507"/>
    </row>
    <row r="131" spans="2:28" x14ac:dyDescent="0.15">
      <c r="B131" s="330" t="s">
        <v>2968</v>
      </c>
      <c r="C131" s="525">
        <v>42826</v>
      </c>
      <c r="D131" s="198" t="s">
        <v>1832</v>
      </c>
      <c r="E131" s="53" t="s">
        <v>1391</v>
      </c>
      <c r="F131" s="198" t="s">
        <v>3794</v>
      </c>
      <c r="G131" s="3" t="s">
        <v>364</v>
      </c>
      <c r="H131" s="53" t="s">
        <v>433</v>
      </c>
      <c r="I131" s="3" t="s">
        <v>1508</v>
      </c>
      <c r="J131" s="4" t="s">
        <v>299</v>
      </c>
      <c r="K131" s="4" t="s">
        <v>373</v>
      </c>
      <c r="L131" s="4" t="s">
        <v>1833</v>
      </c>
      <c r="M131" s="43"/>
      <c r="N131" s="255">
        <v>5000</v>
      </c>
      <c r="O131" s="265">
        <v>100</v>
      </c>
      <c r="P131" s="270">
        <v>1</v>
      </c>
      <c r="Q131" s="255">
        <v>5000</v>
      </c>
      <c r="R131" s="283">
        <v>5000</v>
      </c>
      <c r="S131" s="283">
        <v>4424</v>
      </c>
      <c r="T131" s="287">
        <v>0</v>
      </c>
      <c r="U131" s="287">
        <v>0</v>
      </c>
      <c r="V131" s="287">
        <v>0</v>
      </c>
      <c r="W131" s="283">
        <v>576</v>
      </c>
      <c r="X131" s="283">
        <v>0</v>
      </c>
      <c r="Y131" s="199" t="s">
        <v>1392</v>
      </c>
      <c r="Z131" s="517" t="s">
        <v>5166</v>
      </c>
      <c r="AA131" s="493" t="s">
        <v>1485</v>
      </c>
      <c r="AB131" s="507"/>
    </row>
    <row r="132" spans="2:28" x14ac:dyDescent="0.15">
      <c r="B132" s="330" t="s">
        <v>2969</v>
      </c>
      <c r="C132" s="525">
        <v>42826</v>
      </c>
      <c r="D132" s="198" t="s">
        <v>1832</v>
      </c>
      <c r="E132" s="53" t="s">
        <v>1391</v>
      </c>
      <c r="F132" s="198" t="s">
        <v>3794</v>
      </c>
      <c r="G132" s="3" t="s">
        <v>364</v>
      </c>
      <c r="H132" s="53" t="s">
        <v>433</v>
      </c>
      <c r="I132" s="3" t="s">
        <v>1508</v>
      </c>
      <c r="J132" s="4" t="s">
        <v>298</v>
      </c>
      <c r="K132" s="4" t="s">
        <v>1168</v>
      </c>
      <c r="L132" s="4" t="s">
        <v>1834</v>
      </c>
      <c r="M132" s="43"/>
      <c r="N132" s="255">
        <v>2125</v>
      </c>
      <c r="O132" s="265">
        <v>65</v>
      </c>
      <c r="P132" s="270">
        <v>1</v>
      </c>
      <c r="Q132" s="255">
        <v>1381</v>
      </c>
      <c r="R132" s="283">
        <v>1381</v>
      </c>
      <c r="S132" s="283">
        <v>3720</v>
      </c>
      <c r="T132" s="287">
        <v>0</v>
      </c>
      <c r="U132" s="287">
        <v>0</v>
      </c>
      <c r="V132" s="287">
        <v>0</v>
      </c>
      <c r="W132" s="283">
        <v>159</v>
      </c>
      <c r="X132" s="283">
        <v>0</v>
      </c>
      <c r="Y132" s="199" t="s">
        <v>1392</v>
      </c>
      <c r="Z132" s="517" t="s">
        <v>5166</v>
      </c>
      <c r="AA132" s="493" t="s">
        <v>1485</v>
      </c>
      <c r="AB132" s="507"/>
    </row>
    <row r="133" spans="2:28" x14ac:dyDescent="0.15">
      <c r="B133" s="330" t="s">
        <v>2970</v>
      </c>
      <c r="C133" s="525">
        <v>42826</v>
      </c>
      <c r="D133" s="198" t="s">
        <v>1832</v>
      </c>
      <c r="E133" s="53" t="s">
        <v>1391</v>
      </c>
      <c r="F133" s="198" t="s">
        <v>3794</v>
      </c>
      <c r="G133" s="3" t="s">
        <v>364</v>
      </c>
      <c r="H133" s="53" t="s">
        <v>433</v>
      </c>
      <c r="I133" s="3" t="s">
        <v>1508</v>
      </c>
      <c r="J133" s="4"/>
      <c r="K133" s="4"/>
      <c r="L133" s="4" t="s">
        <v>1520</v>
      </c>
      <c r="M133" s="43"/>
      <c r="N133" s="255">
        <v>450</v>
      </c>
      <c r="O133" s="265">
        <v>100</v>
      </c>
      <c r="P133" s="270">
        <v>1</v>
      </c>
      <c r="Q133" s="255">
        <v>450</v>
      </c>
      <c r="R133" s="283">
        <v>450</v>
      </c>
      <c r="S133" s="283">
        <v>0</v>
      </c>
      <c r="T133" s="287">
        <v>0</v>
      </c>
      <c r="U133" s="287">
        <v>0</v>
      </c>
      <c r="V133" s="287">
        <v>0</v>
      </c>
      <c r="W133" s="283">
        <v>0</v>
      </c>
      <c r="X133" s="283">
        <v>0</v>
      </c>
      <c r="Y133" s="199" t="s">
        <v>4146</v>
      </c>
      <c r="Z133" s="517" t="s">
        <v>5532</v>
      </c>
      <c r="AA133" s="493" t="s">
        <v>1485</v>
      </c>
      <c r="AB133" s="507"/>
    </row>
    <row r="134" spans="2:28" x14ac:dyDescent="0.15">
      <c r="B134" s="330" t="s">
        <v>2971</v>
      </c>
      <c r="C134" s="525">
        <v>42826</v>
      </c>
      <c r="D134" s="198" t="s">
        <v>1835</v>
      </c>
      <c r="E134" s="53" t="s">
        <v>1391</v>
      </c>
      <c r="F134" s="198" t="s">
        <v>3797</v>
      </c>
      <c r="G134" s="3" t="s">
        <v>362</v>
      </c>
      <c r="H134" s="53" t="s">
        <v>689</v>
      </c>
      <c r="I134" s="3" t="s">
        <v>1394</v>
      </c>
      <c r="J134" s="4" t="s">
        <v>268</v>
      </c>
      <c r="K134" s="4" t="s">
        <v>1158</v>
      </c>
      <c r="L134" s="4" t="s">
        <v>1836</v>
      </c>
      <c r="M134" s="43" t="s">
        <v>1837</v>
      </c>
      <c r="N134" s="255">
        <v>134550</v>
      </c>
      <c r="O134" s="265">
        <v>100</v>
      </c>
      <c r="P134" s="270">
        <v>1</v>
      </c>
      <c r="Q134" s="255">
        <v>134550</v>
      </c>
      <c r="R134" s="283">
        <v>134550</v>
      </c>
      <c r="S134" s="283">
        <v>39942</v>
      </c>
      <c r="T134" s="287">
        <v>1</v>
      </c>
      <c r="U134" s="287">
        <v>0</v>
      </c>
      <c r="V134" s="287">
        <v>0</v>
      </c>
      <c r="W134" s="283">
        <v>0</v>
      </c>
      <c r="X134" s="283">
        <v>0</v>
      </c>
      <c r="Y134" s="199" t="s">
        <v>1395</v>
      </c>
      <c r="Z134" s="517" t="s">
        <v>5166</v>
      </c>
      <c r="AA134" s="493" t="s">
        <v>1485</v>
      </c>
      <c r="AB134" s="507"/>
    </row>
    <row r="135" spans="2:28" x14ac:dyDescent="0.15">
      <c r="B135" s="330" t="s">
        <v>2972</v>
      </c>
      <c r="C135" s="525">
        <v>42826</v>
      </c>
      <c r="D135" s="198" t="s">
        <v>1987</v>
      </c>
      <c r="E135" s="53" t="s">
        <v>1396</v>
      </c>
      <c r="F135" s="198" t="s">
        <v>3795</v>
      </c>
      <c r="G135" s="3" t="s">
        <v>1321</v>
      </c>
      <c r="H135" s="53"/>
      <c r="I135" s="3"/>
      <c r="J135" s="4" t="s">
        <v>299</v>
      </c>
      <c r="K135" s="4" t="s">
        <v>373</v>
      </c>
      <c r="L135" s="4" t="s">
        <v>1523</v>
      </c>
      <c r="M135" s="43"/>
      <c r="N135" s="255">
        <v>3076</v>
      </c>
      <c r="O135" s="265">
        <v>100</v>
      </c>
      <c r="P135" s="270">
        <v>-1</v>
      </c>
      <c r="Q135" s="255">
        <v>3076</v>
      </c>
      <c r="R135" s="283">
        <v>-3076</v>
      </c>
      <c r="S135" s="283">
        <v>-3076</v>
      </c>
      <c r="T135" s="287">
        <v>0</v>
      </c>
      <c r="U135" s="287">
        <v>0</v>
      </c>
      <c r="V135" s="287">
        <v>0</v>
      </c>
      <c r="W135" s="283">
        <v>3076</v>
      </c>
      <c r="X135" s="283">
        <v>0</v>
      </c>
      <c r="Y135" s="199" t="s">
        <v>1392</v>
      </c>
      <c r="Z135" s="517" t="s">
        <v>5533</v>
      </c>
      <c r="AA135" s="493"/>
      <c r="AB135" s="507"/>
    </row>
    <row r="136" spans="2:28" x14ac:dyDescent="0.15">
      <c r="B136" s="330" t="s">
        <v>2973</v>
      </c>
      <c r="C136" s="525">
        <v>42832</v>
      </c>
      <c r="D136" s="198" t="s">
        <v>1842</v>
      </c>
      <c r="E136" s="53" t="s">
        <v>1396</v>
      </c>
      <c r="F136" s="198" t="s">
        <v>3799</v>
      </c>
      <c r="G136" s="3" t="s">
        <v>1110</v>
      </c>
      <c r="H136" s="53" t="s">
        <v>796</v>
      </c>
      <c r="I136" s="3" t="s">
        <v>1428</v>
      </c>
      <c r="J136" s="4" t="s">
        <v>268</v>
      </c>
      <c r="K136" s="4" t="s">
        <v>1158</v>
      </c>
      <c r="L136" s="4" t="s">
        <v>1843</v>
      </c>
      <c r="M136" s="43" t="s">
        <v>1844</v>
      </c>
      <c r="N136" s="255">
        <v>138000</v>
      </c>
      <c r="O136" s="265">
        <v>100</v>
      </c>
      <c r="P136" s="270">
        <v>1</v>
      </c>
      <c r="Q136" s="255">
        <v>138000</v>
      </c>
      <c r="R136" s="283">
        <v>138000</v>
      </c>
      <c r="S136" s="283">
        <v>32692</v>
      </c>
      <c r="T136" s="287">
        <v>0</v>
      </c>
      <c r="U136" s="287">
        <v>1</v>
      </c>
      <c r="V136" s="287">
        <v>0</v>
      </c>
      <c r="W136" s="283">
        <v>13800</v>
      </c>
      <c r="X136" s="283">
        <v>0</v>
      </c>
      <c r="Y136" s="199" t="s">
        <v>1392</v>
      </c>
      <c r="Z136" s="517" t="s">
        <v>5532</v>
      </c>
      <c r="AA136" s="493" t="s">
        <v>1485</v>
      </c>
      <c r="AB136" s="507"/>
    </row>
    <row r="137" spans="2:28" x14ac:dyDescent="0.15">
      <c r="B137" s="330" t="s">
        <v>2974</v>
      </c>
      <c r="C137" s="525">
        <v>42832</v>
      </c>
      <c r="D137" s="198" t="s">
        <v>1845</v>
      </c>
      <c r="E137" s="53" t="s">
        <v>1396</v>
      </c>
      <c r="F137" s="198" t="s">
        <v>3799</v>
      </c>
      <c r="G137" s="3" t="s">
        <v>1110</v>
      </c>
      <c r="H137" s="53" t="s">
        <v>802</v>
      </c>
      <c r="I137" s="3" t="s">
        <v>1417</v>
      </c>
      <c r="J137" s="4" t="s">
        <v>268</v>
      </c>
      <c r="K137" s="4" t="s">
        <v>1158</v>
      </c>
      <c r="L137" s="4" t="s">
        <v>1847</v>
      </c>
      <c r="M137" s="43" t="s">
        <v>1848</v>
      </c>
      <c r="N137" s="255">
        <v>144000</v>
      </c>
      <c r="O137" s="265">
        <v>100</v>
      </c>
      <c r="P137" s="270">
        <v>1</v>
      </c>
      <c r="Q137" s="255">
        <v>144000</v>
      </c>
      <c r="R137" s="283">
        <v>144000</v>
      </c>
      <c r="S137" s="283">
        <v>34592</v>
      </c>
      <c r="T137" s="287">
        <v>0</v>
      </c>
      <c r="U137" s="287">
        <v>1</v>
      </c>
      <c r="V137" s="287">
        <v>0</v>
      </c>
      <c r="W137" s="283">
        <v>14400</v>
      </c>
      <c r="X137" s="283">
        <v>0</v>
      </c>
      <c r="Y137" s="199" t="s">
        <v>1392</v>
      </c>
      <c r="Z137" s="517" t="s">
        <v>5167</v>
      </c>
      <c r="AA137" s="493" t="s">
        <v>1485</v>
      </c>
      <c r="AB137" s="507"/>
    </row>
    <row r="138" spans="2:28" x14ac:dyDescent="0.15">
      <c r="B138" s="330" t="s">
        <v>2975</v>
      </c>
      <c r="C138" s="525">
        <v>42832</v>
      </c>
      <c r="D138" s="198" t="s">
        <v>1855</v>
      </c>
      <c r="E138" s="53" t="s">
        <v>1391</v>
      </c>
      <c r="F138" s="198" t="s">
        <v>3794</v>
      </c>
      <c r="G138" s="3" t="s">
        <v>364</v>
      </c>
      <c r="H138" s="53" t="s">
        <v>441</v>
      </c>
      <c r="I138" s="3" t="s">
        <v>1856</v>
      </c>
      <c r="J138" s="4" t="s">
        <v>297</v>
      </c>
      <c r="K138" s="4" t="s">
        <v>369</v>
      </c>
      <c r="L138" s="4" t="s">
        <v>1509</v>
      </c>
      <c r="M138" s="43"/>
      <c r="N138" s="255">
        <v>200</v>
      </c>
      <c r="O138" s="265">
        <v>50</v>
      </c>
      <c r="P138" s="270">
        <v>100</v>
      </c>
      <c r="Q138" s="255">
        <v>100</v>
      </c>
      <c r="R138" s="283">
        <v>10000</v>
      </c>
      <c r="S138" s="283">
        <v>5700</v>
      </c>
      <c r="T138" s="287">
        <v>0</v>
      </c>
      <c r="U138" s="287">
        <v>0</v>
      </c>
      <c r="V138" s="287">
        <v>0</v>
      </c>
      <c r="W138" s="283">
        <v>1500</v>
      </c>
      <c r="X138" s="283">
        <v>0</v>
      </c>
      <c r="Y138" s="199" t="s">
        <v>1392</v>
      </c>
      <c r="Z138" s="517" t="s">
        <v>5166</v>
      </c>
      <c r="AA138" s="493" t="s">
        <v>1485</v>
      </c>
      <c r="AB138" s="507"/>
    </row>
    <row r="139" spans="2:28" x14ac:dyDescent="0.15">
      <c r="B139" s="330" t="s">
        <v>2976</v>
      </c>
      <c r="C139" s="525">
        <v>42832</v>
      </c>
      <c r="D139" s="198" t="s">
        <v>1855</v>
      </c>
      <c r="E139" s="53" t="s">
        <v>1391</v>
      </c>
      <c r="F139" s="198" t="s">
        <v>3794</v>
      </c>
      <c r="G139" s="3" t="s">
        <v>364</v>
      </c>
      <c r="H139" s="53" t="s">
        <v>441</v>
      </c>
      <c r="I139" s="3" t="s">
        <v>1856</v>
      </c>
      <c r="J139" s="4" t="s">
        <v>297</v>
      </c>
      <c r="K139" s="4" t="s">
        <v>369</v>
      </c>
      <c r="L139" s="4" t="s">
        <v>1484</v>
      </c>
      <c r="M139" s="43"/>
      <c r="N139" s="255">
        <v>200</v>
      </c>
      <c r="O139" s="265">
        <v>50</v>
      </c>
      <c r="P139" s="270">
        <v>100</v>
      </c>
      <c r="Q139" s="255">
        <v>100</v>
      </c>
      <c r="R139" s="283">
        <v>10000</v>
      </c>
      <c r="S139" s="283">
        <v>5600</v>
      </c>
      <c r="T139" s="287">
        <v>0</v>
      </c>
      <c r="U139" s="287">
        <v>0</v>
      </c>
      <c r="V139" s="287">
        <v>0</v>
      </c>
      <c r="W139" s="283">
        <v>1500</v>
      </c>
      <c r="X139" s="283">
        <v>0</v>
      </c>
      <c r="Y139" s="199" t="s">
        <v>1392</v>
      </c>
      <c r="Z139" s="517" t="s">
        <v>5166</v>
      </c>
      <c r="AA139" s="493" t="s">
        <v>1485</v>
      </c>
      <c r="AB139" s="507"/>
    </row>
    <row r="140" spans="2:28" x14ac:dyDescent="0.15">
      <c r="B140" s="330" t="s">
        <v>2977</v>
      </c>
      <c r="C140" s="525">
        <v>42832</v>
      </c>
      <c r="D140" s="198" t="s">
        <v>1857</v>
      </c>
      <c r="E140" s="53" t="s">
        <v>1391</v>
      </c>
      <c r="F140" s="198" t="s">
        <v>3794</v>
      </c>
      <c r="G140" s="3" t="s">
        <v>364</v>
      </c>
      <c r="H140" s="53" t="s">
        <v>488</v>
      </c>
      <c r="I140" s="3" t="s">
        <v>1432</v>
      </c>
      <c r="J140" s="4" t="s">
        <v>297</v>
      </c>
      <c r="K140" s="4" t="s">
        <v>369</v>
      </c>
      <c r="L140" s="4" t="s">
        <v>1511</v>
      </c>
      <c r="M140" s="43"/>
      <c r="N140" s="255">
        <v>100</v>
      </c>
      <c r="O140" s="265">
        <v>50</v>
      </c>
      <c r="P140" s="270">
        <v>100</v>
      </c>
      <c r="Q140" s="255">
        <v>50</v>
      </c>
      <c r="R140" s="283">
        <v>5000</v>
      </c>
      <c r="S140" s="283">
        <v>2050</v>
      </c>
      <c r="T140" s="287">
        <v>0</v>
      </c>
      <c r="U140" s="287">
        <v>0</v>
      </c>
      <c r="V140" s="287">
        <v>0</v>
      </c>
      <c r="W140" s="283">
        <v>750</v>
      </c>
      <c r="X140" s="283">
        <v>0</v>
      </c>
      <c r="Y140" s="199" t="s">
        <v>1392</v>
      </c>
      <c r="Z140" s="517" t="s">
        <v>5167</v>
      </c>
      <c r="AA140" s="493" t="s">
        <v>1485</v>
      </c>
      <c r="AB140" s="507"/>
    </row>
    <row r="141" spans="2:28" x14ac:dyDescent="0.15">
      <c r="B141" s="330" t="s">
        <v>2978</v>
      </c>
      <c r="C141" s="525">
        <v>42832</v>
      </c>
      <c r="D141" s="198" t="s">
        <v>1858</v>
      </c>
      <c r="E141" s="53" t="s">
        <v>1391</v>
      </c>
      <c r="F141" s="198" t="s">
        <v>3794</v>
      </c>
      <c r="G141" s="3" t="s">
        <v>364</v>
      </c>
      <c r="H141" s="53" t="s">
        <v>503</v>
      </c>
      <c r="I141" s="3" t="s">
        <v>1859</v>
      </c>
      <c r="J141" s="4" t="s">
        <v>299</v>
      </c>
      <c r="K141" s="4" t="s">
        <v>373</v>
      </c>
      <c r="L141" s="4" t="s">
        <v>1860</v>
      </c>
      <c r="M141" s="43"/>
      <c r="N141" s="255">
        <v>10000</v>
      </c>
      <c r="O141" s="265">
        <v>100</v>
      </c>
      <c r="P141" s="270">
        <v>1</v>
      </c>
      <c r="Q141" s="255">
        <v>10000</v>
      </c>
      <c r="R141" s="283">
        <v>10000</v>
      </c>
      <c r="S141" s="283">
        <v>3847</v>
      </c>
      <c r="T141" s="287">
        <v>0</v>
      </c>
      <c r="U141" s="287">
        <v>0</v>
      </c>
      <c r="V141" s="287">
        <v>0</v>
      </c>
      <c r="W141" s="283">
        <v>6153</v>
      </c>
      <c r="X141" s="283">
        <v>0</v>
      </c>
      <c r="Y141" s="199" t="s">
        <v>1395</v>
      </c>
      <c r="Z141" s="517" t="s">
        <v>5534</v>
      </c>
      <c r="AA141" s="493" t="s">
        <v>1485</v>
      </c>
      <c r="AB141" s="507"/>
    </row>
    <row r="142" spans="2:28" x14ac:dyDescent="0.15">
      <c r="B142" s="330" t="s">
        <v>2979</v>
      </c>
      <c r="C142" s="525">
        <v>42832</v>
      </c>
      <c r="D142" s="198" t="s">
        <v>1858</v>
      </c>
      <c r="E142" s="53" t="s">
        <v>1391</v>
      </c>
      <c r="F142" s="198" t="s">
        <v>3794</v>
      </c>
      <c r="G142" s="3" t="s">
        <v>364</v>
      </c>
      <c r="H142" s="53" t="s">
        <v>503</v>
      </c>
      <c r="I142" s="3" t="s">
        <v>1859</v>
      </c>
      <c r="J142" s="4" t="s">
        <v>299</v>
      </c>
      <c r="K142" s="4" t="s">
        <v>373</v>
      </c>
      <c r="L142" s="4" t="s">
        <v>1861</v>
      </c>
      <c r="M142" s="43"/>
      <c r="N142" s="255">
        <v>5000</v>
      </c>
      <c r="O142" s="265">
        <v>100</v>
      </c>
      <c r="P142" s="270">
        <v>1</v>
      </c>
      <c r="Q142" s="255">
        <v>5000</v>
      </c>
      <c r="R142" s="283">
        <v>5000</v>
      </c>
      <c r="S142" s="283">
        <v>3000</v>
      </c>
      <c r="T142" s="287">
        <v>0</v>
      </c>
      <c r="U142" s="287">
        <v>0</v>
      </c>
      <c r="V142" s="287">
        <v>0</v>
      </c>
      <c r="W142" s="283">
        <v>3076</v>
      </c>
      <c r="X142" s="283">
        <v>0</v>
      </c>
      <c r="Y142" s="199" t="s">
        <v>1395</v>
      </c>
      <c r="Z142" s="517" t="s">
        <v>5538</v>
      </c>
      <c r="AA142" s="493" t="s">
        <v>1485</v>
      </c>
      <c r="AB142" s="507"/>
    </row>
    <row r="143" spans="2:28" x14ac:dyDescent="0.15">
      <c r="B143" s="330" t="s">
        <v>2980</v>
      </c>
      <c r="C143" s="525">
        <v>42832</v>
      </c>
      <c r="D143" s="198" t="s">
        <v>1858</v>
      </c>
      <c r="E143" s="53" t="s">
        <v>1391</v>
      </c>
      <c r="F143" s="198" t="s">
        <v>3794</v>
      </c>
      <c r="G143" s="3" t="s">
        <v>364</v>
      </c>
      <c r="H143" s="53" t="s">
        <v>503</v>
      </c>
      <c r="I143" s="3" t="s">
        <v>1859</v>
      </c>
      <c r="J143" s="4" t="s">
        <v>298</v>
      </c>
      <c r="K143" s="4" t="s">
        <v>1168</v>
      </c>
      <c r="L143" s="4" t="s">
        <v>1862</v>
      </c>
      <c r="M143" s="43"/>
      <c r="N143" s="255">
        <v>1000</v>
      </c>
      <c r="O143" s="265">
        <v>65</v>
      </c>
      <c r="P143" s="270">
        <v>1</v>
      </c>
      <c r="Q143" s="255">
        <v>650</v>
      </c>
      <c r="R143" s="283">
        <v>650</v>
      </c>
      <c r="S143" s="283">
        <v>0</v>
      </c>
      <c r="T143" s="287">
        <v>0</v>
      </c>
      <c r="U143" s="287">
        <v>0</v>
      </c>
      <c r="V143" s="287">
        <v>0</v>
      </c>
      <c r="W143" s="283">
        <v>0</v>
      </c>
      <c r="X143" s="283">
        <v>0</v>
      </c>
      <c r="Y143" s="199" t="s">
        <v>1863</v>
      </c>
      <c r="Z143" s="517" t="s">
        <v>5534</v>
      </c>
      <c r="AA143" s="493" t="s">
        <v>1485</v>
      </c>
      <c r="AB143" s="507"/>
    </row>
    <row r="144" spans="2:28" x14ac:dyDescent="0.15">
      <c r="B144" s="330" t="s">
        <v>2981</v>
      </c>
      <c r="C144" s="525">
        <v>42832</v>
      </c>
      <c r="D144" s="198" t="s">
        <v>1864</v>
      </c>
      <c r="E144" s="53" t="s">
        <v>1391</v>
      </c>
      <c r="F144" s="198" t="s">
        <v>3794</v>
      </c>
      <c r="G144" s="3" t="s">
        <v>364</v>
      </c>
      <c r="H144" s="53" t="s">
        <v>504</v>
      </c>
      <c r="I144" s="3" t="s">
        <v>1436</v>
      </c>
      <c r="J144" s="4" t="s">
        <v>299</v>
      </c>
      <c r="K144" s="4" t="s">
        <v>373</v>
      </c>
      <c r="L144" s="4" t="s">
        <v>1865</v>
      </c>
      <c r="M144" s="43"/>
      <c r="N144" s="255">
        <v>8000</v>
      </c>
      <c r="O144" s="265">
        <v>100</v>
      </c>
      <c r="P144" s="270">
        <v>1</v>
      </c>
      <c r="Q144" s="255">
        <v>8000</v>
      </c>
      <c r="R144" s="283">
        <v>8000</v>
      </c>
      <c r="S144" s="283">
        <v>3078</v>
      </c>
      <c r="T144" s="287">
        <v>0</v>
      </c>
      <c r="U144" s="287">
        <v>0</v>
      </c>
      <c r="V144" s="287">
        <v>0</v>
      </c>
      <c r="W144" s="283">
        <v>4922</v>
      </c>
      <c r="X144" s="283">
        <v>0</v>
      </c>
      <c r="Y144" s="199" t="s">
        <v>1395</v>
      </c>
      <c r="Z144" s="517" t="s">
        <v>5534</v>
      </c>
      <c r="AA144" s="493" t="s">
        <v>1485</v>
      </c>
      <c r="AB144" s="507"/>
    </row>
    <row r="145" spans="2:28" x14ac:dyDescent="0.15">
      <c r="B145" s="330" t="s">
        <v>2982</v>
      </c>
      <c r="C145" s="525">
        <v>42832</v>
      </c>
      <c r="D145" s="198" t="s">
        <v>1864</v>
      </c>
      <c r="E145" s="53" t="s">
        <v>1391</v>
      </c>
      <c r="F145" s="198" t="s">
        <v>3794</v>
      </c>
      <c r="G145" s="3" t="s">
        <v>364</v>
      </c>
      <c r="H145" s="53" t="s">
        <v>504</v>
      </c>
      <c r="I145" s="3" t="s">
        <v>1436</v>
      </c>
      <c r="J145" s="4" t="s">
        <v>299</v>
      </c>
      <c r="K145" s="4" t="s">
        <v>373</v>
      </c>
      <c r="L145" s="4" t="s">
        <v>1866</v>
      </c>
      <c r="M145" s="43"/>
      <c r="N145" s="255">
        <v>6000</v>
      </c>
      <c r="O145" s="265">
        <v>100</v>
      </c>
      <c r="P145" s="270">
        <v>1</v>
      </c>
      <c r="Q145" s="255">
        <v>6000</v>
      </c>
      <c r="R145" s="283">
        <v>6000</v>
      </c>
      <c r="S145" s="283">
        <v>2308</v>
      </c>
      <c r="T145" s="287">
        <v>0</v>
      </c>
      <c r="U145" s="287">
        <v>0</v>
      </c>
      <c r="V145" s="287">
        <v>0</v>
      </c>
      <c r="W145" s="283">
        <v>3692</v>
      </c>
      <c r="X145" s="283">
        <v>0</v>
      </c>
      <c r="Y145" s="199" t="s">
        <v>1395</v>
      </c>
      <c r="Z145" s="517" t="s">
        <v>5534</v>
      </c>
      <c r="AA145" s="493" t="s">
        <v>1485</v>
      </c>
      <c r="AB145" s="507"/>
    </row>
    <row r="146" spans="2:28" x14ac:dyDescent="0.15">
      <c r="B146" s="330" t="s">
        <v>2983</v>
      </c>
      <c r="C146" s="525">
        <v>42837</v>
      </c>
      <c r="D146" s="198" t="s">
        <v>1870</v>
      </c>
      <c r="E146" s="53" t="s">
        <v>1396</v>
      </c>
      <c r="F146" s="198" t="s">
        <v>3796</v>
      </c>
      <c r="G146" s="3" t="s">
        <v>368</v>
      </c>
      <c r="H146" s="53" t="s">
        <v>794</v>
      </c>
      <c r="I146" s="3" t="s">
        <v>1871</v>
      </c>
      <c r="J146" s="4" t="s">
        <v>297</v>
      </c>
      <c r="K146" s="4" t="s">
        <v>369</v>
      </c>
      <c r="L146" s="4" t="s">
        <v>1872</v>
      </c>
      <c r="M146" s="43"/>
      <c r="N146" s="255">
        <v>100</v>
      </c>
      <c r="O146" s="265">
        <v>50</v>
      </c>
      <c r="P146" s="270">
        <v>100</v>
      </c>
      <c r="Q146" s="255">
        <v>50</v>
      </c>
      <c r="R146" s="283">
        <v>5000</v>
      </c>
      <c r="S146" s="283">
        <v>2050</v>
      </c>
      <c r="T146" s="287">
        <v>0</v>
      </c>
      <c r="U146" s="287">
        <v>0</v>
      </c>
      <c r="V146" s="287">
        <v>0</v>
      </c>
      <c r="W146" s="283">
        <v>750</v>
      </c>
      <c r="X146" s="283">
        <v>0</v>
      </c>
      <c r="Y146" s="199" t="s">
        <v>1392</v>
      </c>
      <c r="Z146" s="517" t="s">
        <v>5166</v>
      </c>
      <c r="AA146" s="493" t="s">
        <v>1485</v>
      </c>
      <c r="AB146" s="507"/>
    </row>
    <row r="147" spans="2:28" x14ac:dyDescent="0.15">
      <c r="B147" s="330" t="s">
        <v>2984</v>
      </c>
      <c r="C147" s="525">
        <v>42837</v>
      </c>
      <c r="D147" s="198" t="s">
        <v>1873</v>
      </c>
      <c r="E147" s="53" t="s">
        <v>1396</v>
      </c>
      <c r="F147" s="198" t="s">
        <v>3800</v>
      </c>
      <c r="G147" s="3" t="s">
        <v>50</v>
      </c>
      <c r="H147" s="53" t="s">
        <v>380</v>
      </c>
      <c r="I147" s="3" t="s">
        <v>1410</v>
      </c>
      <c r="J147" s="4" t="s">
        <v>265</v>
      </c>
      <c r="K147" s="4" t="s">
        <v>1155</v>
      </c>
      <c r="L147" s="4" t="s">
        <v>1874</v>
      </c>
      <c r="M147" s="43" t="s">
        <v>1875</v>
      </c>
      <c r="N147" s="255">
        <v>272000</v>
      </c>
      <c r="O147" s="265">
        <v>60</v>
      </c>
      <c r="P147" s="270">
        <v>1</v>
      </c>
      <c r="Q147" s="255">
        <v>163200</v>
      </c>
      <c r="R147" s="283">
        <v>163200</v>
      </c>
      <c r="S147" s="283">
        <v>20800</v>
      </c>
      <c r="T147" s="287">
        <v>0</v>
      </c>
      <c r="U147" s="287">
        <v>1</v>
      </c>
      <c r="V147" s="287">
        <v>0</v>
      </c>
      <c r="W147" s="283">
        <v>16320</v>
      </c>
      <c r="X147" s="283">
        <v>0</v>
      </c>
      <c r="Y147" s="199" t="s">
        <v>1392</v>
      </c>
      <c r="Z147" s="517" t="s">
        <v>5532</v>
      </c>
      <c r="AA147" s="493" t="s">
        <v>1485</v>
      </c>
      <c r="AB147" s="507"/>
    </row>
    <row r="148" spans="2:28" x14ac:dyDescent="0.15">
      <c r="B148" s="330" t="s">
        <v>2985</v>
      </c>
      <c r="C148" s="525">
        <v>42837</v>
      </c>
      <c r="D148" s="198" t="s">
        <v>1876</v>
      </c>
      <c r="E148" s="53" t="s">
        <v>1391</v>
      </c>
      <c r="F148" s="198" t="s">
        <v>3794</v>
      </c>
      <c r="G148" s="3" t="s">
        <v>364</v>
      </c>
      <c r="H148" s="53" t="s">
        <v>492</v>
      </c>
      <c r="I148" s="3" t="s">
        <v>1431</v>
      </c>
      <c r="J148" s="4" t="s">
        <v>297</v>
      </c>
      <c r="K148" s="4" t="s">
        <v>369</v>
      </c>
      <c r="L148" s="4" t="s">
        <v>1401</v>
      </c>
      <c r="M148" s="43"/>
      <c r="N148" s="255">
        <v>100</v>
      </c>
      <c r="O148" s="265">
        <v>50</v>
      </c>
      <c r="P148" s="270">
        <v>100</v>
      </c>
      <c r="Q148" s="255">
        <v>50</v>
      </c>
      <c r="R148" s="283">
        <v>5000</v>
      </c>
      <c r="S148" s="283">
        <v>2050</v>
      </c>
      <c r="T148" s="287">
        <v>0</v>
      </c>
      <c r="U148" s="287">
        <v>0</v>
      </c>
      <c r="V148" s="287">
        <v>0</v>
      </c>
      <c r="W148" s="283">
        <v>750</v>
      </c>
      <c r="X148" s="283">
        <v>0</v>
      </c>
      <c r="Y148" s="199" t="s">
        <v>1392</v>
      </c>
      <c r="Z148" s="517" t="s">
        <v>5167</v>
      </c>
      <c r="AA148" s="493" t="s">
        <v>1485</v>
      </c>
      <c r="AB148" s="507"/>
    </row>
    <row r="149" spans="2:28" x14ac:dyDescent="0.15">
      <c r="B149" s="330" t="s">
        <v>2986</v>
      </c>
      <c r="C149" s="525">
        <v>42837</v>
      </c>
      <c r="D149" s="198" t="s">
        <v>1876</v>
      </c>
      <c r="E149" s="53" t="s">
        <v>1391</v>
      </c>
      <c r="F149" s="198" t="s">
        <v>3794</v>
      </c>
      <c r="G149" s="3" t="s">
        <v>364</v>
      </c>
      <c r="H149" s="53" t="s">
        <v>492</v>
      </c>
      <c r="I149" s="3" t="s">
        <v>1431</v>
      </c>
      <c r="J149" s="4" t="s">
        <v>297</v>
      </c>
      <c r="K149" s="4" t="s">
        <v>369</v>
      </c>
      <c r="L149" s="4" t="s">
        <v>1877</v>
      </c>
      <c r="M149" s="43"/>
      <c r="N149" s="255">
        <v>100</v>
      </c>
      <c r="O149" s="265">
        <v>50</v>
      </c>
      <c r="P149" s="270">
        <v>100</v>
      </c>
      <c r="Q149" s="255">
        <v>50</v>
      </c>
      <c r="R149" s="283">
        <v>5000</v>
      </c>
      <c r="S149" s="283">
        <v>2050</v>
      </c>
      <c r="T149" s="287">
        <v>0</v>
      </c>
      <c r="U149" s="287">
        <v>0</v>
      </c>
      <c r="V149" s="287">
        <v>0</v>
      </c>
      <c r="W149" s="283">
        <v>750</v>
      </c>
      <c r="X149" s="283">
        <v>0</v>
      </c>
      <c r="Y149" s="199" t="s">
        <v>1392</v>
      </c>
      <c r="Z149" s="517" t="s">
        <v>5167</v>
      </c>
      <c r="AA149" s="493" t="s">
        <v>1485</v>
      </c>
      <c r="AB149" s="507"/>
    </row>
    <row r="150" spans="2:28" x14ac:dyDescent="0.15">
      <c r="B150" s="330" t="s">
        <v>2987</v>
      </c>
      <c r="C150" s="525">
        <v>42837</v>
      </c>
      <c r="D150" s="198" t="s">
        <v>1878</v>
      </c>
      <c r="E150" s="53" t="s">
        <v>1391</v>
      </c>
      <c r="F150" s="198" t="s">
        <v>3794</v>
      </c>
      <c r="G150" s="3" t="s">
        <v>364</v>
      </c>
      <c r="H150" s="198" t="s">
        <v>1881</v>
      </c>
      <c r="I150" s="197" t="s">
        <v>1882</v>
      </c>
      <c r="J150" s="4" t="s">
        <v>299</v>
      </c>
      <c r="K150" s="4" t="s">
        <v>373</v>
      </c>
      <c r="L150" s="4" t="s">
        <v>1879</v>
      </c>
      <c r="M150" s="43"/>
      <c r="N150" s="255">
        <v>5000</v>
      </c>
      <c r="O150" s="265">
        <v>100</v>
      </c>
      <c r="P150" s="270">
        <v>1</v>
      </c>
      <c r="Q150" s="255">
        <v>5000</v>
      </c>
      <c r="R150" s="283">
        <v>5000</v>
      </c>
      <c r="S150" s="283">
        <v>1348</v>
      </c>
      <c r="T150" s="287">
        <v>0</v>
      </c>
      <c r="U150" s="287">
        <v>0</v>
      </c>
      <c r="V150" s="287">
        <v>0</v>
      </c>
      <c r="W150" s="283">
        <v>3652</v>
      </c>
      <c r="X150" s="283">
        <v>0</v>
      </c>
      <c r="Y150" s="199" t="s">
        <v>1392</v>
      </c>
      <c r="Z150" s="517" t="s">
        <v>5166</v>
      </c>
      <c r="AA150" s="493" t="s">
        <v>1485</v>
      </c>
      <c r="AB150" s="507"/>
    </row>
    <row r="151" spans="2:28" x14ac:dyDescent="0.15">
      <c r="B151" s="330" t="s">
        <v>2988</v>
      </c>
      <c r="C151" s="525">
        <v>42837</v>
      </c>
      <c r="D151" s="198" t="s">
        <v>1878</v>
      </c>
      <c r="E151" s="53" t="s">
        <v>1391</v>
      </c>
      <c r="F151" s="198" t="s">
        <v>3794</v>
      </c>
      <c r="G151" s="3" t="s">
        <v>364</v>
      </c>
      <c r="H151" s="198" t="s">
        <v>1881</v>
      </c>
      <c r="I151" s="3" t="s">
        <v>1882</v>
      </c>
      <c r="J151" s="4" t="s">
        <v>298</v>
      </c>
      <c r="K151" s="4" t="s">
        <v>1168</v>
      </c>
      <c r="L151" s="4" t="s">
        <v>1880</v>
      </c>
      <c r="M151" s="43"/>
      <c r="N151" s="255">
        <v>1600</v>
      </c>
      <c r="O151" s="265">
        <v>65</v>
      </c>
      <c r="P151" s="270">
        <v>1</v>
      </c>
      <c r="Q151" s="255">
        <v>1040</v>
      </c>
      <c r="R151" s="283">
        <v>1040</v>
      </c>
      <c r="S151" s="283">
        <v>100</v>
      </c>
      <c r="T151" s="287">
        <v>0</v>
      </c>
      <c r="U151" s="287">
        <v>0</v>
      </c>
      <c r="V151" s="287">
        <v>0</v>
      </c>
      <c r="W151" s="283">
        <v>120</v>
      </c>
      <c r="X151" s="283">
        <v>0</v>
      </c>
      <c r="Y151" s="199" t="s">
        <v>1392</v>
      </c>
      <c r="Z151" s="517" t="s">
        <v>5166</v>
      </c>
      <c r="AA151" s="493" t="s">
        <v>1485</v>
      </c>
      <c r="AB151" s="507"/>
    </row>
    <row r="152" spans="2:28" x14ac:dyDescent="0.15">
      <c r="B152" s="330" t="s">
        <v>2989</v>
      </c>
      <c r="C152" s="525">
        <v>42839</v>
      </c>
      <c r="D152" s="198" t="s">
        <v>1883</v>
      </c>
      <c r="E152" s="53" t="s">
        <v>1391</v>
      </c>
      <c r="F152" s="198" t="s">
        <v>3797</v>
      </c>
      <c r="G152" s="3" t="s">
        <v>362</v>
      </c>
      <c r="H152" s="53" t="s">
        <v>693</v>
      </c>
      <c r="I152" s="3" t="s">
        <v>1398</v>
      </c>
      <c r="J152" s="3" t="s">
        <v>270</v>
      </c>
      <c r="K152" s="3" t="s">
        <v>539</v>
      </c>
      <c r="L152" s="3" t="s">
        <v>1704</v>
      </c>
      <c r="M152" s="53" t="s">
        <v>1884</v>
      </c>
      <c r="N152" s="258">
        <v>156780</v>
      </c>
      <c r="O152" s="266">
        <v>100</v>
      </c>
      <c r="P152" s="272">
        <v>1</v>
      </c>
      <c r="Q152" s="258">
        <v>156780</v>
      </c>
      <c r="R152" s="286">
        <v>156780</v>
      </c>
      <c r="S152" s="286">
        <v>34979</v>
      </c>
      <c r="T152" s="288">
        <v>0</v>
      </c>
      <c r="U152" s="288">
        <v>1</v>
      </c>
      <c r="V152" s="288">
        <v>0</v>
      </c>
      <c r="W152" s="286">
        <v>0</v>
      </c>
      <c r="X152" s="286">
        <v>0</v>
      </c>
      <c r="Y152" s="200" t="s">
        <v>1392</v>
      </c>
      <c r="Z152" s="517" t="s">
        <v>5166</v>
      </c>
      <c r="AA152" s="499" t="s">
        <v>1485</v>
      </c>
      <c r="AB152" s="508"/>
    </row>
    <row r="153" spans="2:28" x14ac:dyDescent="0.15">
      <c r="B153" s="330" t="s">
        <v>2990</v>
      </c>
      <c r="C153" s="525">
        <v>42839</v>
      </c>
      <c r="D153" s="198" t="s">
        <v>1885</v>
      </c>
      <c r="E153" s="53" t="s">
        <v>1391</v>
      </c>
      <c r="F153" s="198" t="s">
        <v>3797</v>
      </c>
      <c r="G153" s="3" t="s">
        <v>362</v>
      </c>
      <c r="H153" s="53" t="s">
        <v>693</v>
      </c>
      <c r="I153" s="3" t="s">
        <v>1398</v>
      </c>
      <c r="J153" s="3" t="s">
        <v>270</v>
      </c>
      <c r="K153" s="3" t="s">
        <v>539</v>
      </c>
      <c r="L153" s="3" t="s">
        <v>1886</v>
      </c>
      <c r="M153" s="53" t="s">
        <v>1887</v>
      </c>
      <c r="N153" s="258">
        <v>158780</v>
      </c>
      <c r="O153" s="266">
        <v>100</v>
      </c>
      <c r="P153" s="272">
        <v>1</v>
      </c>
      <c r="Q153" s="258">
        <v>158780</v>
      </c>
      <c r="R153" s="286">
        <v>158780</v>
      </c>
      <c r="S153" s="286">
        <v>34979</v>
      </c>
      <c r="T153" s="288">
        <v>1</v>
      </c>
      <c r="U153" s="288">
        <v>0</v>
      </c>
      <c r="V153" s="288">
        <v>0</v>
      </c>
      <c r="W153" s="286">
        <v>0</v>
      </c>
      <c r="X153" s="286">
        <v>0</v>
      </c>
      <c r="Y153" s="200" t="s">
        <v>1395</v>
      </c>
      <c r="Z153" s="517" t="s">
        <v>5166</v>
      </c>
      <c r="AA153" s="499" t="s">
        <v>1485</v>
      </c>
      <c r="AB153" s="508"/>
    </row>
    <row r="154" spans="2:28" x14ac:dyDescent="0.15">
      <c r="B154" s="330" t="s">
        <v>2991</v>
      </c>
      <c r="C154" s="525">
        <v>42839</v>
      </c>
      <c r="D154" s="198" t="s">
        <v>1888</v>
      </c>
      <c r="E154" s="53" t="s">
        <v>1391</v>
      </c>
      <c r="F154" s="198" t="s">
        <v>3797</v>
      </c>
      <c r="G154" s="3" t="s">
        <v>362</v>
      </c>
      <c r="H154" s="53" t="s">
        <v>693</v>
      </c>
      <c r="I154" s="3" t="s">
        <v>1398</v>
      </c>
      <c r="J154" s="4" t="s">
        <v>265</v>
      </c>
      <c r="K154" s="4" t="s">
        <v>1155</v>
      </c>
      <c r="L154" s="4" t="s">
        <v>1889</v>
      </c>
      <c r="M154" s="43" t="s">
        <v>1890</v>
      </c>
      <c r="N154" s="255">
        <v>169650</v>
      </c>
      <c r="O154" s="265">
        <v>100</v>
      </c>
      <c r="P154" s="270">
        <v>1</v>
      </c>
      <c r="Q154" s="255">
        <v>169650</v>
      </c>
      <c r="R154" s="283">
        <v>169650</v>
      </c>
      <c r="S154" s="283">
        <v>28490</v>
      </c>
      <c r="T154" s="287">
        <v>1</v>
      </c>
      <c r="U154" s="287">
        <v>0</v>
      </c>
      <c r="V154" s="287">
        <v>0</v>
      </c>
      <c r="W154" s="283">
        <v>0</v>
      </c>
      <c r="X154" s="283">
        <v>0</v>
      </c>
      <c r="Y154" s="199" t="s">
        <v>1395</v>
      </c>
      <c r="Z154" s="517" t="s">
        <v>5532</v>
      </c>
      <c r="AA154" s="493" t="s">
        <v>1485</v>
      </c>
      <c r="AB154" s="507"/>
    </row>
    <row r="155" spans="2:28" x14ac:dyDescent="0.15">
      <c r="B155" s="330" t="s">
        <v>2992</v>
      </c>
      <c r="C155" s="525">
        <v>42844</v>
      </c>
      <c r="D155" s="198" t="s">
        <v>1896</v>
      </c>
      <c r="E155" s="53" t="s">
        <v>1396</v>
      </c>
      <c r="F155" s="198" t="s">
        <v>3796</v>
      </c>
      <c r="G155" s="3" t="s">
        <v>368</v>
      </c>
      <c r="H155" s="53" t="s">
        <v>792</v>
      </c>
      <c r="I155" s="3" t="s">
        <v>1413</v>
      </c>
      <c r="J155" s="4" t="s">
        <v>265</v>
      </c>
      <c r="K155" s="4" t="s">
        <v>1155</v>
      </c>
      <c r="L155" s="4" t="s">
        <v>1897</v>
      </c>
      <c r="M155" s="43" t="s">
        <v>1898</v>
      </c>
      <c r="N155" s="255">
        <v>205200</v>
      </c>
      <c r="O155" s="265">
        <v>100</v>
      </c>
      <c r="P155" s="270">
        <v>1</v>
      </c>
      <c r="Q155" s="255">
        <v>205200</v>
      </c>
      <c r="R155" s="283">
        <v>205200</v>
      </c>
      <c r="S155" s="283">
        <v>63759</v>
      </c>
      <c r="T155" s="287">
        <v>0</v>
      </c>
      <c r="U155" s="287">
        <v>1</v>
      </c>
      <c r="V155" s="287">
        <v>0</v>
      </c>
      <c r="W155" s="283">
        <v>26681</v>
      </c>
      <c r="X155" s="283">
        <v>0</v>
      </c>
      <c r="Y155" s="199" t="s">
        <v>1392</v>
      </c>
      <c r="Z155" s="517" t="s">
        <v>5532</v>
      </c>
      <c r="AA155" s="493" t="s">
        <v>1485</v>
      </c>
      <c r="AB155" s="507"/>
    </row>
    <row r="156" spans="2:28" x14ac:dyDescent="0.15">
      <c r="B156" s="330" t="s">
        <v>2993</v>
      </c>
      <c r="C156" s="525">
        <v>42844</v>
      </c>
      <c r="D156" s="198" t="s">
        <v>1899</v>
      </c>
      <c r="E156" s="53" t="s">
        <v>1396</v>
      </c>
      <c r="F156" s="198" t="s">
        <v>3796</v>
      </c>
      <c r="G156" s="3" t="s">
        <v>368</v>
      </c>
      <c r="H156" s="53" t="s">
        <v>792</v>
      </c>
      <c r="I156" s="3" t="s">
        <v>1413</v>
      </c>
      <c r="J156" s="4" t="s">
        <v>271</v>
      </c>
      <c r="K156" s="4" t="s">
        <v>1160</v>
      </c>
      <c r="L156" s="4" t="s">
        <v>1650</v>
      </c>
      <c r="M156" s="43" t="s">
        <v>1900</v>
      </c>
      <c r="N156" s="255">
        <v>213750</v>
      </c>
      <c r="O156" s="265">
        <v>100</v>
      </c>
      <c r="P156" s="270">
        <v>1</v>
      </c>
      <c r="Q156" s="255">
        <v>213750</v>
      </c>
      <c r="R156" s="283">
        <v>213750</v>
      </c>
      <c r="S156" s="283">
        <v>61497</v>
      </c>
      <c r="T156" s="287">
        <v>0</v>
      </c>
      <c r="U156" s="287">
        <v>1</v>
      </c>
      <c r="V156" s="287">
        <v>0</v>
      </c>
      <c r="W156" s="283">
        <v>25639</v>
      </c>
      <c r="X156" s="283">
        <v>0</v>
      </c>
      <c r="Y156" s="199" t="s">
        <v>1392</v>
      </c>
      <c r="Z156" s="517" t="s">
        <v>5166</v>
      </c>
      <c r="AA156" s="493" t="s">
        <v>1485</v>
      </c>
      <c r="AB156" s="507"/>
    </row>
    <row r="157" spans="2:28" x14ac:dyDescent="0.15">
      <c r="B157" s="330" t="s">
        <v>2994</v>
      </c>
      <c r="C157" s="525">
        <v>42844</v>
      </c>
      <c r="D157" s="198" t="s">
        <v>1901</v>
      </c>
      <c r="E157" s="53" t="s">
        <v>1396</v>
      </c>
      <c r="F157" s="198" t="s">
        <v>3796</v>
      </c>
      <c r="G157" s="3" t="s">
        <v>368</v>
      </c>
      <c r="H157" s="53" t="s">
        <v>792</v>
      </c>
      <c r="I157" s="3" t="s">
        <v>1413</v>
      </c>
      <c r="J157" s="4" t="s">
        <v>1402</v>
      </c>
      <c r="K157" s="4" t="s">
        <v>1403</v>
      </c>
      <c r="L157" s="4" t="s">
        <v>1902</v>
      </c>
      <c r="M157" s="43" t="s">
        <v>1903</v>
      </c>
      <c r="N157" s="255">
        <v>270000</v>
      </c>
      <c r="O157" s="265">
        <v>55</v>
      </c>
      <c r="P157" s="270">
        <v>1</v>
      </c>
      <c r="Q157" s="255">
        <v>148500</v>
      </c>
      <c r="R157" s="283">
        <v>148500</v>
      </c>
      <c r="S157" s="283">
        <v>41213</v>
      </c>
      <c r="T157" s="287">
        <v>0</v>
      </c>
      <c r="U157" s="287">
        <v>1</v>
      </c>
      <c r="V157" s="287">
        <v>0</v>
      </c>
      <c r="W157" s="283">
        <v>12150</v>
      </c>
      <c r="X157" s="283">
        <v>0</v>
      </c>
      <c r="Y157" s="199" t="s">
        <v>1392</v>
      </c>
      <c r="Z157" s="517" t="s">
        <v>5532</v>
      </c>
      <c r="AA157" s="493" t="s">
        <v>1485</v>
      </c>
      <c r="AB157" s="507"/>
    </row>
    <row r="158" spans="2:28" x14ac:dyDescent="0.15">
      <c r="B158" s="330" t="s">
        <v>2995</v>
      </c>
      <c r="C158" s="525">
        <v>42845</v>
      </c>
      <c r="D158" s="198" t="s">
        <v>1909</v>
      </c>
      <c r="E158" s="53" t="s">
        <v>1391</v>
      </c>
      <c r="F158" s="198" t="s">
        <v>3805</v>
      </c>
      <c r="G158" s="3" t="s">
        <v>1113</v>
      </c>
      <c r="H158" s="53"/>
      <c r="I158" s="3"/>
      <c r="J158" s="4" t="s">
        <v>298</v>
      </c>
      <c r="K158" s="4" t="s">
        <v>1168</v>
      </c>
      <c r="L158" s="4" t="s">
        <v>1910</v>
      </c>
      <c r="M158" s="43"/>
      <c r="N158" s="255">
        <v>590</v>
      </c>
      <c r="O158" s="265">
        <v>100</v>
      </c>
      <c r="P158" s="270">
        <v>1</v>
      </c>
      <c r="Q158" s="255">
        <v>590</v>
      </c>
      <c r="R158" s="283">
        <v>590</v>
      </c>
      <c r="S158" s="283">
        <v>0</v>
      </c>
      <c r="T158" s="287">
        <v>0</v>
      </c>
      <c r="U158" s="287">
        <v>0</v>
      </c>
      <c r="V158" s="287">
        <v>0</v>
      </c>
      <c r="W158" s="283">
        <v>0</v>
      </c>
      <c r="X158" s="283">
        <v>0</v>
      </c>
      <c r="Y158" s="199" t="s">
        <v>1395</v>
      </c>
      <c r="Z158" s="517" t="s">
        <v>5166</v>
      </c>
      <c r="AA158" s="493" t="s">
        <v>1485</v>
      </c>
      <c r="AB158" s="507"/>
    </row>
    <row r="159" spans="2:28" x14ac:dyDescent="0.15">
      <c r="B159" s="330" t="s">
        <v>2996</v>
      </c>
      <c r="C159" s="525">
        <v>42845</v>
      </c>
      <c r="D159" s="198" t="s">
        <v>1909</v>
      </c>
      <c r="E159" s="53" t="s">
        <v>1391</v>
      </c>
      <c r="F159" s="198" t="s">
        <v>3805</v>
      </c>
      <c r="G159" s="3" t="s">
        <v>1113</v>
      </c>
      <c r="H159" s="53"/>
      <c r="I159" s="3"/>
      <c r="J159" s="4" t="s">
        <v>298</v>
      </c>
      <c r="K159" s="4" t="s">
        <v>1168</v>
      </c>
      <c r="L159" s="4" t="s">
        <v>1911</v>
      </c>
      <c r="M159" s="43"/>
      <c r="N159" s="255">
        <v>2220</v>
      </c>
      <c r="O159" s="265">
        <v>100</v>
      </c>
      <c r="P159" s="270">
        <v>1</v>
      </c>
      <c r="Q159" s="255">
        <v>2220</v>
      </c>
      <c r="R159" s="283">
        <v>2220</v>
      </c>
      <c r="S159" s="283">
        <v>0</v>
      </c>
      <c r="T159" s="287">
        <v>0</v>
      </c>
      <c r="U159" s="287">
        <v>0</v>
      </c>
      <c r="V159" s="287">
        <v>0</v>
      </c>
      <c r="W159" s="283">
        <v>0</v>
      </c>
      <c r="X159" s="283">
        <v>0</v>
      </c>
      <c r="Y159" s="199" t="s">
        <v>1395</v>
      </c>
      <c r="Z159" s="517" t="s">
        <v>5166</v>
      </c>
      <c r="AA159" s="493" t="s">
        <v>1485</v>
      </c>
      <c r="AB159" s="507"/>
    </row>
    <row r="160" spans="2:28" x14ac:dyDescent="0.15">
      <c r="B160" s="330" t="s">
        <v>2997</v>
      </c>
      <c r="C160" s="525">
        <v>42845</v>
      </c>
      <c r="D160" s="198" t="s">
        <v>1932</v>
      </c>
      <c r="E160" s="53" t="s">
        <v>1391</v>
      </c>
      <c r="F160" s="198" t="s">
        <v>3794</v>
      </c>
      <c r="G160" s="3" t="s">
        <v>364</v>
      </c>
      <c r="H160" s="53" t="s">
        <v>444</v>
      </c>
      <c r="I160" s="3" t="s">
        <v>1440</v>
      </c>
      <c r="J160" s="4" t="s">
        <v>262</v>
      </c>
      <c r="K160" s="4" t="s">
        <v>365</v>
      </c>
      <c r="L160" s="4" t="s">
        <v>1818</v>
      </c>
      <c r="M160" s="191" t="s">
        <v>1933</v>
      </c>
      <c r="N160" s="255">
        <v>290000</v>
      </c>
      <c r="O160" s="265">
        <v>55</v>
      </c>
      <c r="P160" s="270">
        <v>1</v>
      </c>
      <c r="Q160" s="255">
        <v>159500</v>
      </c>
      <c r="R160" s="283">
        <v>159500</v>
      </c>
      <c r="S160" s="283">
        <v>46732</v>
      </c>
      <c r="T160" s="287">
        <v>0</v>
      </c>
      <c r="U160" s="287">
        <v>1</v>
      </c>
      <c r="V160" s="287">
        <v>0</v>
      </c>
      <c r="W160" s="283">
        <v>13050</v>
      </c>
      <c r="X160" s="283">
        <v>0</v>
      </c>
      <c r="Y160" s="199" t="s">
        <v>1392</v>
      </c>
      <c r="Z160" s="517" t="s">
        <v>5532</v>
      </c>
      <c r="AA160" s="493" t="s">
        <v>1485</v>
      </c>
      <c r="AB160" s="507"/>
    </row>
    <row r="161" spans="2:28" x14ac:dyDescent="0.15">
      <c r="B161" s="330" t="s">
        <v>2998</v>
      </c>
      <c r="C161" s="525">
        <v>42845</v>
      </c>
      <c r="D161" s="198" t="s">
        <v>1944</v>
      </c>
      <c r="E161" s="53" t="s">
        <v>1391</v>
      </c>
      <c r="F161" s="198" t="s">
        <v>3794</v>
      </c>
      <c r="G161" s="3" t="s">
        <v>364</v>
      </c>
      <c r="H161" s="53" t="s">
        <v>473</v>
      </c>
      <c r="I161" s="3" t="s">
        <v>1400</v>
      </c>
      <c r="J161" s="4" t="s">
        <v>262</v>
      </c>
      <c r="K161" s="4" t="s">
        <v>365</v>
      </c>
      <c r="L161" s="4" t="s">
        <v>1942</v>
      </c>
      <c r="M161" s="43" t="s">
        <v>1943</v>
      </c>
      <c r="N161" s="255">
        <v>191388</v>
      </c>
      <c r="O161" s="265">
        <v>100</v>
      </c>
      <c r="P161" s="270">
        <v>1</v>
      </c>
      <c r="Q161" s="255">
        <v>191388</v>
      </c>
      <c r="R161" s="283">
        <v>191388</v>
      </c>
      <c r="S161" s="283">
        <v>58258</v>
      </c>
      <c r="T161" s="287">
        <v>0</v>
      </c>
      <c r="U161" s="287">
        <v>1</v>
      </c>
      <c r="V161" s="287">
        <v>0</v>
      </c>
      <c r="W161" s="283">
        <v>24452</v>
      </c>
      <c r="X161" s="283">
        <v>0</v>
      </c>
      <c r="Y161" s="199" t="s">
        <v>1392</v>
      </c>
      <c r="Z161" s="517" t="s">
        <v>5537</v>
      </c>
      <c r="AA161" s="493"/>
      <c r="AB161" s="507"/>
    </row>
    <row r="162" spans="2:28" x14ac:dyDescent="0.15">
      <c r="B162" s="330" t="s">
        <v>2999</v>
      </c>
      <c r="C162" s="525">
        <v>42845</v>
      </c>
      <c r="D162" s="198" t="s">
        <v>1957</v>
      </c>
      <c r="E162" s="53" t="s">
        <v>1391</v>
      </c>
      <c r="F162" s="198" t="s">
        <v>3794</v>
      </c>
      <c r="G162" s="3" t="s">
        <v>364</v>
      </c>
      <c r="H162" s="53" t="s">
        <v>486</v>
      </c>
      <c r="I162" s="3" t="s">
        <v>1406</v>
      </c>
      <c r="J162" s="4" t="s">
        <v>262</v>
      </c>
      <c r="K162" s="4" t="s">
        <v>365</v>
      </c>
      <c r="L162" s="4" t="s">
        <v>1818</v>
      </c>
      <c r="M162" s="43" t="s">
        <v>1958</v>
      </c>
      <c r="N162" s="255">
        <v>290000</v>
      </c>
      <c r="O162" s="265">
        <v>55</v>
      </c>
      <c r="P162" s="270">
        <v>1</v>
      </c>
      <c r="Q162" s="255">
        <v>159500</v>
      </c>
      <c r="R162" s="283">
        <v>159500</v>
      </c>
      <c r="S162" s="283">
        <v>46732</v>
      </c>
      <c r="T162" s="287">
        <v>0</v>
      </c>
      <c r="U162" s="287">
        <v>1</v>
      </c>
      <c r="V162" s="287">
        <v>0</v>
      </c>
      <c r="W162" s="283">
        <v>13050</v>
      </c>
      <c r="X162" s="283">
        <v>0</v>
      </c>
      <c r="Y162" s="199" t="s">
        <v>1392</v>
      </c>
      <c r="Z162" s="517" t="s">
        <v>5167</v>
      </c>
      <c r="AA162" s="493" t="s">
        <v>1485</v>
      </c>
      <c r="AB162" s="507"/>
    </row>
    <row r="163" spans="2:28" x14ac:dyDescent="0.15">
      <c r="B163" s="330" t="s">
        <v>3000</v>
      </c>
      <c r="C163" s="525">
        <v>42845</v>
      </c>
      <c r="D163" s="198" t="s">
        <v>1959</v>
      </c>
      <c r="E163" s="53" t="s">
        <v>1391</v>
      </c>
      <c r="F163" s="198" t="s">
        <v>3794</v>
      </c>
      <c r="G163" s="3" t="s">
        <v>364</v>
      </c>
      <c r="H163" s="53" t="s">
        <v>476</v>
      </c>
      <c r="I163" s="3" t="s">
        <v>1405</v>
      </c>
      <c r="J163" s="4" t="s">
        <v>262</v>
      </c>
      <c r="K163" s="4" t="s">
        <v>365</v>
      </c>
      <c r="L163" s="4" t="s">
        <v>1818</v>
      </c>
      <c r="M163" s="43" t="s">
        <v>1960</v>
      </c>
      <c r="N163" s="255">
        <v>290000</v>
      </c>
      <c r="O163" s="265">
        <v>55</v>
      </c>
      <c r="P163" s="270">
        <v>1</v>
      </c>
      <c r="Q163" s="255">
        <v>159500</v>
      </c>
      <c r="R163" s="283">
        <v>159500</v>
      </c>
      <c r="S163" s="283">
        <v>46732</v>
      </c>
      <c r="T163" s="287">
        <v>0</v>
      </c>
      <c r="U163" s="287">
        <v>1</v>
      </c>
      <c r="V163" s="287">
        <v>0</v>
      </c>
      <c r="W163" s="283">
        <v>13050</v>
      </c>
      <c r="X163" s="283">
        <v>0</v>
      </c>
      <c r="Y163" s="199" t="s">
        <v>1392</v>
      </c>
      <c r="Z163" s="517" t="s">
        <v>5541</v>
      </c>
      <c r="AA163" s="493" t="s">
        <v>1485</v>
      </c>
      <c r="AB163" s="507"/>
    </row>
    <row r="164" spans="2:28" x14ac:dyDescent="0.15">
      <c r="B164" s="330" t="s">
        <v>3001</v>
      </c>
      <c r="C164" s="525">
        <v>42845</v>
      </c>
      <c r="D164" s="198" t="s">
        <v>1959</v>
      </c>
      <c r="E164" s="53" t="s">
        <v>1391</v>
      </c>
      <c r="F164" s="198" t="s">
        <v>3794</v>
      </c>
      <c r="G164" s="3" t="s">
        <v>364</v>
      </c>
      <c r="H164" s="53" t="s">
        <v>466</v>
      </c>
      <c r="I164" s="3" t="s">
        <v>1446</v>
      </c>
      <c r="J164" s="4" t="s">
        <v>262</v>
      </c>
      <c r="K164" s="4" t="s">
        <v>365</v>
      </c>
      <c r="L164" s="190" t="s">
        <v>1967</v>
      </c>
      <c r="M164" s="43" t="s">
        <v>1965</v>
      </c>
      <c r="N164" s="255">
        <v>290000</v>
      </c>
      <c r="O164" s="265">
        <v>55</v>
      </c>
      <c r="P164" s="270">
        <v>1</v>
      </c>
      <c r="Q164" s="255">
        <v>159500</v>
      </c>
      <c r="R164" s="283">
        <v>159500</v>
      </c>
      <c r="S164" s="283">
        <v>59782</v>
      </c>
      <c r="T164" s="287">
        <v>1</v>
      </c>
      <c r="U164" s="287">
        <v>0</v>
      </c>
      <c r="V164" s="287">
        <v>0</v>
      </c>
      <c r="W164" s="283">
        <v>0</v>
      </c>
      <c r="X164" s="283">
        <v>0</v>
      </c>
      <c r="Y164" s="199" t="s">
        <v>1395</v>
      </c>
      <c r="Z164" s="517" t="s">
        <v>5536</v>
      </c>
      <c r="AA164" s="493" t="s">
        <v>1485</v>
      </c>
      <c r="AB164" s="507"/>
    </row>
    <row r="165" spans="2:28" x14ac:dyDescent="0.15">
      <c r="B165" s="330" t="s">
        <v>3002</v>
      </c>
      <c r="C165" s="526">
        <v>42845</v>
      </c>
      <c r="D165" s="191" t="s">
        <v>1959</v>
      </c>
      <c r="E165" s="43" t="s">
        <v>1396</v>
      </c>
      <c r="F165" s="191" t="s">
        <v>3795</v>
      </c>
      <c r="G165" s="4" t="s">
        <v>1321</v>
      </c>
      <c r="H165" s="43"/>
      <c r="I165" s="4"/>
      <c r="J165" s="4" t="s">
        <v>299</v>
      </c>
      <c r="K165" s="4" t="s">
        <v>373</v>
      </c>
      <c r="L165" s="4" t="s">
        <v>1974</v>
      </c>
      <c r="M165" s="43"/>
      <c r="N165" s="255">
        <v>800</v>
      </c>
      <c r="O165" s="265">
        <v>100</v>
      </c>
      <c r="P165" s="270">
        <v>-1</v>
      </c>
      <c r="Q165" s="255">
        <v>800</v>
      </c>
      <c r="R165" s="283">
        <v>-800</v>
      </c>
      <c r="S165" s="283">
        <v>-800</v>
      </c>
      <c r="T165" s="287">
        <v>0</v>
      </c>
      <c r="U165" s="287">
        <v>0</v>
      </c>
      <c r="V165" s="287">
        <v>0</v>
      </c>
      <c r="W165" s="283">
        <v>800</v>
      </c>
      <c r="X165" s="283">
        <v>0</v>
      </c>
      <c r="Y165" s="199" t="s">
        <v>1392</v>
      </c>
      <c r="Z165" s="517" t="s">
        <v>5533</v>
      </c>
      <c r="AA165" s="493"/>
      <c r="AB165" s="507"/>
    </row>
    <row r="166" spans="2:28" x14ac:dyDescent="0.15">
      <c r="B166" s="330" t="s">
        <v>3003</v>
      </c>
      <c r="C166" s="526">
        <v>42845</v>
      </c>
      <c r="D166" s="191" t="s">
        <v>1959</v>
      </c>
      <c r="E166" s="43" t="s">
        <v>1396</v>
      </c>
      <c r="F166" s="191" t="s">
        <v>3795</v>
      </c>
      <c r="G166" s="4" t="s">
        <v>1321</v>
      </c>
      <c r="H166" s="43"/>
      <c r="I166" s="4"/>
      <c r="J166" s="4" t="s">
        <v>299</v>
      </c>
      <c r="K166" s="4" t="s">
        <v>373</v>
      </c>
      <c r="L166" s="4" t="s">
        <v>1975</v>
      </c>
      <c r="M166" s="43"/>
      <c r="N166" s="255">
        <v>2000</v>
      </c>
      <c r="O166" s="265">
        <v>100</v>
      </c>
      <c r="P166" s="270">
        <v>-1</v>
      </c>
      <c r="Q166" s="255">
        <v>2000</v>
      </c>
      <c r="R166" s="283">
        <v>-2000</v>
      </c>
      <c r="S166" s="283">
        <v>-2000</v>
      </c>
      <c r="T166" s="287">
        <v>0</v>
      </c>
      <c r="U166" s="287">
        <v>0</v>
      </c>
      <c r="V166" s="287">
        <v>0</v>
      </c>
      <c r="W166" s="283">
        <v>2000</v>
      </c>
      <c r="X166" s="283">
        <v>0</v>
      </c>
      <c r="Y166" s="199" t="s">
        <v>1392</v>
      </c>
      <c r="Z166" s="517" t="s">
        <v>5533</v>
      </c>
      <c r="AA166" s="493"/>
      <c r="AB166" s="507"/>
    </row>
    <row r="167" spans="2:28" x14ac:dyDescent="0.15">
      <c r="B167" s="330" t="s">
        <v>3004</v>
      </c>
      <c r="C167" s="525">
        <v>42845</v>
      </c>
      <c r="D167" s="198" t="s">
        <v>1961</v>
      </c>
      <c r="E167" s="53" t="s">
        <v>1391</v>
      </c>
      <c r="F167" s="198" t="s">
        <v>3794</v>
      </c>
      <c r="G167" s="3" t="s">
        <v>364</v>
      </c>
      <c r="H167" s="53" t="s">
        <v>492</v>
      </c>
      <c r="I167" s="3" t="s">
        <v>1431</v>
      </c>
      <c r="J167" s="4" t="s">
        <v>270</v>
      </c>
      <c r="K167" s="4" t="s">
        <v>539</v>
      </c>
      <c r="L167" s="4" t="s">
        <v>1962</v>
      </c>
      <c r="M167" s="43" t="s">
        <v>1963</v>
      </c>
      <c r="N167" s="255">
        <v>160800</v>
      </c>
      <c r="O167" s="265">
        <v>100</v>
      </c>
      <c r="P167" s="270">
        <v>1</v>
      </c>
      <c r="Q167" s="255">
        <v>160800</v>
      </c>
      <c r="R167" s="283">
        <v>160800</v>
      </c>
      <c r="S167" s="283">
        <v>25919</v>
      </c>
      <c r="T167" s="287">
        <v>0</v>
      </c>
      <c r="U167" s="287">
        <v>1</v>
      </c>
      <c r="V167" s="287">
        <v>0</v>
      </c>
      <c r="W167" s="283">
        <v>16080</v>
      </c>
      <c r="X167" s="283">
        <v>0</v>
      </c>
      <c r="Y167" s="199" t="s">
        <v>1392</v>
      </c>
      <c r="Z167" s="517" t="s">
        <v>5167</v>
      </c>
      <c r="AA167" s="493" t="s">
        <v>1485</v>
      </c>
      <c r="AB167" s="507"/>
    </row>
    <row r="168" spans="2:28" x14ac:dyDescent="0.15">
      <c r="B168" s="330" t="s">
        <v>3005</v>
      </c>
      <c r="C168" s="526">
        <v>42845</v>
      </c>
      <c r="D168" s="191" t="s">
        <v>1987</v>
      </c>
      <c r="E168" s="43" t="s">
        <v>1391</v>
      </c>
      <c r="F168" s="191" t="s">
        <v>3794</v>
      </c>
      <c r="G168" s="4" t="s">
        <v>364</v>
      </c>
      <c r="H168" s="43" t="s">
        <v>492</v>
      </c>
      <c r="I168" s="4" t="s">
        <v>1431</v>
      </c>
      <c r="J168" s="4" t="s">
        <v>297</v>
      </c>
      <c r="K168" s="4" t="s">
        <v>369</v>
      </c>
      <c r="L168" s="4" t="s">
        <v>1988</v>
      </c>
      <c r="M168" s="43"/>
      <c r="N168" s="255">
        <v>100</v>
      </c>
      <c r="O168" s="265">
        <v>50</v>
      </c>
      <c r="P168" s="270">
        <v>100</v>
      </c>
      <c r="Q168" s="255">
        <v>50</v>
      </c>
      <c r="R168" s="283">
        <v>5000</v>
      </c>
      <c r="S168" s="283">
        <v>2050</v>
      </c>
      <c r="T168" s="287">
        <v>0</v>
      </c>
      <c r="U168" s="287">
        <v>0</v>
      </c>
      <c r="V168" s="287">
        <v>0</v>
      </c>
      <c r="W168" s="283">
        <v>750</v>
      </c>
      <c r="X168" s="283">
        <v>0</v>
      </c>
      <c r="Y168" s="199" t="s">
        <v>1392</v>
      </c>
      <c r="Z168" s="517" t="s">
        <v>5167</v>
      </c>
      <c r="AA168" s="493" t="s">
        <v>1485</v>
      </c>
      <c r="AB168" s="507"/>
    </row>
    <row r="169" spans="2:28" x14ac:dyDescent="0.15">
      <c r="B169" s="330" t="s">
        <v>3006</v>
      </c>
      <c r="C169" s="526">
        <v>42845</v>
      </c>
      <c r="D169" s="191" t="s">
        <v>1989</v>
      </c>
      <c r="E169" s="43" t="s">
        <v>1391</v>
      </c>
      <c r="F169" s="191" t="s">
        <v>3794</v>
      </c>
      <c r="G169" s="4" t="s">
        <v>364</v>
      </c>
      <c r="H169" s="43" t="s">
        <v>423</v>
      </c>
      <c r="I169" s="4" t="s">
        <v>1439</v>
      </c>
      <c r="J169" s="4" t="s">
        <v>268</v>
      </c>
      <c r="K169" s="4" t="s">
        <v>1158</v>
      </c>
      <c r="L169" s="4" t="s">
        <v>1836</v>
      </c>
      <c r="M169" s="43" t="s">
        <v>1990</v>
      </c>
      <c r="N169" s="255">
        <v>138000</v>
      </c>
      <c r="O169" s="265">
        <v>100</v>
      </c>
      <c r="P169" s="270">
        <v>1</v>
      </c>
      <c r="Q169" s="255">
        <v>138000</v>
      </c>
      <c r="R169" s="283">
        <v>138000</v>
      </c>
      <c r="S169" s="283">
        <v>34692</v>
      </c>
      <c r="T169" s="287">
        <v>0</v>
      </c>
      <c r="U169" s="287">
        <v>1</v>
      </c>
      <c r="V169" s="287">
        <v>0</v>
      </c>
      <c r="W169" s="283">
        <v>13800</v>
      </c>
      <c r="X169" s="283">
        <v>0</v>
      </c>
      <c r="Y169" s="199" t="s">
        <v>1392</v>
      </c>
      <c r="Z169" s="517" t="s">
        <v>5166</v>
      </c>
      <c r="AA169" s="493" t="s">
        <v>1485</v>
      </c>
      <c r="AB169" s="507"/>
    </row>
    <row r="170" spans="2:28" x14ac:dyDescent="0.15">
      <c r="B170" s="330" t="s">
        <v>3007</v>
      </c>
      <c r="C170" s="525">
        <v>42846</v>
      </c>
      <c r="D170" s="198" t="s">
        <v>1849</v>
      </c>
      <c r="E170" s="53" t="s">
        <v>1396</v>
      </c>
      <c r="F170" s="198" t="s">
        <v>3800</v>
      </c>
      <c r="G170" s="3" t="s">
        <v>50</v>
      </c>
      <c r="H170" s="53" t="s">
        <v>380</v>
      </c>
      <c r="I170" s="3" t="s">
        <v>1410</v>
      </c>
      <c r="J170" s="4" t="s">
        <v>270</v>
      </c>
      <c r="K170" s="4" t="s">
        <v>539</v>
      </c>
      <c r="L170" s="4" t="s">
        <v>1850</v>
      </c>
      <c r="M170" s="43" t="s">
        <v>1851</v>
      </c>
      <c r="N170" s="255">
        <v>322000</v>
      </c>
      <c r="O170" s="265">
        <v>60</v>
      </c>
      <c r="P170" s="270">
        <v>1</v>
      </c>
      <c r="Q170" s="255">
        <v>193200</v>
      </c>
      <c r="R170" s="283">
        <v>193200</v>
      </c>
      <c r="S170" s="283">
        <v>43379</v>
      </c>
      <c r="T170" s="287">
        <v>0</v>
      </c>
      <c r="U170" s="287">
        <v>1</v>
      </c>
      <c r="V170" s="287">
        <v>0</v>
      </c>
      <c r="W170" s="283">
        <v>19320</v>
      </c>
      <c r="X170" s="283">
        <v>0</v>
      </c>
      <c r="Y170" s="199" t="s">
        <v>1392</v>
      </c>
      <c r="Z170" s="517" t="s">
        <v>5166</v>
      </c>
      <c r="AA170" s="493" t="s">
        <v>1485</v>
      </c>
      <c r="AB170" s="507"/>
    </row>
    <row r="171" spans="2:28" x14ac:dyDescent="0.15">
      <c r="B171" s="330" t="s">
        <v>3008</v>
      </c>
      <c r="C171" s="525">
        <v>42846</v>
      </c>
      <c r="D171" s="198" t="s">
        <v>1852</v>
      </c>
      <c r="E171" s="53" t="s">
        <v>1396</v>
      </c>
      <c r="F171" s="198" t="s">
        <v>3800</v>
      </c>
      <c r="G171" s="3" t="s">
        <v>50</v>
      </c>
      <c r="H171" s="53" t="s">
        <v>1434</v>
      </c>
      <c r="I171" s="3" t="s">
        <v>1435</v>
      </c>
      <c r="J171" s="4" t="s">
        <v>265</v>
      </c>
      <c r="K171" s="4" t="s">
        <v>1155</v>
      </c>
      <c r="L171" s="190" t="s">
        <v>1854</v>
      </c>
      <c r="M171" s="43" t="s">
        <v>1853</v>
      </c>
      <c r="N171" s="255">
        <v>186000</v>
      </c>
      <c r="O171" s="265">
        <v>100</v>
      </c>
      <c r="P171" s="270">
        <v>1</v>
      </c>
      <c r="Q171" s="255">
        <v>186000</v>
      </c>
      <c r="R171" s="283">
        <v>186000</v>
      </c>
      <c r="S171" s="283">
        <v>39620</v>
      </c>
      <c r="T171" s="287">
        <v>0</v>
      </c>
      <c r="U171" s="287">
        <v>1</v>
      </c>
      <c r="V171" s="287">
        <v>0</v>
      </c>
      <c r="W171" s="283">
        <v>18600</v>
      </c>
      <c r="X171" s="283">
        <v>0</v>
      </c>
      <c r="Y171" s="199" t="s">
        <v>1392</v>
      </c>
      <c r="Z171" s="517" t="s">
        <v>5167</v>
      </c>
      <c r="AA171" s="493" t="s">
        <v>1485</v>
      </c>
      <c r="AB171" s="507"/>
    </row>
    <row r="172" spans="2:28" x14ac:dyDescent="0.15">
      <c r="B172" s="330" t="s">
        <v>3009</v>
      </c>
      <c r="C172" s="525">
        <v>42846</v>
      </c>
      <c r="D172" s="198" t="s">
        <v>1867</v>
      </c>
      <c r="E172" s="53" t="s">
        <v>1396</v>
      </c>
      <c r="F172" s="198" t="s">
        <v>3800</v>
      </c>
      <c r="G172" s="3" t="s">
        <v>50</v>
      </c>
      <c r="H172" s="53" t="s">
        <v>380</v>
      </c>
      <c r="I172" s="3" t="s">
        <v>1410</v>
      </c>
      <c r="J172" s="4" t="s">
        <v>292</v>
      </c>
      <c r="K172" s="4" t="s">
        <v>1163</v>
      </c>
      <c r="L172" s="4" t="s">
        <v>1868</v>
      </c>
      <c r="M172" s="43" t="s">
        <v>1869</v>
      </c>
      <c r="N172" s="255">
        <v>214500</v>
      </c>
      <c r="O172" s="265">
        <v>100</v>
      </c>
      <c r="P172" s="270">
        <v>1</v>
      </c>
      <c r="Q172" s="255">
        <v>214500</v>
      </c>
      <c r="R172" s="283">
        <v>214500</v>
      </c>
      <c r="S172" s="283">
        <v>33476</v>
      </c>
      <c r="T172" s="287">
        <v>0</v>
      </c>
      <c r="U172" s="287">
        <v>0</v>
      </c>
      <c r="V172" s="287">
        <v>0</v>
      </c>
      <c r="W172" s="283">
        <v>24750</v>
      </c>
      <c r="X172" s="283">
        <v>0</v>
      </c>
      <c r="Y172" s="199"/>
      <c r="Z172" s="517" t="s">
        <v>5166</v>
      </c>
      <c r="AA172" s="493" t="s">
        <v>1485</v>
      </c>
      <c r="AB172" s="507"/>
    </row>
    <row r="173" spans="2:28" x14ac:dyDescent="0.15">
      <c r="B173" s="330" t="s">
        <v>3010</v>
      </c>
      <c r="C173" s="525">
        <v>42846</v>
      </c>
      <c r="D173" s="198" t="s">
        <v>1891</v>
      </c>
      <c r="E173" s="53" t="s">
        <v>1396</v>
      </c>
      <c r="F173" s="198" t="s">
        <v>3800</v>
      </c>
      <c r="G173" s="3" t="s">
        <v>50</v>
      </c>
      <c r="H173" s="53" t="s">
        <v>381</v>
      </c>
      <c r="I173" s="3" t="s">
        <v>1408</v>
      </c>
      <c r="J173" s="4" t="s">
        <v>272</v>
      </c>
      <c r="K173" s="4" t="s">
        <v>363</v>
      </c>
      <c r="L173" s="4" t="s">
        <v>1892</v>
      </c>
      <c r="M173" s="43" t="s">
        <v>1893</v>
      </c>
      <c r="N173" s="255">
        <v>187000</v>
      </c>
      <c r="O173" s="265">
        <v>100</v>
      </c>
      <c r="P173" s="270">
        <v>1</v>
      </c>
      <c r="Q173" s="255">
        <v>187000</v>
      </c>
      <c r="R173" s="283">
        <v>187000</v>
      </c>
      <c r="S173" s="283">
        <v>34025</v>
      </c>
      <c r="T173" s="287">
        <v>0</v>
      </c>
      <c r="U173" s="287">
        <v>1</v>
      </c>
      <c r="V173" s="287">
        <v>0</v>
      </c>
      <c r="W173" s="283">
        <v>13590</v>
      </c>
      <c r="X173" s="283">
        <v>0</v>
      </c>
      <c r="Y173" s="199" t="s">
        <v>1392</v>
      </c>
      <c r="Z173" s="517" t="s">
        <v>5166</v>
      </c>
      <c r="AA173" s="493" t="s">
        <v>1485</v>
      </c>
      <c r="AB173" s="507"/>
    </row>
    <row r="174" spans="2:28" x14ac:dyDescent="0.15">
      <c r="B174" s="330" t="s">
        <v>3011</v>
      </c>
      <c r="C174" s="525">
        <v>42846</v>
      </c>
      <c r="D174" s="198" t="s">
        <v>1904</v>
      </c>
      <c r="E174" s="53" t="s">
        <v>1396</v>
      </c>
      <c r="F174" s="198" t="s">
        <v>3800</v>
      </c>
      <c r="G174" s="3" t="s">
        <v>50</v>
      </c>
      <c r="H174" s="53" t="s">
        <v>381</v>
      </c>
      <c r="I174" s="3" t="s">
        <v>1408</v>
      </c>
      <c r="J174" s="4" t="s">
        <v>294</v>
      </c>
      <c r="K174" s="4" t="s">
        <v>1165</v>
      </c>
      <c r="L174" s="4" t="s">
        <v>1165</v>
      </c>
      <c r="M174" s="43"/>
      <c r="N174" s="255">
        <v>42000</v>
      </c>
      <c r="O174" s="265">
        <v>60</v>
      </c>
      <c r="P174" s="270">
        <v>2</v>
      </c>
      <c r="Q174" s="255">
        <v>25200</v>
      </c>
      <c r="R174" s="283">
        <v>50400</v>
      </c>
      <c r="S174" s="283">
        <v>12056</v>
      </c>
      <c r="T174" s="287">
        <v>0</v>
      </c>
      <c r="U174" s="287">
        <v>0</v>
      </c>
      <c r="V174" s="287">
        <v>0</v>
      </c>
      <c r="W174" s="283">
        <v>5040</v>
      </c>
      <c r="X174" s="283">
        <v>0</v>
      </c>
      <c r="Y174" s="199" t="s">
        <v>1392</v>
      </c>
      <c r="Z174" s="517" t="s">
        <v>5166</v>
      </c>
      <c r="AA174" s="493" t="s">
        <v>1485</v>
      </c>
      <c r="AB174" s="507"/>
    </row>
    <row r="175" spans="2:28" x14ac:dyDescent="0.15">
      <c r="B175" s="330" t="s">
        <v>3012</v>
      </c>
      <c r="C175" s="525">
        <v>42846</v>
      </c>
      <c r="D175" s="198" t="s">
        <v>1905</v>
      </c>
      <c r="E175" s="53" t="s">
        <v>1396</v>
      </c>
      <c r="F175" s="198" t="s">
        <v>3800</v>
      </c>
      <c r="G175" s="3" t="s">
        <v>50</v>
      </c>
      <c r="H175" s="53" t="s">
        <v>381</v>
      </c>
      <c r="I175" s="3" t="s">
        <v>1408</v>
      </c>
      <c r="J175" s="4" t="s">
        <v>272</v>
      </c>
      <c r="K175" s="4" t="s">
        <v>363</v>
      </c>
      <c r="L175" s="4" t="s">
        <v>1892</v>
      </c>
      <c r="M175" s="191" t="s">
        <v>1906</v>
      </c>
      <c r="N175" s="255">
        <v>219000</v>
      </c>
      <c r="O175" s="265">
        <v>100</v>
      </c>
      <c r="P175" s="270">
        <v>1</v>
      </c>
      <c r="Q175" s="255">
        <v>219000</v>
      </c>
      <c r="R175" s="283">
        <v>219000</v>
      </c>
      <c r="S175" s="283">
        <v>56617</v>
      </c>
      <c r="T175" s="287">
        <v>0</v>
      </c>
      <c r="U175" s="287">
        <v>1</v>
      </c>
      <c r="V175" s="287">
        <v>0</v>
      </c>
      <c r="W175" s="283">
        <v>22998</v>
      </c>
      <c r="X175" s="283">
        <v>0</v>
      </c>
      <c r="Y175" s="199" t="s">
        <v>1392</v>
      </c>
      <c r="Z175" s="517" t="s">
        <v>5543</v>
      </c>
      <c r="AA175" s="493" t="s">
        <v>1485</v>
      </c>
      <c r="AB175" s="507"/>
    </row>
    <row r="176" spans="2:28" x14ac:dyDescent="0.15">
      <c r="B176" s="330" t="s">
        <v>3013</v>
      </c>
      <c r="C176" s="525">
        <v>42846</v>
      </c>
      <c r="D176" s="198" t="s">
        <v>1907</v>
      </c>
      <c r="E176" s="53" t="s">
        <v>1396</v>
      </c>
      <c r="F176" s="198" t="s">
        <v>3800</v>
      </c>
      <c r="G176" s="3" t="s">
        <v>50</v>
      </c>
      <c r="H176" s="53" t="s">
        <v>380</v>
      </c>
      <c r="I176" s="3" t="s">
        <v>1410</v>
      </c>
      <c r="J176" s="4" t="s">
        <v>272</v>
      </c>
      <c r="K176" s="4" t="s">
        <v>363</v>
      </c>
      <c r="L176" s="190" t="s">
        <v>1918</v>
      </c>
      <c r="M176" s="191" t="s">
        <v>1908</v>
      </c>
      <c r="N176" s="255">
        <v>219000</v>
      </c>
      <c r="O176" s="265">
        <v>100</v>
      </c>
      <c r="P176" s="270">
        <v>1</v>
      </c>
      <c r="Q176" s="255">
        <v>219000</v>
      </c>
      <c r="R176" s="283">
        <v>219000</v>
      </c>
      <c r="S176" s="283">
        <v>56617</v>
      </c>
      <c r="T176" s="287">
        <v>0</v>
      </c>
      <c r="U176" s="287">
        <v>1</v>
      </c>
      <c r="V176" s="287">
        <v>0</v>
      </c>
      <c r="W176" s="283">
        <v>22998</v>
      </c>
      <c r="X176" s="283">
        <v>0</v>
      </c>
      <c r="Y176" s="199" t="s">
        <v>1392</v>
      </c>
      <c r="Z176" s="517" t="s">
        <v>5166</v>
      </c>
      <c r="AA176" s="493" t="s">
        <v>1485</v>
      </c>
      <c r="AB176" s="507"/>
    </row>
    <row r="177" spans="2:28" x14ac:dyDescent="0.15">
      <c r="B177" s="330" t="s">
        <v>3014</v>
      </c>
      <c r="C177" s="525">
        <v>42846</v>
      </c>
      <c r="D177" s="198" t="s">
        <v>1915</v>
      </c>
      <c r="E177" s="53" t="s">
        <v>1396</v>
      </c>
      <c r="F177" s="198" t="s">
        <v>3800</v>
      </c>
      <c r="G177" s="3" t="s">
        <v>50</v>
      </c>
      <c r="H177" s="198" t="s">
        <v>1930</v>
      </c>
      <c r="I177" s="3" t="s">
        <v>1931</v>
      </c>
      <c r="J177" s="4" t="s">
        <v>272</v>
      </c>
      <c r="K177" s="4" t="s">
        <v>363</v>
      </c>
      <c r="L177" s="4" t="s">
        <v>1916</v>
      </c>
      <c r="M177" s="43" t="s">
        <v>1917</v>
      </c>
      <c r="N177" s="255">
        <v>219000</v>
      </c>
      <c r="O177" s="265">
        <v>100</v>
      </c>
      <c r="P177" s="270">
        <v>1</v>
      </c>
      <c r="Q177" s="255">
        <v>219000</v>
      </c>
      <c r="R177" s="283">
        <v>219000</v>
      </c>
      <c r="S177" s="283">
        <v>56617</v>
      </c>
      <c r="T177" s="287">
        <v>0</v>
      </c>
      <c r="U177" s="287">
        <v>1</v>
      </c>
      <c r="V177" s="287">
        <v>0</v>
      </c>
      <c r="W177" s="283">
        <v>22998</v>
      </c>
      <c r="X177" s="283">
        <v>0</v>
      </c>
      <c r="Y177" s="199" t="s">
        <v>1392</v>
      </c>
      <c r="Z177" s="517" t="s">
        <v>5166</v>
      </c>
      <c r="AA177" s="493" t="s">
        <v>1485</v>
      </c>
      <c r="AB177" s="507"/>
    </row>
    <row r="178" spans="2:28" x14ac:dyDescent="0.15">
      <c r="B178" s="330" t="s">
        <v>3015</v>
      </c>
      <c r="C178" s="525">
        <v>42846</v>
      </c>
      <c r="D178" s="198" t="s">
        <v>1928</v>
      </c>
      <c r="E178" s="53" t="s">
        <v>1396</v>
      </c>
      <c r="F178" s="198" t="s">
        <v>3796</v>
      </c>
      <c r="G178" s="3" t="s">
        <v>368</v>
      </c>
      <c r="H178" s="53" t="s">
        <v>793</v>
      </c>
      <c r="I178" s="3" t="s">
        <v>1829</v>
      </c>
      <c r="J178" s="4" t="s">
        <v>298</v>
      </c>
      <c r="K178" s="4" t="s">
        <v>1168</v>
      </c>
      <c r="L178" s="4" t="s">
        <v>1929</v>
      </c>
      <c r="M178" s="43"/>
      <c r="N178" s="255">
        <v>28000</v>
      </c>
      <c r="O178" s="265">
        <v>65</v>
      </c>
      <c r="P178" s="270">
        <v>1</v>
      </c>
      <c r="Q178" s="255">
        <v>18200</v>
      </c>
      <c r="R178" s="283">
        <v>18200</v>
      </c>
      <c r="S178" s="283">
        <v>12000</v>
      </c>
      <c r="T178" s="287">
        <v>0</v>
      </c>
      <c r="U178" s="287">
        <v>0</v>
      </c>
      <c r="V178" s="287">
        <v>0</v>
      </c>
      <c r="W178" s="283">
        <v>2100</v>
      </c>
      <c r="X178" s="283">
        <v>0</v>
      </c>
      <c r="Y178" s="199" t="s">
        <v>1392</v>
      </c>
      <c r="Z178" s="517" t="s">
        <v>5543</v>
      </c>
      <c r="AA178" s="493" t="s">
        <v>1485</v>
      </c>
      <c r="AB178" s="507"/>
    </row>
    <row r="179" spans="2:28" x14ac:dyDescent="0.15">
      <c r="B179" s="330" t="s">
        <v>3016</v>
      </c>
      <c r="C179" s="525">
        <v>42846</v>
      </c>
      <c r="D179" s="198" t="s">
        <v>1934</v>
      </c>
      <c r="E179" s="53" t="s">
        <v>1396</v>
      </c>
      <c r="F179" s="198" t="s">
        <v>3800</v>
      </c>
      <c r="G179" s="3" t="s">
        <v>50</v>
      </c>
      <c r="H179" s="53" t="s">
        <v>380</v>
      </c>
      <c r="I179" s="3" t="s">
        <v>1410</v>
      </c>
      <c r="J179" s="4" t="s">
        <v>298</v>
      </c>
      <c r="K179" s="4" t="s">
        <v>1168</v>
      </c>
      <c r="L179" s="4" t="s">
        <v>1412</v>
      </c>
      <c r="M179" s="43"/>
      <c r="N179" s="255">
        <v>2400</v>
      </c>
      <c r="O179" s="265">
        <v>60</v>
      </c>
      <c r="P179" s="270">
        <v>3</v>
      </c>
      <c r="Q179" s="255">
        <v>1440</v>
      </c>
      <c r="R179" s="283">
        <v>4320</v>
      </c>
      <c r="S179" s="283">
        <v>1488</v>
      </c>
      <c r="T179" s="287">
        <v>0</v>
      </c>
      <c r="U179" s="287">
        <v>0</v>
      </c>
      <c r="V179" s="287">
        <v>0</v>
      </c>
      <c r="W179" s="283">
        <v>432</v>
      </c>
      <c r="X179" s="283">
        <v>0</v>
      </c>
      <c r="Y179" s="199" t="s">
        <v>1392</v>
      </c>
      <c r="Z179" s="517" t="s">
        <v>5542</v>
      </c>
      <c r="AA179" s="493" t="s">
        <v>1485</v>
      </c>
      <c r="AB179" s="507"/>
    </row>
    <row r="180" spans="2:28" x14ac:dyDescent="0.15">
      <c r="B180" s="330" t="s">
        <v>3017</v>
      </c>
      <c r="C180" s="525">
        <v>42846</v>
      </c>
      <c r="D180" s="198" t="s">
        <v>1934</v>
      </c>
      <c r="E180" s="53" t="s">
        <v>1396</v>
      </c>
      <c r="F180" s="198" t="s">
        <v>3800</v>
      </c>
      <c r="G180" s="3" t="s">
        <v>50</v>
      </c>
      <c r="H180" s="53" t="s">
        <v>380</v>
      </c>
      <c r="I180" s="3" t="s">
        <v>1410</v>
      </c>
      <c r="J180" s="4" t="s">
        <v>298</v>
      </c>
      <c r="K180" s="4" t="s">
        <v>1168</v>
      </c>
      <c r="L180" s="4" t="s">
        <v>1935</v>
      </c>
      <c r="M180" s="43"/>
      <c r="N180" s="255">
        <v>18000</v>
      </c>
      <c r="O180" s="265">
        <v>65</v>
      </c>
      <c r="P180" s="270">
        <v>1</v>
      </c>
      <c r="Q180" s="255">
        <v>11700</v>
      </c>
      <c r="R180" s="283">
        <v>11700</v>
      </c>
      <c r="S180" s="283">
        <v>0</v>
      </c>
      <c r="T180" s="287">
        <v>0</v>
      </c>
      <c r="U180" s="287">
        <v>0</v>
      </c>
      <c r="V180" s="287">
        <v>0</v>
      </c>
      <c r="W180" s="283">
        <v>1350</v>
      </c>
      <c r="X180" s="283">
        <v>0</v>
      </c>
      <c r="Y180" s="199" t="s">
        <v>1392</v>
      </c>
      <c r="Z180" s="517" t="s">
        <v>5543</v>
      </c>
      <c r="AA180" s="493" t="s">
        <v>1485</v>
      </c>
      <c r="AB180" s="507"/>
    </row>
    <row r="181" spans="2:28" x14ac:dyDescent="0.15">
      <c r="B181" s="330" t="s">
        <v>3018</v>
      </c>
      <c r="C181" s="525">
        <v>42846</v>
      </c>
      <c r="D181" s="198" t="s">
        <v>1941</v>
      </c>
      <c r="E181" s="53" t="s">
        <v>1396</v>
      </c>
      <c r="F181" s="198" t="s">
        <v>3800</v>
      </c>
      <c r="G181" s="3" t="s">
        <v>50</v>
      </c>
      <c r="H181" s="53" t="s">
        <v>1936</v>
      </c>
      <c r="I181" s="3" t="s">
        <v>1938</v>
      </c>
      <c r="J181" s="4" t="s">
        <v>298</v>
      </c>
      <c r="K181" s="4" t="s">
        <v>1168</v>
      </c>
      <c r="L181" s="4" t="s">
        <v>1412</v>
      </c>
      <c r="M181" s="43"/>
      <c r="N181" s="255">
        <v>2400</v>
      </c>
      <c r="O181" s="265">
        <v>60</v>
      </c>
      <c r="P181" s="270">
        <v>2</v>
      </c>
      <c r="Q181" s="255">
        <v>1440</v>
      </c>
      <c r="R181" s="283">
        <v>2880</v>
      </c>
      <c r="S181" s="283">
        <v>992</v>
      </c>
      <c r="T181" s="287">
        <v>0</v>
      </c>
      <c r="U181" s="287">
        <v>0</v>
      </c>
      <c r="V181" s="287">
        <v>0</v>
      </c>
      <c r="W181" s="283">
        <v>288</v>
      </c>
      <c r="X181" s="283">
        <v>0</v>
      </c>
      <c r="Y181" s="199" t="s">
        <v>1392</v>
      </c>
      <c r="Z181" s="517" t="s">
        <v>5533</v>
      </c>
      <c r="AA181" s="493" t="s">
        <v>1485</v>
      </c>
      <c r="AB181" s="507"/>
    </row>
    <row r="182" spans="2:28" x14ac:dyDescent="0.15">
      <c r="B182" s="330" t="s">
        <v>3019</v>
      </c>
      <c r="C182" s="525">
        <v>42847</v>
      </c>
      <c r="D182" s="198" t="s">
        <v>1948</v>
      </c>
      <c r="E182" s="53" t="s">
        <v>1396</v>
      </c>
      <c r="F182" s="198" t="s">
        <v>3800</v>
      </c>
      <c r="G182" s="3" t="s">
        <v>50</v>
      </c>
      <c r="H182" s="53" t="s">
        <v>1434</v>
      </c>
      <c r="I182" s="3" t="s">
        <v>1435</v>
      </c>
      <c r="J182" s="4" t="s">
        <v>268</v>
      </c>
      <c r="K182" s="4" t="s">
        <v>1158</v>
      </c>
      <c r="L182" s="4" t="s">
        <v>1949</v>
      </c>
      <c r="M182" s="43" t="s">
        <v>1950</v>
      </c>
      <c r="N182" s="255">
        <v>270000</v>
      </c>
      <c r="O182" s="265">
        <v>55</v>
      </c>
      <c r="P182" s="270">
        <v>1</v>
      </c>
      <c r="Q182" s="255">
        <v>148500</v>
      </c>
      <c r="R182" s="283">
        <v>148500</v>
      </c>
      <c r="S182" s="283">
        <v>42342</v>
      </c>
      <c r="T182" s="287">
        <v>0</v>
      </c>
      <c r="U182" s="287">
        <v>1</v>
      </c>
      <c r="V182" s="287">
        <v>0</v>
      </c>
      <c r="W182" s="283">
        <v>12150</v>
      </c>
      <c r="X182" s="283">
        <v>0</v>
      </c>
      <c r="Y182" s="199" t="s">
        <v>1392</v>
      </c>
      <c r="Z182" s="517" t="s">
        <v>5167</v>
      </c>
      <c r="AA182" s="493"/>
      <c r="AB182" s="507"/>
    </row>
    <row r="183" spans="2:28" x14ac:dyDescent="0.15">
      <c r="B183" s="330" t="s">
        <v>3020</v>
      </c>
      <c r="C183" s="525">
        <v>42847</v>
      </c>
      <c r="D183" s="198" t="s">
        <v>1948</v>
      </c>
      <c r="E183" s="53" t="s">
        <v>1396</v>
      </c>
      <c r="F183" s="198" t="s">
        <v>3800</v>
      </c>
      <c r="G183" s="3" t="s">
        <v>50</v>
      </c>
      <c r="H183" s="53" t="s">
        <v>1434</v>
      </c>
      <c r="I183" s="3" t="s">
        <v>1435</v>
      </c>
      <c r="J183" s="4"/>
      <c r="K183" s="4"/>
      <c r="L183" s="4" t="s">
        <v>1951</v>
      </c>
      <c r="M183" s="43" t="s">
        <v>1952</v>
      </c>
      <c r="N183" s="255">
        <v>202350</v>
      </c>
      <c r="O183" s="265">
        <v>100</v>
      </c>
      <c r="P183" s="270">
        <v>1</v>
      </c>
      <c r="Q183" s="255">
        <v>202350</v>
      </c>
      <c r="R183" s="283">
        <v>202350</v>
      </c>
      <c r="S183" s="283">
        <v>56857</v>
      </c>
      <c r="T183" s="287">
        <v>0</v>
      </c>
      <c r="U183" s="287">
        <v>1</v>
      </c>
      <c r="V183" s="287">
        <v>0</v>
      </c>
      <c r="W183" s="283">
        <v>20664</v>
      </c>
      <c r="X183" s="283">
        <v>0</v>
      </c>
      <c r="Y183" s="199" t="s">
        <v>1392</v>
      </c>
      <c r="Z183" s="517" t="s">
        <v>5540</v>
      </c>
      <c r="AA183" s="493"/>
      <c r="AB183" s="507"/>
    </row>
    <row r="184" spans="2:28" x14ac:dyDescent="0.15">
      <c r="B184" s="330" t="s">
        <v>3021</v>
      </c>
      <c r="C184" s="525">
        <v>42847</v>
      </c>
      <c r="D184" s="198" t="s">
        <v>1948</v>
      </c>
      <c r="E184" s="53" t="s">
        <v>1396</v>
      </c>
      <c r="F184" s="198" t="s">
        <v>3800</v>
      </c>
      <c r="G184" s="3" t="s">
        <v>50</v>
      </c>
      <c r="H184" s="53" t="s">
        <v>1434</v>
      </c>
      <c r="I184" s="3" t="s">
        <v>1435</v>
      </c>
      <c r="J184" s="3" t="s">
        <v>310</v>
      </c>
      <c r="K184" s="3" t="s">
        <v>1539</v>
      </c>
      <c r="L184" s="3" t="s">
        <v>1953</v>
      </c>
      <c r="M184" s="53" t="s">
        <v>1954</v>
      </c>
      <c r="N184" s="258">
        <v>430000</v>
      </c>
      <c r="O184" s="266">
        <v>55</v>
      </c>
      <c r="P184" s="272">
        <v>1</v>
      </c>
      <c r="Q184" s="258">
        <v>236500</v>
      </c>
      <c r="R184" s="286">
        <v>236500</v>
      </c>
      <c r="S184" s="286">
        <v>62170</v>
      </c>
      <c r="T184" s="288">
        <v>0</v>
      </c>
      <c r="U184" s="288">
        <v>1</v>
      </c>
      <c r="V184" s="288">
        <v>0</v>
      </c>
      <c r="W184" s="286">
        <v>19350</v>
      </c>
      <c r="X184" s="286">
        <v>0</v>
      </c>
      <c r="Y184" s="200" t="s">
        <v>1392</v>
      </c>
      <c r="Z184" s="517" t="s">
        <v>5167</v>
      </c>
      <c r="AA184" s="499"/>
      <c r="AB184" s="508"/>
    </row>
    <row r="185" spans="2:28" x14ac:dyDescent="0.15">
      <c r="B185" s="330" t="s">
        <v>3022</v>
      </c>
      <c r="C185" s="525">
        <v>42847</v>
      </c>
      <c r="D185" s="198" t="s">
        <v>1948</v>
      </c>
      <c r="E185" s="53" t="s">
        <v>1396</v>
      </c>
      <c r="F185" s="198" t="s">
        <v>3800</v>
      </c>
      <c r="G185" s="3" t="s">
        <v>50</v>
      </c>
      <c r="H185" s="53" t="s">
        <v>1434</v>
      </c>
      <c r="I185" s="3" t="s">
        <v>1435</v>
      </c>
      <c r="J185" s="4" t="s">
        <v>298</v>
      </c>
      <c r="K185" s="4" t="s">
        <v>1168</v>
      </c>
      <c r="L185" s="4" t="s">
        <v>1955</v>
      </c>
      <c r="M185" s="43"/>
      <c r="N185" s="255">
        <v>22000</v>
      </c>
      <c r="O185" s="265">
        <v>60</v>
      </c>
      <c r="P185" s="270">
        <v>2</v>
      </c>
      <c r="Q185" s="255">
        <v>13200</v>
      </c>
      <c r="R185" s="283">
        <v>26400</v>
      </c>
      <c r="S185" s="283">
        <v>7800</v>
      </c>
      <c r="T185" s="287">
        <v>0</v>
      </c>
      <c r="U185" s="287">
        <v>0</v>
      </c>
      <c r="V185" s="287">
        <v>0</v>
      </c>
      <c r="W185" s="283">
        <v>2640</v>
      </c>
      <c r="X185" s="283">
        <v>0</v>
      </c>
      <c r="Y185" s="199" t="s">
        <v>1392</v>
      </c>
      <c r="Z185" s="517" t="s">
        <v>5167</v>
      </c>
      <c r="AA185" s="493"/>
      <c r="AB185" s="507"/>
    </row>
    <row r="186" spans="2:28" x14ac:dyDescent="0.15">
      <c r="B186" s="330" t="s">
        <v>3023</v>
      </c>
      <c r="C186" s="525">
        <v>42847</v>
      </c>
      <c r="D186" s="198" t="s">
        <v>1948</v>
      </c>
      <c r="E186" s="53" t="s">
        <v>1396</v>
      </c>
      <c r="F186" s="198" t="s">
        <v>3800</v>
      </c>
      <c r="G186" s="3" t="s">
        <v>50</v>
      </c>
      <c r="H186" s="53" t="s">
        <v>1434</v>
      </c>
      <c r="I186" s="3" t="s">
        <v>1435</v>
      </c>
      <c r="J186" s="4" t="s">
        <v>298</v>
      </c>
      <c r="K186" s="4" t="s">
        <v>1168</v>
      </c>
      <c r="L186" s="4" t="s">
        <v>1956</v>
      </c>
      <c r="M186" s="43"/>
      <c r="N186" s="255">
        <v>24000</v>
      </c>
      <c r="O186" s="265">
        <v>60</v>
      </c>
      <c r="P186" s="270">
        <v>1</v>
      </c>
      <c r="Q186" s="255">
        <v>14400</v>
      </c>
      <c r="R186" s="283">
        <v>14400</v>
      </c>
      <c r="S186" s="283">
        <v>4410</v>
      </c>
      <c r="T186" s="287">
        <v>0</v>
      </c>
      <c r="U186" s="287">
        <v>0</v>
      </c>
      <c r="V186" s="287">
        <v>0</v>
      </c>
      <c r="W186" s="283">
        <v>1440</v>
      </c>
      <c r="X186" s="283">
        <v>0</v>
      </c>
      <c r="Y186" s="199" t="s">
        <v>1392</v>
      </c>
      <c r="Z186" s="517" t="s">
        <v>5167</v>
      </c>
      <c r="AA186" s="493"/>
      <c r="AB186" s="507"/>
    </row>
    <row r="187" spans="2:28" x14ac:dyDescent="0.15">
      <c r="B187" s="330" t="s">
        <v>3024</v>
      </c>
      <c r="C187" s="525">
        <v>42851</v>
      </c>
      <c r="D187" s="198" t="s">
        <v>1948</v>
      </c>
      <c r="E187" s="53" t="s">
        <v>1396</v>
      </c>
      <c r="F187" s="198" t="s">
        <v>3806</v>
      </c>
      <c r="G187" s="3" t="s">
        <v>377</v>
      </c>
      <c r="H187" s="53"/>
      <c r="I187" s="3"/>
      <c r="J187" s="4" t="s">
        <v>271</v>
      </c>
      <c r="K187" s="4" t="s">
        <v>1160</v>
      </c>
      <c r="L187" s="4" t="s">
        <v>1964</v>
      </c>
      <c r="M187" s="191" t="s">
        <v>1968</v>
      </c>
      <c r="N187" s="255">
        <v>225000</v>
      </c>
      <c r="O187" s="265">
        <v>100</v>
      </c>
      <c r="P187" s="270">
        <v>1</v>
      </c>
      <c r="Q187" s="255">
        <v>225000</v>
      </c>
      <c r="R187" s="283">
        <v>225000</v>
      </c>
      <c r="S187" s="283">
        <v>74210</v>
      </c>
      <c r="T187" s="287">
        <v>0</v>
      </c>
      <c r="U187" s="287">
        <v>1</v>
      </c>
      <c r="V187" s="287">
        <v>0</v>
      </c>
      <c r="W187" s="283">
        <v>25961</v>
      </c>
      <c r="X187" s="283">
        <v>0</v>
      </c>
      <c r="Y187" s="199" t="s">
        <v>1392</v>
      </c>
      <c r="Z187" s="517" t="s">
        <v>5537</v>
      </c>
      <c r="AA187" s="493" t="s">
        <v>1485</v>
      </c>
      <c r="AB187" s="507"/>
    </row>
    <row r="188" spans="2:28" x14ac:dyDescent="0.15">
      <c r="B188" s="330" t="s">
        <v>3025</v>
      </c>
      <c r="C188" s="525">
        <v>42851</v>
      </c>
      <c r="D188" s="198" t="s">
        <v>1961</v>
      </c>
      <c r="E188" s="53" t="s">
        <v>1396</v>
      </c>
      <c r="F188" s="198" t="s">
        <v>3800</v>
      </c>
      <c r="G188" s="3" t="s">
        <v>50</v>
      </c>
      <c r="H188" s="53" t="s">
        <v>381</v>
      </c>
      <c r="I188" s="3" t="s">
        <v>1408</v>
      </c>
      <c r="J188" s="4" t="s">
        <v>271</v>
      </c>
      <c r="K188" s="4" t="s">
        <v>1160</v>
      </c>
      <c r="L188" s="4" t="s">
        <v>1964</v>
      </c>
      <c r="M188" s="191" t="s">
        <v>1969</v>
      </c>
      <c r="N188" s="255">
        <v>195600</v>
      </c>
      <c r="O188" s="265">
        <v>100</v>
      </c>
      <c r="P188" s="270">
        <v>1</v>
      </c>
      <c r="Q188" s="255">
        <v>195600</v>
      </c>
      <c r="R188" s="283">
        <v>195600</v>
      </c>
      <c r="S188" s="283">
        <v>49026</v>
      </c>
      <c r="T188" s="287">
        <v>0</v>
      </c>
      <c r="U188" s="287">
        <v>1</v>
      </c>
      <c r="V188" s="287">
        <v>0</v>
      </c>
      <c r="W188" s="283">
        <v>19560</v>
      </c>
      <c r="X188" s="283">
        <v>0</v>
      </c>
      <c r="Y188" s="199" t="s">
        <v>1392</v>
      </c>
      <c r="Z188" s="517" t="s">
        <v>5166</v>
      </c>
      <c r="AA188" s="493" t="s">
        <v>1485</v>
      </c>
      <c r="AB188" s="507"/>
    </row>
    <row r="189" spans="2:28" x14ac:dyDescent="0.15">
      <c r="B189" s="330" t="s">
        <v>3026</v>
      </c>
      <c r="C189" s="525">
        <v>42851</v>
      </c>
      <c r="D189" s="198" t="s">
        <v>1970</v>
      </c>
      <c r="E189" s="53" t="s">
        <v>1396</v>
      </c>
      <c r="F189" s="198" t="s">
        <v>3800</v>
      </c>
      <c r="G189" s="3" t="s">
        <v>50</v>
      </c>
      <c r="H189" s="53" t="s">
        <v>381</v>
      </c>
      <c r="I189" s="3" t="s">
        <v>1408</v>
      </c>
      <c r="J189" s="4" t="s">
        <v>298</v>
      </c>
      <c r="K189" s="4" t="s">
        <v>1168</v>
      </c>
      <c r="L189" s="4" t="s">
        <v>1412</v>
      </c>
      <c r="M189" s="43"/>
      <c r="N189" s="255">
        <v>2400</v>
      </c>
      <c r="O189" s="265">
        <v>60</v>
      </c>
      <c r="P189" s="270">
        <v>4</v>
      </c>
      <c r="Q189" s="255">
        <v>1440</v>
      </c>
      <c r="R189" s="283">
        <v>5760</v>
      </c>
      <c r="S189" s="283">
        <v>1984</v>
      </c>
      <c r="T189" s="287">
        <v>0</v>
      </c>
      <c r="U189" s="287">
        <v>0</v>
      </c>
      <c r="V189" s="287">
        <v>0</v>
      </c>
      <c r="W189" s="283">
        <v>576</v>
      </c>
      <c r="X189" s="283">
        <v>0</v>
      </c>
      <c r="Y189" s="199" t="s">
        <v>1392</v>
      </c>
      <c r="Z189" s="517" t="s">
        <v>5166</v>
      </c>
      <c r="AA189" s="493" t="s">
        <v>1485</v>
      </c>
      <c r="AB189" s="507"/>
    </row>
    <row r="190" spans="2:28" x14ac:dyDescent="0.15">
      <c r="B190" s="330" t="s">
        <v>3027</v>
      </c>
      <c r="C190" s="525">
        <v>42851</v>
      </c>
      <c r="D190" s="198" t="s">
        <v>1971</v>
      </c>
      <c r="E190" s="53" t="s">
        <v>1391</v>
      </c>
      <c r="F190" s="198" t="s">
        <v>3797</v>
      </c>
      <c r="G190" s="3" t="s">
        <v>362</v>
      </c>
      <c r="H190" s="53" t="s">
        <v>692</v>
      </c>
      <c r="I190" s="3" t="s">
        <v>1397</v>
      </c>
      <c r="J190" s="3" t="s">
        <v>271</v>
      </c>
      <c r="K190" s="3" t="s">
        <v>1160</v>
      </c>
      <c r="L190" s="3" t="s">
        <v>1972</v>
      </c>
      <c r="M190" s="53" t="s">
        <v>1973</v>
      </c>
      <c r="N190" s="258">
        <v>363000</v>
      </c>
      <c r="O190" s="266">
        <v>58.5</v>
      </c>
      <c r="P190" s="272">
        <v>1</v>
      </c>
      <c r="Q190" s="258">
        <v>212355</v>
      </c>
      <c r="R190" s="286">
        <v>212355</v>
      </c>
      <c r="S190" s="286">
        <v>54581</v>
      </c>
      <c r="T190" s="288">
        <v>1</v>
      </c>
      <c r="U190" s="288">
        <v>0</v>
      </c>
      <c r="V190" s="288">
        <v>0</v>
      </c>
      <c r="W190" s="286">
        <v>0</v>
      </c>
      <c r="X190" s="286">
        <v>0</v>
      </c>
      <c r="Y190" s="200" t="s">
        <v>1395</v>
      </c>
      <c r="Z190" s="517" t="s">
        <v>5543</v>
      </c>
      <c r="AA190" s="499" t="s">
        <v>1485</v>
      </c>
      <c r="AB190" s="508"/>
    </row>
    <row r="191" spans="2:28" x14ac:dyDescent="0.15">
      <c r="B191" s="330" t="s">
        <v>3028</v>
      </c>
      <c r="C191" s="525">
        <v>42851</v>
      </c>
      <c r="D191" s="198" t="s">
        <v>2108</v>
      </c>
      <c r="E191" s="53" t="s">
        <v>1396</v>
      </c>
      <c r="F191" s="198" t="s">
        <v>3795</v>
      </c>
      <c r="G191" s="3" t="s">
        <v>1321</v>
      </c>
      <c r="H191" s="53"/>
      <c r="I191" s="3"/>
      <c r="J191" s="4" t="s">
        <v>299</v>
      </c>
      <c r="K191" s="4" t="s">
        <v>373</v>
      </c>
      <c r="L191" s="4" t="s">
        <v>2109</v>
      </c>
      <c r="M191" s="43"/>
      <c r="N191" s="255">
        <v>2800</v>
      </c>
      <c r="O191" s="265">
        <v>100</v>
      </c>
      <c r="P191" s="270">
        <v>-1</v>
      </c>
      <c r="Q191" s="255">
        <v>2800</v>
      </c>
      <c r="R191" s="283">
        <v>-2800</v>
      </c>
      <c r="S191" s="283">
        <v>-2800</v>
      </c>
      <c r="T191" s="287">
        <v>0</v>
      </c>
      <c r="U191" s="287">
        <v>0</v>
      </c>
      <c r="V191" s="287">
        <v>0</v>
      </c>
      <c r="W191" s="283">
        <v>2800</v>
      </c>
      <c r="X191" s="283">
        <v>0</v>
      </c>
      <c r="Y191" s="199" t="s">
        <v>1392</v>
      </c>
      <c r="Z191" s="517" t="s">
        <v>5533</v>
      </c>
      <c r="AA191" s="493"/>
      <c r="AB191" s="507"/>
    </row>
    <row r="192" spans="2:28" x14ac:dyDescent="0.15">
      <c r="B192" s="330" t="s">
        <v>3029</v>
      </c>
      <c r="C192" s="525">
        <v>42852</v>
      </c>
      <c r="D192" s="198" t="s">
        <v>1961</v>
      </c>
      <c r="E192" s="53" t="s">
        <v>1396</v>
      </c>
      <c r="F192" s="198" t="s">
        <v>3800</v>
      </c>
      <c r="G192" s="3" t="s">
        <v>50</v>
      </c>
      <c r="H192" s="53" t="s">
        <v>380</v>
      </c>
      <c r="I192" s="3" t="s">
        <v>1976</v>
      </c>
      <c r="J192" s="3" t="s">
        <v>271</v>
      </c>
      <c r="K192" s="3" t="s">
        <v>1160</v>
      </c>
      <c r="L192" s="3" t="s">
        <v>1977</v>
      </c>
      <c r="M192" s="53" t="s">
        <v>1978</v>
      </c>
      <c r="N192" s="258">
        <v>352000</v>
      </c>
      <c r="O192" s="266">
        <v>60</v>
      </c>
      <c r="P192" s="272">
        <v>1</v>
      </c>
      <c r="Q192" s="258">
        <v>211200</v>
      </c>
      <c r="R192" s="286">
        <v>211200</v>
      </c>
      <c r="S192" s="286">
        <v>40876</v>
      </c>
      <c r="T192" s="288">
        <v>0</v>
      </c>
      <c r="U192" s="288">
        <v>1</v>
      </c>
      <c r="V192" s="288">
        <v>0</v>
      </c>
      <c r="W192" s="286">
        <v>21120</v>
      </c>
      <c r="X192" s="286">
        <v>0</v>
      </c>
      <c r="Y192" s="200" t="s">
        <v>1392</v>
      </c>
      <c r="Z192" s="517" t="s">
        <v>5166</v>
      </c>
      <c r="AA192" s="499" t="s">
        <v>1485</v>
      </c>
      <c r="AB192" s="508"/>
    </row>
    <row r="193" spans="2:28" x14ac:dyDescent="0.15">
      <c r="B193" s="330" t="s">
        <v>3030</v>
      </c>
      <c r="C193" s="525">
        <v>42852</v>
      </c>
      <c r="D193" s="198" t="s">
        <v>1970</v>
      </c>
      <c r="E193" s="53" t="s">
        <v>1391</v>
      </c>
      <c r="F193" s="198" t="s">
        <v>3797</v>
      </c>
      <c r="G193" s="3" t="s">
        <v>362</v>
      </c>
      <c r="H193" s="53" t="s">
        <v>692</v>
      </c>
      <c r="I193" s="3" t="s">
        <v>1397</v>
      </c>
      <c r="J193" s="3" t="s">
        <v>270</v>
      </c>
      <c r="K193" s="3" t="s">
        <v>539</v>
      </c>
      <c r="L193" s="3" t="s">
        <v>1979</v>
      </c>
      <c r="M193" s="53" t="s">
        <v>1980</v>
      </c>
      <c r="N193" s="258">
        <v>326000</v>
      </c>
      <c r="O193" s="266">
        <v>55</v>
      </c>
      <c r="P193" s="272">
        <v>1</v>
      </c>
      <c r="Q193" s="258">
        <v>179300</v>
      </c>
      <c r="R193" s="286">
        <v>179300</v>
      </c>
      <c r="S193" s="286">
        <v>58049</v>
      </c>
      <c r="T193" s="288">
        <v>1</v>
      </c>
      <c r="U193" s="288">
        <v>0</v>
      </c>
      <c r="V193" s="288">
        <v>0</v>
      </c>
      <c r="W193" s="286">
        <v>0</v>
      </c>
      <c r="X193" s="286">
        <v>0</v>
      </c>
      <c r="Y193" s="200" t="s">
        <v>1395</v>
      </c>
      <c r="Z193" s="517" t="s">
        <v>5166</v>
      </c>
      <c r="AA193" s="499" t="s">
        <v>1485</v>
      </c>
      <c r="AB193" s="508"/>
    </row>
    <row r="194" spans="2:28" x14ac:dyDescent="0.15">
      <c r="B194" s="330" t="s">
        <v>3031</v>
      </c>
      <c r="C194" s="525">
        <v>42852</v>
      </c>
      <c r="D194" s="198" t="s">
        <v>1971</v>
      </c>
      <c r="E194" s="53" t="s">
        <v>1391</v>
      </c>
      <c r="F194" s="198" t="s">
        <v>3797</v>
      </c>
      <c r="G194" s="3" t="s">
        <v>362</v>
      </c>
      <c r="H194" s="53" t="s">
        <v>692</v>
      </c>
      <c r="I194" s="3" t="s">
        <v>1397</v>
      </c>
      <c r="J194" s="3" t="s">
        <v>273</v>
      </c>
      <c r="K194" s="3" t="s">
        <v>1161</v>
      </c>
      <c r="L194" s="3" t="s">
        <v>1524</v>
      </c>
      <c r="M194" s="53" t="s">
        <v>1525</v>
      </c>
      <c r="N194" s="258">
        <v>313000</v>
      </c>
      <c r="O194" s="266">
        <v>58.5</v>
      </c>
      <c r="P194" s="272">
        <v>-1</v>
      </c>
      <c r="Q194" s="258">
        <v>183105</v>
      </c>
      <c r="R194" s="286">
        <v>-183105</v>
      </c>
      <c r="S194" s="286">
        <v>-59491</v>
      </c>
      <c r="T194" s="288">
        <v>-1</v>
      </c>
      <c r="U194" s="288">
        <v>0</v>
      </c>
      <c r="V194" s="288">
        <v>0</v>
      </c>
      <c r="W194" s="286">
        <v>0</v>
      </c>
      <c r="X194" s="286">
        <v>0</v>
      </c>
      <c r="Y194" s="200" t="s">
        <v>1395</v>
      </c>
      <c r="Z194" s="517" t="s">
        <v>5166</v>
      </c>
      <c r="AA194" s="499" t="s">
        <v>1485</v>
      </c>
      <c r="AB194" s="508"/>
    </row>
    <row r="195" spans="2:28" x14ac:dyDescent="0.15">
      <c r="B195" s="330" t="s">
        <v>3032</v>
      </c>
      <c r="C195" s="525">
        <v>42852</v>
      </c>
      <c r="D195" s="198" t="s">
        <v>1981</v>
      </c>
      <c r="E195" s="53" t="s">
        <v>1391</v>
      </c>
      <c r="F195" s="198" t="s">
        <v>3797</v>
      </c>
      <c r="G195" s="3" t="s">
        <v>362</v>
      </c>
      <c r="H195" s="53" t="s">
        <v>692</v>
      </c>
      <c r="I195" s="3" t="s">
        <v>1397</v>
      </c>
      <c r="J195" s="3" t="s">
        <v>273</v>
      </c>
      <c r="K195" s="3" t="s">
        <v>1161</v>
      </c>
      <c r="L195" s="3" t="s">
        <v>1524</v>
      </c>
      <c r="M195" s="53" t="s">
        <v>1525</v>
      </c>
      <c r="N195" s="258">
        <v>313000</v>
      </c>
      <c r="O195" s="266">
        <v>50</v>
      </c>
      <c r="P195" s="272">
        <v>1</v>
      </c>
      <c r="Q195" s="258">
        <v>156500</v>
      </c>
      <c r="R195" s="286">
        <v>156500</v>
      </c>
      <c r="S195" s="286">
        <v>32886</v>
      </c>
      <c r="T195" s="288">
        <v>1</v>
      </c>
      <c r="U195" s="288">
        <v>0</v>
      </c>
      <c r="V195" s="288">
        <v>0</v>
      </c>
      <c r="W195" s="286">
        <v>0</v>
      </c>
      <c r="X195" s="286">
        <v>0</v>
      </c>
      <c r="Y195" s="200" t="s">
        <v>1395</v>
      </c>
      <c r="Z195" s="517" t="s">
        <v>5532</v>
      </c>
      <c r="AA195" s="499" t="s">
        <v>1485</v>
      </c>
      <c r="AB195" s="508"/>
    </row>
    <row r="196" spans="2:28" x14ac:dyDescent="0.15">
      <c r="B196" s="330" t="s">
        <v>3033</v>
      </c>
      <c r="C196" s="525">
        <v>42856</v>
      </c>
      <c r="D196" s="198" t="s">
        <v>1912</v>
      </c>
      <c r="E196" s="53" t="s">
        <v>1391</v>
      </c>
      <c r="F196" s="198" t="s">
        <v>3798</v>
      </c>
      <c r="G196" s="3" t="s">
        <v>370</v>
      </c>
      <c r="H196" s="53" t="s">
        <v>1491</v>
      </c>
      <c r="I196" s="3" t="s">
        <v>1492</v>
      </c>
      <c r="J196" s="4" t="s">
        <v>272</v>
      </c>
      <c r="K196" s="4" t="s">
        <v>363</v>
      </c>
      <c r="L196" s="4" t="s">
        <v>1913</v>
      </c>
      <c r="M196" s="43" t="s">
        <v>1914</v>
      </c>
      <c r="N196" s="255">
        <v>219000</v>
      </c>
      <c r="O196" s="265">
        <v>100</v>
      </c>
      <c r="P196" s="270">
        <v>1</v>
      </c>
      <c r="Q196" s="255">
        <v>219000</v>
      </c>
      <c r="R196" s="283">
        <v>219000</v>
      </c>
      <c r="S196" s="283">
        <v>56617</v>
      </c>
      <c r="T196" s="287">
        <v>0</v>
      </c>
      <c r="U196" s="287">
        <v>1</v>
      </c>
      <c r="V196" s="287">
        <v>0</v>
      </c>
      <c r="W196" s="283">
        <v>22998</v>
      </c>
      <c r="X196" s="283">
        <v>0</v>
      </c>
      <c r="Y196" s="199" t="s">
        <v>1392</v>
      </c>
      <c r="Z196" s="517" t="s">
        <v>5167</v>
      </c>
      <c r="AA196" s="493" t="s">
        <v>1485</v>
      </c>
      <c r="AB196" s="507"/>
    </row>
    <row r="197" spans="2:28" x14ac:dyDescent="0.15">
      <c r="B197" s="330" t="s">
        <v>3034</v>
      </c>
      <c r="C197" s="525">
        <v>42856</v>
      </c>
      <c r="D197" s="198" t="s">
        <v>1919</v>
      </c>
      <c r="E197" s="53" t="s">
        <v>1396</v>
      </c>
      <c r="F197" s="198" t="s">
        <v>3799</v>
      </c>
      <c r="G197" s="3" t="s">
        <v>1110</v>
      </c>
      <c r="H197" s="53" t="s">
        <v>801</v>
      </c>
      <c r="I197" s="3" t="s">
        <v>1920</v>
      </c>
      <c r="J197" s="4" t="s">
        <v>262</v>
      </c>
      <c r="K197" s="4" t="s">
        <v>365</v>
      </c>
      <c r="L197" s="4" t="s">
        <v>1921</v>
      </c>
      <c r="M197" s="43" t="s">
        <v>1922</v>
      </c>
      <c r="N197" s="255">
        <v>142800</v>
      </c>
      <c r="O197" s="265">
        <v>100</v>
      </c>
      <c r="P197" s="270">
        <v>1</v>
      </c>
      <c r="Q197" s="255">
        <v>142800</v>
      </c>
      <c r="R197" s="283">
        <v>142800</v>
      </c>
      <c r="S197" s="283">
        <v>34902</v>
      </c>
      <c r="T197" s="287">
        <v>0</v>
      </c>
      <c r="U197" s="287">
        <v>1</v>
      </c>
      <c r="V197" s="287">
        <v>0</v>
      </c>
      <c r="W197" s="283">
        <v>14280</v>
      </c>
      <c r="X197" s="283">
        <v>0</v>
      </c>
      <c r="Y197" s="199" t="s">
        <v>1392</v>
      </c>
      <c r="Z197" s="517" t="s">
        <v>5449</v>
      </c>
      <c r="AA197" s="493" t="s">
        <v>1485</v>
      </c>
      <c r="AB197" s="507"/>
    </row>
    <row r="198" spans="2:28" x14ac:dyDescent="0.15">
      <c r="B198" s="330" t="s">
        <v>3035</v>
      </c>
      <c r="C198" s="525">
        <v>42856</v>
      </c>
      <c r="D198" s="198" t="s">
        <v>1925</v>
      </c>
      <c r="E198" s="53" t="s">
        <v>1396</v>
      </c>
      <c r="F198" s="198" t="s">
        <v>3799</v>
      </c>
      <c r="G198" s="3" t="s">
        <v>1110</v>
      </c>
      <c r="H198" s="53" t="s">
        <v>801</v>
      </c>
      <c r="I198" s="3" t="s">
        <v>1920</v>
      </c>
      <c r="J198" s="4" t="s">
        <v>268</v>
      </c>
      <c r="K198" s="4" t="s">
        <v>1158</v>
      </c>
      <c r="L198" s="4" t="s">
        <v>1926</v>
      </c>
      <c r="M198" s="43" t="s">
        <v>1927</v>
      </c>
      <c r="N198" s="255">
        <v>138000</v>
      </c>
      <c r="O198" s="265">
        <v>100</v>
      </c>
      <c r="P198" s="270">
        <v>1</v>
      </c>
      <c r="Q198" s="255">
        <v>138000</v>
      </c>
      <c r="R198" s="283">
        <v>138000</v>
      </c>
      <c r="S198" s="283">
        <v>30192</v>
      </c>
      <c r="T198" s="287">
        <v>0</v>
      </c>
      <c r="U198" s="287">
        <v>1</v>
      </c>
      <c r="V198" s="287">
        <v>0</v>
      </c>
      <c r="W198" s="283">
        <v>13800</v>
      </c>
      <c r="X198" s="283">
        <v>0</v>
      </c>
      <c r="Y198" s="199" t="s">
        <v>1392</v>
      </c>
      <c r="Z198" s="517" t="s">
        <v>5449</v>
      </c>
      <c r="AA198" s="493" t="s">
        <v>1485</v>
      </c>
      <c r="AB198" s="507"/>
    </row>
    <row r="199" spans="2:28" x14ac:dyDescent="0.15">
      <c r="B199" s="330" t="s">
        <v>3036</v>
      </c>
      <c r="C199" s="525">
        <v>42856</v>
      </c>
      <c r="D199" s="198" t="s">
        <v>1941</v>
      </c>
      <c r="E199" s="53" t="s">
        <v>1391</v>
      </c>
      <c r="F199" s="198" t="s">
        <v>3813</v>
      </c>
      <c r="G199" s="3" t="s">
        <v>366</v>
      </c>
      <c r="H199" s="53" t="s">
        <v>1137</v>
      </c>
      <c r="I199" s="3" t="s">
        <v>1420</v>
      </c>
      <c r="J199" s="4" t="s">
        <v>271</v>
      </c>
      <c r="K199" s="4" t="s">
        <v>1160</v>
      </c>
      <c r="L199" s="4" t="s">
        <v>1945</v>
      </c>
      <c r="M199" s="43" t="s">
        <v>1946</v>
      </c>
      <c r="N199" s="255">
        <v>348000</v>
      </c>
      <c r="O199" s="265">
        <v>55</v>
      </c>
      <c r="P199" s="270">
        <v>1</v>
      </c>
      <c r="Q199" s="255">
        <v>191400</v>
      </c>
      <c r="R199" s="283">
        <v>191400</v>
      </c>
      <c r="S199" s="283">
        <v>44226</v>
      </c>
      <c r="T199" s="287">
        <v>0</v>
      </c>
      <c r="U199" s="287">
        <v>1</v>
      </c>
      <c r="V199" s="287">
        <v>0</v>
      </c>
      <c r="W199" s="283">
        <v>15660</v>
      </c>
      <c r="X199" s="283">
        <v>0</v>
      </c>
      <c r="Y199" s="199" t="s">
        <v>1392</v>
      </c>
      <c r="Z199" s="517" t="s">
        <v>5167</v>
      </c>
      <c r="AA199" s="493"/>
      <c r="AB199" s="507"/>
    </row>
    <row r="200" spans="2:28" x14ac:dyDescent="0.15">
      <c r="B200" s="330" t="s">
        <v>3037</v>
      </c>
      <c r="C200" s="525">
        <v>42856</v>
      </c>
      <c r="D200" s="198" t="s">
        <v>1947</v>
      </c>
      <c r="E200" s="53" t="s">
        <v>1391</v>
      </c>
      <c r="F200" s="198" t="s">
        <v>3813</v>
      </c>
      <c r="G200" s="3" t="s">
        <v>366</v>
      </c>
      <c r="H200" s="53" t="s">
        <v>1137</v>
      </c>
      <c r="I200" s="3" t="s">
        <v>1420</v>
      </c>
      <c r="J200" s="4" t="s">
        <v>271</v>
      </c>
      <c r="K200" s="4" t="s">
        <v>1160</v>
      </c>
      <c r="L200" s="4" t="s">
        <v>1503</v>
      </c>
      <c r="M200" s="43" t="s">
        <v>1900</v>
      </c>
      <c r="N200" s="255">
        <v>222300</v>
      </c>
      <c r="O200" s="265">
        <v>100</v>
      </c>
      <c r="P200" s="270">
        <v>1</v>
      </c>
      <c r="Q200" s="255">
        <v>222300</v>
      </c>
      <c r="R200" s="283">
        <v>222300</v>
      </c>
      <c r="S200" s="283">
        <v>54196</v>
      </c>
      <c r="T200" s="287">
        <v>0</v>
      </c>
      <c r="U200" s="287">
        <v>1</v>
      </c>
      <c r="V200" s="287">
        <v>0</v>
      </c>
      <c r="W200" s="283">
        <v>19890</v>
      </c>
      <c r="X200" s="283">
        <v>0</v>
      </c>
      <c r="Y200" s="199" t="s">
        <v>1392</v>
      </c>
      <c r="Z200" s="517" t="s">
        <v>5540</v>
      </c>
      <c r="AA200" s="493"/>
      <c r="AB200" s="507"/>
    </row>
    <row r="201" spans="2:28" x14ac:dyDescent="0.15">
      <c r="B201" s="330" t="s">
        <v>3038</v>
      </c>
      <c r="C201" s="525">
        <v>42856</v>
      </c>
      <c r="D201" s="198" t="s">
        <v>1957</v>
      </c>
      <c r="E201" s="53" t="s">
        <v>1391</v>
      </c>
      <c r="F201" s="198" t="s">
        <v>3813</v>
      </c>
      <c r="G201" s="3" t="s">
        <v>366</v>
      </c>
      <c r="H201" s="53" t="s">
        <v>1137</v>
      </c>
      <c r="I201" s="3" t="s">
        <v>1420</v>
      </c>
      <c r="J201" s="4" t="s">
        <v>270</v>
      </c>
      <c r="K201" s="4" t="s">
        <v>539</v>
      </c>
      <c r="L201" s="4" t="s">
        <v>1962</v>
      </c>
      <c r="M201" s="43" t="s">
        <v>1966</v>
      </c>
      <c r="N201" s="255">
        <v>163000</v>
      </c>
      <c r="O201" s="265">
        <v>100</v>
      </c>
      <c r="P201" s="270">
        <v>1</v>
      </c>
      <c r="Q201" s="255">
        <v>163000</v>
      </c>
      <c r="R201" s="283">
        <v>163000</v>
      </c>
      <c r="S201" s="283">
        <v>28619</v>
      </c>
      <c r="T201" s="287">
        <v>0</v>
      </c>
      <c r="U201" s="287">
        <v>1</v>
      </c>
      <c r="V201" s="287">
        <v>0</v>
      </c>
      <c r="W201" s="283">
        <v>16300</v>
      </c>
      <c r="X201" s="283">
        <v>0</v>
      </c>
      <c r="Y201" s="199" t="s">
        <v>1392</v>
      </c>
      <c r="Z201" s="517" t="s">
        <v>5535</v>
      </c>
      <c r="AA201" s="493" t="s">
        <v>1485</v>
      </c>
      <c r="AB201" s="507"/>
    </row>
    <row r="202" spans="2:28" x14ac:dyDescent="0.15">
      <c r="B202" s="330" t="s">
        <v>3039</v>
      </c>
      <c r="C202" s="525">
        <v>42856</v>
      </c>
      <c r="D202" s="198" t="s">
        <v>1989</v>
      </c>
      <c r="E202" s="53" t="s">
        <v>1396</v>
      </c>
      <c r="F202" s="198" t="s">
        <v>3814</v>
      </c>
      <c r="G202" s="3" t="s">
        <v>1994</v>
      </c>
      <c r="H202" s="53"/>
      <c r="I202" s="3"/>
      <c r="J202" s="4" t="s">
        <v>1402</v>
      </c>
      <c r="K202" s="4" t="s">
        <v>1403</v>
      </c>
      <c r="L202" s="190" t="s">
        <v>1996</v>
      </c>
      <c r="M202" s="43" t="s">
        <v>1995</v>
      </c>
      <c r="N202" s="255">
        <v>305500</v>
      </c>
      <c r="O202" s="265">
        <v>100</v>
      </c>
      <c r="P202" s="270">
        <v>1</v>
      </c>
      <c r="Q202" s="255">
        <v>305500</v>
      </c>
      <c r="R202" s="283">
        <v>305500</v>
      </c>
      <c r="S202" s="283">
        <v>103642</v>
      </c>
      <c r="T202" s="287">
        <v>0</v>
      </c>
      <c r="U202" s="287">
        <v>1</v>
      </c>
      <c r="V202" s="287">
        <v>0</v>
      </c>
      <c r="W202" s="283">
        <v>35270</v>
      </c>
      <c r="X202" s="283">
        <v>0</v>
      </c>
      <c r="Y202" s="199" t="s">
        <v>1392</v>
      </c>
      <c r="Z202" s="517" t="s">
        <v>5537</v>
      </c>
      <c r="AA202" s="493" t="s">
        <v>1485</v>
      </c>
      <c r="AB202" s="507"/>
    </row>
    <row r="203" spans="2:28" x14ac:dyDescent="0.15">
      <c r="B203" s="330" t="s">
        <v>3040</v>
      </c>
      <c r="C203" s="525">
        <v>42856</v>
      </c>
      <c r="D203" s="198" t="s">
        <v>1991</v>
      </c>
      <c r="E203" s="53" t="s">
        <v>1391</v>
      </c>
      <c r="F203" s="198" t="s">
        <v>3794</v>
      </c>
      <c r="G203" s="3" t="s">
        <v>364</v>
      </c>
      <c r="H203" s="53" t="s">
        <v>444</v>
      </c>
      <c r="I203" s="3" t="s">
        <v>1440</v>
      </c>
      <c r="J203" s="4" t="s">
        <v>1402</v>
      </c>
      <c r="K203" s="4" t="s">
        <v>1403</v>
      </c>
      <c r="L203" s="4" t="s">
        <v>1992</v>
      </c>
      <c r="M203" s="43" t="s">
        <v>1993</v>
      </c>
      <c r="N203" s="255">
        <v>300000</v>
      </c>
      <c r="O203" s="265">
        <v>60</v>
      </c>
      <c r="P203" s="270">
        <v>1</v>
      </c>
      <c r="Q203" s="255">
        <v>180000</v>
      </c>
      <c r="R203" s="283">
        <v>180000</v>
      </c>
      <c r="S203" s="283">
        <v>42863</v>
      </c>
      <c r="T203" s="287">
        <v>0</v>
      </c>
      <c r="U203" s="287">
        <v>1</v>
      </c>
      <c r="V203" s="287">
        <v>0</v>
      </c>
      <c r="W203" s="283">
        <v>18000</v>
      </c>
      <c r="X203" s="283">
        <v>0</v>
      </c>
      <c r="Y203" s="199" t="s">
        <v>1392</v>
      </c>
      <c r="Z203" s="517" t="s">
        <v>5166</v>
      </c>
      <c r="AA203" s="493" t="s">
        <v>1485</v>
      </c>
      <c r="AB203" s="507"/>
    </row>
    <row r="204" spans="2:28" x14ac:dyDescent="0.15">
      <c r="B204" s="330" t="s">
        <v>3041</v>
      </c>
      <c r="C204" s="525">
        <v>42856</v>
      </c>
      <c r="D204" s="198" t="s">
        <v>1991</v>
      </c>
      <c r="E204" s="53" t="s">
        <v>1391</v>
      </c>
      <c r="F204" s="198" t="s">
        <v>3798</v>
      </c>
      <c r="G204" s="3" t="s">
        <v>370</v>
      </c>
      <c r="H204" s="53" t="s">
        <v>1491</v>
      </c>
      <c r="I204" s="3" t="s">
        <v>1492</v>
      </c>
      <c r="J204" s="4" t="s">
        <v>270</v>
      </c>
      <c r="K204" s="4" t="s">
        <v>539</v>
      </c>
      <c r="L204" s="4" t="s">
        <v>1997</v>
      </c>
      <c r="M204" s="43" t="s">
        <v>1998</v>
      </c>
      <c r="N204" s="255">
        <v>160800</v>
      </c>
      <c r="O204" s="265">
        <v>100</v>
      </c>
      <c r="P204" s="270">
        <v>1</v>
      </c>
      <c r="Q204" s="255">
        <v>160800</v>
      </c>
      <c r="R204" s="283">
        <v>160800</v>
      </c>
      <c r="S204" s="283">
        <v>26919</v>
      </c>
      <c r="T204" s="287">
        <v>0</v>
      </c>
      <c r="U204" s="287">
        <v>1</v>
      </c>
      <c r="V204" s="287">
        <v>0</v>
      </c>
      <c r="W204" s="283">
        <v>16080</v>
      </c>
      <c r="X204" s="283">
        <v>0</v>
      </c>
      <c r="Y204" s="199" t="s">
        <v>1392</v>
      </c>
      <c r="Z204" s="517" t="s">
        <v>5167</v>
      </c>
      <c r="AA204" s="493" t="s">
        <v>1485</v>
      </c>
      <c r="AB204" s="507"/>
    </row>
    <row r="205" spans="2:28" x14ac:dyDescent="0.15">
      <c r="B205" s="330" t="s">
        <v>3042</v>
      </c>
      <c r="C205" s="525">
        <v>42856</v>
      </c>
      <c r="D205" s="198" t="s">
        <v>1999</v>
      </c>
      <c r="E205" s="53" t="s">
        <v>1396</v>
      </c>
      <c r="F205" s="198" t="s">
        <v>3800</v>
      </c>
      <c r="G205" s="3" t="s">
        <v>50</v>
      </c>
      <c r="H205" s="53" t="s">
        <v>381</v>
      </c>
      <c r="I205" s="3" t="s">
        <v>1408</v>
      </c>
      <c r="J205" s="3" t="s">
        <v>272</v>
      </c>
      <c r="K205" s="3" t="s">
        <v>363</v>
      </c>
      <c r="L205" s="3" t="s">
        <v>2000</v>
      </c>
      <c r="M205" s="53" t="s">
        <v>2001</v>
      </c>
      <c r="N205" s="255">
        <v>168000</v>
      </c>
      <c r="O205" s="265">
        <v>100</v>
      </c>
      <c r="P205" s="270">
        <v>1</v>
      </c>
      <c r="Q205" s="255">
        <v>168000</v>
      </c>
      <c r="R205" s="283">
        <v>168000</v>
      </c>
      <c r="S205" s="283">
        <v>44046</v>
      </c>
      <c r="T205" s="287">
        <v>0</v>
      </c>
      <c r="U205" s="287">
        <v>1</v>
      </c>
      <c r="V205" s="287">
        <v>0</v>
      </c>
      <c r="W205" s="283">
        <v>16800</v>
      </c>
      <c r="X205" s="283">
        <v>0</v>
      </c>
      <c r="Y205" s="199" t="s">
        <v>1392</v>
      </c>
      <c r="Z205" s="517" t="s">
        <v>5166</v>
      </c>
      <c r="AA205" s="493" t="s">
        <v>1485</v>
      </c>
      <c r="AB205" s="507"/>
    </row>
    <row r="206" spans="2:28" x14ac:dyDescent="0.15">
      <c r="B206" s="330" t="s">
        <v>3043</v>
      </c>
      <c r="C206" s="525">
        <v>42856</v>
      </c>
      <c r="D206" s="198" t="s">
        <v>2002</v>
      </c>
      <c r="E206" s="53" t="s">
        <v>1396</v>
      </c>
      <c r="F206" s="198" t="s">
        <v>3799</v>
      </c>
      <c r="G206" s="3" t="s">
        <v>1110</v>
      </c>
      <c r="H206" s="53" t="s">
        <v>802</v>
      </c>
      <c r="I206" s="3" t="s">
        <v>1417</v>
      </c>
      <c r="J206" s="4" t="s">
        <v>262</v>
      </c>
      <c r="K206" s="4" t="s">
        <v>365</v>
      </c>
      <c r="L206" s="4" t="s">
        <v>2003</v>
      </c>
      <c r="M206" s="43" t="s">
        <v>2004</v>
      </c>
      <c r="N206" s="255">
        <v>142800</v>
      </c>
      <c r="O206" s="265">
        <v>100</v>
      </c>
      <c r="P206" s="270">
        <v>1</v>
      </c>
      <c r="Q206" s="255">
        <v>142800</v>
      </c>
      <c r="R206" s="283">
        <v>142800</v>
      </c>
      <c r="S206" s="283">
        <v>34902</v>
      </c>
      <c r="T206" s="287">
        <v>0</v>
      </c>
      <c r="U206" s="287">
        <v>1</v>
      </c>
      <c r="V206" s="287">
        <v>0</v>
      </c>
      <c r="W206" s="283">
        <v>14280</v>
      </c>
      <c r="X206" s="283">
        <v>0</v>
      </c>
      <c r="Y206" s="199" t="s">
        <v>1392</v>
      </c>
      <c r="Z206" s="517" t="s">
        <v>5167</v>
      </c>
      <c r="AA206" s="493" t="s">
        <v>1485</v>
      </c>
      <c r="AB206" s="507"/>
    </row>
    <row r="207" spans="2:28" x14ac:dyDescent="0.15">
      <c r="B207" s="330" t="s">
        <v>3044</v>
      </c>
      <c r="C207" s="525">
        <v>42856</v>
      </c>
      <c r="D207" s="198" t="s">
        <v>2005</v>
      </c>
      <c r="E207" s="53" t="s">
        <v>1396</v>
      </c>
      <c r="F207" s="198" t="s">
        <v>3799</v>
      </c>
      <c r="G207" s="3" t="s">
        <v>1110</v>
      </c>
      <c r="H207" s="53" t="s">
        <v>802</v>
      </c>
      <c r="I207" s="3" t="s">
        <v>1417</v>
      </c>
      <c r="J207" s="4" t="s">
        <v>271</v>
      </c>
      <c r="K207" s="4" t="s">
        <v>1160</v>
      </c>
      <c r="L207" s="4" t="s">
        <v>1951</v>
      </c>
      <c r="M207" s="191" t="s">
        <v>2006</v>
      </c>
      <c r="N207" s="255">
        <v>183600</v>
      </c>
      <c r="O207" s="265">
        <v>100</v>
      </c>
      <c r="P207" s="270">
        <v>1</v>
      </c>
      <c r="Q207" s="255">
        <v>183600</v>
      </c>
      <c r="R207" s="283">
        <v>183600</v>
      </c>
      <c r="S207" s="283">
        <v>40411</v>
      </c>
      <c r="T207" s="287">
        <v>0</v>
      </c>
      <c r="U207" s="287">
        <v>1</v>
      </c>
      <c r="V207" s="287">
        <v>0</v>
      </c>
      <c r="W207" s="283">
        <v>18360</v>
      </c>
      <c r="X207" s="283">
        <v>0</v>
      </c>
      <c r="Y207" s="199" t="s">
        <v>1392</v>
      </c>
      <c r="Z207" s="517" t="s">
        <v>5167</v>
      </c>
      <c r="AA207" s="493" t="s">
        <v>1485</v>
      </c>
      <c r="AB207" s="507"/>
    </row>
    <row r="208" spans="2:28" x14ac:dyDescent="0.15">
      <c r="B208" s="330" t="s">
        <v>3045</v>
      </c>
      <c r="C208" s="525">
        <v>42856</v>
      </c>
      <c r="D208" s="198" t="s">
        <v>2007</v>
      </c>
      <c r="E208" s="53" t="s">
        <v>1396</v>
      </c>
      <c r="F208" s="198" t="s">
        <v>3800</v>
      </c>
      <c r="G208" s="3" t="s">
        <v>50</v>
      </c>
      <c r="H208" s="53" t="s">
        <v>380</v>
      </c>
      <c r="I208" s="3" t="s">
        <v>1976</v>
      </c>
      <c r="J208" s="4" t="s">
        <v>271</v>
      </c>
      <c r="K208" s="4" t="s">
        <v>1160</v>
      </c>
      <c r="L208" s="4" t="s">
        <v>1951</v>
      </c>
      <c r="M208" s="43" t="s">
        <v>2008</v>
      </c>
      <c r="N208" s="255">
        <v>213000</v>
      </c>
      <c r="O208" s="265">
        <v>100</v>
      </c>
      <c r="P208" s="270">
        <v>1</v>
      </c>
      <c r="Q208" s="255">
        <v>213000</v>
      </c>
      <c r="R208" s="283">
        <v>213000</v>
      </c>
      <c r="S208" s="283">
        <v>63594</v>
      </c>
      <c r="T208" s="287">
        <v>0</v>
      </c>
      <c r="U208" s="287">
        <v>1</v>
      </c>
      <c r="V208" s="287">
        <v>0</v>
      </c>
      <c r="W208" s="283">
        <v>24576</v>
      </c>
      <c r="X208" s="283">
        <v>0</v>
      </c>
      <c r="Y208" s="199" t="s">
        <v>1392</v>
      </c>
      <c r="Z208" s="517" t="s">
        <v>5166</v>
      </c>
      <c r="AA208" s="493" t="s">
        <v>1485</v>
      </c>
      <c r="AB208" s="507"/>
    </row>
    <row r="209" spans="2:28" x14ac:dyDescent="0.15">
      <c r="B209" s="330" t="s">
        <v>3046</v>
      </c>
      <c r="C209" s="525">
        <v>42856</v>
      </c>
      <c r="D209" s="198" t="s">
        <v>2009</v>
      </c>
      <c r="E209" s="53" t="s">
        <v>1396</v>
      </c>
      <c r="F209" s="198" t="s">
        <v>3811</v>
      </c>
      <c r="G209" s="3" t="s">
        <v>372</v>
      </c>
      <c r="H209" s="53"/>
      <c r="I209" s="3"/>
      <c r="J209" s="4" t="s">
        <v>1402</v>
      </c>
      <c r="K209" s="4" t="s">
        <v>1403</v>
      </c>
      <c r="L209" s="4" t="s">
        <v>2010</v>
      </c>
      <c r="M209" s="43" t="s">
        <v>2011</v>
      </c>
      <c r="N209" s="255">
        <v>322000</v>
      </c>
      <c r="O209" s="265">
        <v>60</v>
      </c>
      <c r="P209" s="270">
        <v>1</v>
      </c>
      <c r="Q209" s="255">
        <v>193200</v>
      </c>
      <c r="R209" s="283">
        <v>193200</v>
      </c>
      <c r="S209" s="283">
        <v>67482</v>
      </c>
      <c r="T209" s="287">
        <v>1</v>
      </c>
      <c r="U209" s="287">
        <v>0</v>
      </c>
      <c r="V209" s="287">
        <v>0</v>
      </c>
      <c r="W209" s="283">
        <v>0</v>
      </c>
      <c r="X209" s="283">
        <v>0</v>
      </c>
      <c r="Y209" s="199" t="s">
        <v>1395</v>
      </c>
      <c r="Z209" s="517" t="s">
        <v>5544</v>
      </c>
      <c r="AA209" s="493" t="s">
        <v>1485</v>
      </c>
      <c r="AB209" s="507"/>
    </row>
    <row r="210" spans="2:28" x14ac:dyDescent="0.15">
      <c r="B210" s="330" t="s">
        <v>3047</v>
      </c>
      <c r="C210" s="525">
        <v>42865</v>
      </c>
      <c r="D210" s="198" t="s">
        <v>1987</v>
      </c>
      <c r="E210" s="53" t="s">
        <v>1391</v>
      </c>
      <c r="F210" s="198" t="s">
        <v>3797</v>
      </c>
      <c r="G210" s="3" t="s">
        <v>362</v>
      </c>
      <c r="H210" s="53" t="s">
        <v>689</v>
      </c>
      <c r="I210" s="3" t="s">
        <v>1394</v>
      </c>
      <c r="J210" s="4" t="s">
        <v>292</v>
      </c>
      <c r="K210" s="4" t="s">
        <v>1163</v>
      </c>
      <c r="L210" s="4" t="s">
        <v>1830</v>
      </c>
      <c r="M210" s="43" t="s">
        <v>2012</v>
      </c>
      <c r="N210" s="255">
        <v>380000</v>
      </c>
      <c r="O210" s="265">
        <v>55</v>
      </c>
      <c r="P210" s="270">
        <v>1</v>
      </c>
      <c r="Q210" s="255">
        <v>209000</v>
      </c>
      <c r="R210" s="283">
        <v>209000</v>
      </c>
      <c r="S210" s="283">
        <v>64276</v>
      </c>
      <c r="T210" s="287">
        <v>1</v>
      </c>
      <c r="U210" s="287">
        <v>0</v>
      </c>
      <c r="V210" s="287">
        <v>0</v>
      </c>
      <c r="W210" s="283">
        <v>0</v>
      </c>
      <c r="X210" s="283">
        <v>0</v>
      </c>
      <c r="Y210" s="199" t="s">
        <v>1395</v>
      </c>
      <c r="Z210" s="517" t="s">
        <v>5543</v>
      </c>
      <c r="AA210" s="493" t="s">
        <v>1485</v>
      </c>
      <c r="AB210" s="507"/>
    </row>
    <row r="211" spans="2:28" x14ac:dyDescent="0.15">
      <c r="B211" s="330" t="s">
        <v>3048</v>
      </c>
      <c r="C211" s="525">
        <v>42866</v>
      </c>
      <c r="D211" s="198" t="s">
        <v>1989</v>
      </c>
      <c r="E211" s="53" t="s">
        <v>1396</v>
      </c>
      <c r="F211" s="198" t="s">
        <v>3793</v>
      </c>
      <c r="G211" s="3" t="s">
        <v>1111</v>
      </c>
      <c r="H211" s="53" t="s">
        <v>1425</v>
      </c>
      <c r="I211" s="3" t="s">
        <v>1426</v>
      </c>
      <c r="J211" s="4" t="s">
        <v>297</v>
      </c>
      <c r="K211" s="4" t="s">
        <v>369</v>
      </c>
      <c r="L211" s="4" t="s">
        <v>2013</v>
      </c>
      <c r="M211" s="43"/>
      <c r="N211" s="255">
        <v>100</v>
      </c>
      <c r="O211" s="265">
        <v>50</v>
      </c>
      <c r="P211" s="270">
        <v>100</v>
      </c>
      <c r="Q211" s="255">
        <v>50</v>
      </c>
      <c r="R211" s="283">
        <v>5000</v>
      </c>
      <c r="S211" s="283">
        <v>2050</v>
      </c>
      <c r="T211" s="287">
        <v>0</v>
      </c>
      <c r="U211" s="287">
        <v>0</v>
      </c>
      <c r="V211" s="287">
        <v>0</v>
      </c>
      <c r="W211" s="283">
        <v>750</v>
      </c>
      <c r="X211" s="283">
        <v>0</v>
      </c>
      <c r="Y211" s="199" t="s">
        <v>1392</v>
      </c>
      <c r="Z211" s="517" t="s">
        <v>5166</v>
      </c>
      <c r="AA211" s="493" t="s">
        <v>1485</v>
      </c>
      <c r="AB211" s="507"/>
    </row>
    <row r="212" spans="2:28" x14ac:dyDescent="0.15">
      <c r="B212" s="330" t="s">
        <v>3049</v>
      </c>
      <c r="C212" s="525">
        <v>42866</v>
      </c>
      <c r="D212" s="198" t="s">
        <v>1989</v>
      </c>
      <c r="E212" s="53" t="s">
        <v>1396</v>
      </c>
      <c r="F212" s="198" t="s">
        <v>3793</v>
      </c>
      <c r="G212" s="3" t="s">
        <v>1111</v>
      </c>
      <c r="H212" s="53" t="s">
        <v>1425</v>
      </c>
      <c r="I212" s="3" t="s">
        <v>1426</v>
      </c>
      <c r="J212" s="4" t="s">
        <v>297</v>
      </c>
      <c r="K212" s="4" t="s">
        <v>369</v>
      </c>
      <c r="L212" s="4" t="s">
        <v>2014</v>
      </c>
      <c r="M212" s="43"/>
      <c r="N212" s="255">
        <v>200</v>
      </c>
      <c r="O212" s="265">
        <v>50</v>
      </c>
      <c r="P212" s="270">
        <v>100</v>
      </c>
      <c r="Q212" s="255">
        <v>100</v>
      </c>
      <c r="R212" s="283">
        <v>10000</v>
      </c>
      <c r="S212" s="283">
        <v>5700</v>
      </c>
      <c r="T212" s="287">
        <v>0</v>
      </c>
      <c r="U212" s="287">
        <v>0</v>
      </c>
      <c r="V212" s="287">
        <v>0</v>
      </c>
      <c r="W212" s="283">
        <v>1500</v>
      </c>
      <c r="X212" s="283">
        <v>0</v>
      </c>
      <c r="Y212" s="199" t="s">
        <v>1392</v>
      </c>
      <c r="Z212" s="517" t="s">
        <v>5166</v>
      </c>
      <c r="AA212" s="493" t="s">
        <v>1485</v>
      </c>
      <c r="AB212" s="507"/>
    </row>
    <row r="213" spans="2:28" x14ac:dyDescent="0.15">
      <c r="B213" s="330" t="s">
        <v>3050</v>
      </c>
      <c r="C213" s="525">
        <v>42866</v>
      </c>
      <c r="D213" s="198" t="s">
        <v>1991</v>
      </c>
      <c r="E213" s="53" t="s">
        <v>1391</v>
      </c>
      <c r="F213" s="198" t="s">
        <v>3803</v>
      </c>
      <c r="G213" s="3" t="s">
        <v>371</v>
      </c>
      <c r="H213" s="53" t="s">
        <v>384</v>
      </c>
      <c r="I213" s="3" t="s">
        <v>1428</v>
      </c>
      <c r="J213" s="4" t="s">
        <v>298</v>
      </c>
      <c r="K213" s="4" t="s">
        <v>1168</v>
      </c>
      <c r="L213" s="4" t="s">
        <v>2015</v>
      </c>
      <c r="M213" s="43"/>
      <c r="N213" s="255">
        <v>44000</v>
      </c>
      <c r="O213" s="265">
        <v>65</v>
      </c>
      <c r="P213" s="270">
        <v>1</v>
      </c>
      <c r="Q213" s="255">
        <v>28600</v>
      </c>
      <c r="R213" s="283">
        <v>28600</v>
      </c>
      <c r="S213" s="283">
        <v>9340</v>
      </c>
      <c r="T213" s="287">
        <v>0</v>
      </c>
      <c r="U213" s="287">
        <v>0</v>
      </c>
      <c r="V213" s="287">
        <v>0</v>
      </c>
      <c r="W213" s="283">
        <v>3300</v>
      </c>
      <c r="X213" s="283">
        <v>0</v>
      </c>
      <c r="Y213" s="199" t="s">
        <v>1392</v>
      </c>
      <c r="Z213" s="517" t="s">
        <v>5166</v>
      </c>
      <c r="AA213" s="493" t="s">
        <v>1485</v>
      </c>
      <c r="AB213" s="507"/>
    </row>
    <row r="214" spans="2:28" x14ac:dyDescent="0.15">
      <c r="B214" s="330" t="s">
        <v>3051</v>
      </c>
      <c r="C214" s="525">
        <v>42866</v>
      </c>
      <c r="D214" s="198" t="s">
        <v>1999</v>
      </c>
      <c r="E214" s="53" t="s">
        <v>1391</v>
      </c>
      <c r="F214" s="198" t="s">
        <v>3794</v>
      </c>
      <c r="G214" s="3" t="s">
        <v>364</v>
      </c>
      <c r="H214" s="53" t="s">
        <v>466</v>
      </c>
      <c r="I214" s="3" t="s">
        <v>1446</v>
      </c>
      <c r="J214" s="4" t="s">
        <v>292</v>
      </c>
      <c r="K214" s="4" t="s">
        <v>1163</v>
      </c>
      <c r="L214" s="4" t="s">
        <v>1868</v>
      </c>
      <c r="M214" s="43" t="s">
        <v>2016</v>
      </c>
      <c r="N214" s="255">
        <v>380000</v>
      </c>
      <c r="O214" s="265">
        <v>65</v>
      </c>
      <c r="P214" s="270">
        <v>1</v>
      </c>
      <c r="Q214" s="255">
        <v>247000</v>
      </c>
      <c r="R214" s="283">
        <v>247000</v>
      </c>
      <c r="S214" s="283">
        <v>102276</v>
      </c>
      <c r="T214" s="287">
        <v>1</v>
      </c>
      <c r="U214" s="287">
        <v>0</v>
      </c>
      <c r="V214" s="287">
        <v>0</v>
      </c>
      <c r="W214" s="283">
        <v>0</v>
      </c>
      <c r="X214" s="283">
        <v>0</v>
      </c>
      <c r="Y214" s="199" t="s">
        <v>1395</v>
      </c>
      <c r="Z214" s="517" t="s">
        <v>5536</v>
      </c>
      <c r="AA214" s="493" t="s">
        <v>1485</v>
      </c>
      <c r="AB214" s="507"/>
    </row>
    <row r="215" spans="2:28" x14ac:dyDescent="0.15">
      <c r="B215" s="330" t="s">
        <v>3052</v>
      </c>
      <c r="C215" s="525">
        <v>42866</v>
      </c>
      <c r="D215" s="198" t="s">
        <v>2002</v>
      </c>
      <c r="E215" s="53" t="s">
        <v>1391</v>
      </c>
      <c r="F215" s="198" t="s">
        <v>3797</v>
      </c>
      <c r="G215" s="3" t="s">
        <v>362</v>
      </c>
      <c r="H215" s="53" t="s">
        <v>693</v>
      </c>
      <c r="I215" s="3" t="s">
        <v>1398</v>
      </c>
      <c r="J215" s="4" t="s">
        <v>264</v>
      </c>
      <c r="K215" s="4" t="s">
        <v>538</v>
      </c>
      <c r="L215" s="4" t="s">
        <v>2017</v>
      </c>
      <c r="M215" s="43" t="s">
        <v>2018</v>
      </c>
      <c r="N215" s="255">
        <v>152100</v>
      </c>
      <c r="O215" s="265">
        <v>100</v>
      </c>
      <c r="P215" s="270">
        <v>1</v>
      </c>
      <c r="Q215" s="255">
        <v>152100</v>
      </c>
      <c r="R215" s="283">
        <v>152100</v>
      </c>
      <c r="S215" s="283">
        <v>40428</v>
      </c>
      <c r="T215" s="287">
        <v>1</v>
      </c>
      <c r="U215" s="287">
        <v>0</v>
      </c>
      <c r="V215" s="287">
        <v>0</v>
      </c>
      <c r="W215" s="283">
        <v>0</v>
      </c>
      <c r="X215" s="283">
        <v>0</v>
      </c>
      <c r="Y215" s="199" t="s">
        <v>1395</v>
      </c>
      <c r="Z215" s="517" t="s">
        <v>5166</v>
      </c>
      <c r="AA215" s="493" t="s">
        <v>1485</v>
      </c>
      <c r="AB215" s="507"/>
    </row>
    <row r="216" spans="2:28" x14ac:dyDescent="0.15">
      <c r="B216" s="330" t="s">
        <v>3053</v>
      </c>
      <c r="C216" s="525">
        <v>42866</v>
      </c>
      <c r="D216" s="198" t="s">
        <v>2005</v>
      </c>
      <c r="E216" s="53" t="s">
        <v>1396</v>
      </c>
      <c r="F216" s="198" t="s">
        <v>3800</v>
      </c>
      <c r="G216" s="3" t="s">
        <v>50</v>
      </c>
      <c r="H216" s="53" t="s">
        <v>2019</v>
      </c>
      <c r="I216" s="3" t="s">
        <v>2021</v>
      </c>
      <c r="J216" s="4" t="s">
        <v>299</v>
      </c>
      <c r="K216" s="4" t="s">
        <v>373</v>
      </c>
      <c r="L216" s="4" t="s">
        <v>2023</v>
      </c>
      <c r="M216" s="43"/>
      <c r="N216" s="255">
        <v>20000</v>
      </c>
      <c r="O216" s="265">
        <v>100</v>
      </c>
      <c r="P216" s="270">
        <v>1</v>
      </c>
      <c r="Q216" s="255">
        <v>20000</v>
      </c>
      <c r="R216" s="283">
        <v>20000</v>
      </c>
      <c r="S216" s="283">
        <v>5386</v>
      </c>
      <c r="T216" s="287">
        <v>0</v>
      </c>
      <c r="U216" s="287">
        <v>0</v>
      </c>
      <c r="V216" s="287">
        <v>0</v>
      </c>
      <c r="W216" s="283">
        <v>14614</v>
      </c>
      <c r="X216" s="283">
        <v>0</v>
      </c>
      <c r="Y216" s="199" t="s">
        <v>1392</v>
      </c>
      <c r="Z216" s="517" t="s">
        <v>5533</v>
      </c>
      <c r="AA216" s="493" t="s">
        <v>1485</v>
      </c>
      <c r="AB216" s="507"/>
    </row>
    <row r="217" spans="2:28" x14ac:dyDescent="0.15">
      <c r="B217" s="330" t="s">
        <v>3054</v>
      </c>
      <c r="C217" s="525">
        <v>42867</v>
      </c>
      <c r="D217" s="198" t="s">
        <v>2007</v>
      </c>
      <c r="E217" s="53" t="s">
        <v>1391</v>
      </c>
      <c r="F217" s="198" t="s">
        <v>3794</v>
      </c>
      <c r="G217" s="3" t="s">
        <v>364</v>
      </c>
      <c r="H217" s="53" t="s">
        <v>492</v>
      </c>
      <c r="I217" s="3" t="s">
        <v>1431</v>
      </c>
      <c r="J217" s="4" t="s">
        <v>271</v>
      </c>
      <c r="K217" s="4" t="s">
        <v>1160</v>
      </c>
      <c r="L217" s="4" t="s">
        <v>1951</v>
      </c>
      <c r="M217" s="43" t="s">
        <v>2024</v>
      </c>
      <c r="N217" s="255">
        <v>213000</v>
      </c>
      <c r="O217" s="265">
        <v>100</v>
      </c>
      <c r="P217" s="270">
        <v>1</v>
      </c>
      <c r="Q217" s="255">
        <v>213000</v>
      </c>
      <c r="R217" s="283">
        <v>213000</v>
      </c>
      <c r="S217" s="283">
        <v>63594</v>
      </c>
      <c r="T217" s="287">
        <v>0</v>
      </c>
      <c r="U217" s="287">
        <v>1</v>
      </c>
      <c r="V217" s="287">
        <v>0</v>
      </c>
      <c r="W217" s="283">
        <v>24576</v>
      </c>
      <c r="X217" s="283">
        <v>0</v>
      </c>
      <c r="Y217" s="199" t="s">
        <v>1392</v>
      </c>
      <c r="Z217" s="517" t="s">
        <v>5167</v>
      </c>
      <c r="AA217" s="493" t="s">
        <v>1485</v>
      </c>
      <c r="AB217" s="507"/>
    </row>
    <row r="218" spans="2:28" x14ac:dyDescent="0.15">
      <c r="B218" s="330" t="s">
        <v>3055</v>
      </c>
      <c r="C218" s="525">
        <v>42870</v>
      </c>
      <c r="D218" s="198" t="s">
        <v>2009</v>
      </c>
      <c r="E218" s="53" t="s">
        <v>1391</v>
      </c>
      <c r="F218" s="198" t="s">
        <v>3797</v>
      </c>
      <c r="G218" s="3" t="s">
        <v>362</v>
      </c>
      <c r="H218" s="53" t="s">
        <v>689</v>
      </c>
      <c r="I218" s="3" t="s">
        <v>1394</v>
      </c>
      <c r="J218" s="4" t="s">
        <v>273</v>
      </c>
      <c r="K218" s="4" t="s">
        <v>1161</v>
      </c>
      <c r="L218" s="4" t="s">
        <v>2025</v>
      </c>
      <c r="M218" s="43" t="s">
        <v>2026</v>
      </c>
      <c r="N218" s="255">
        <v>134550</v>
      </c>
      <c r="O218" s="265">
        <v>100</v>
      </c>
      <c r="P218" s="270">
        <v>1</v>
      </c>
      <c r="Q218" s="255">
        <v>134550</v>
      </c>
      <c r="R218" s="283">
        <v>134550</v>
      </c>
      <c r="S218" s="283">
        <v>46535</v>
      </c>
      <c r="T218" s="287">
        <v>1</v>
      </c>
      <c r="U218" s="287">
        <v>0</v>
      </c>
      <c r="V218" s="287">
        <v>0</v>
      </c>
      <c r="W218" s="283">
        <v>0</v>
      </c>
      <c r="X218" s="283">
        <v>0</v>
      </c>
      <c r="Y218" s="199" t="s">
        <v>1395</v>
      </c>
      <c r="Z218" s="517" t="s">
        <v>5542</v>
      </c>
      <c r="AA218" s="493" t="s">
        <v>1485</v>
      </c>
      <c r="AB218" s="507"/>
    </row>
    <row r="219" spans="2:28" x14ac:dyDescent="0.15">
      <c r="B219" s="330" t="s">
        <v>3056</v>
      </c>
      <c r="C219" s="525">
        <v>42872</v>
      </c>
      <c r="D219" s="198" t="s">
        <v>2027</v>
      </c>
      <c r="E219" s="53" t="s">
        <v>1396</v>
      </c>
      <c r="F219" s="198" t="s">
        <v>3801</v>
      </c>
      <c r="G219" s="3" t="s">
        <v>374</v>
      </c>
      <c r="H219" s="53"/>
      <c r="I219" s="3"/>
      <c r="J219" s="4" t="s">
        <v>261</v>
      </c>
      <c r="K219" s="4" t="s">
        <v>1153</v>
      </c>
      <c r="L219" s="4" t="s">
        <v>2028</v>
      </c>
      <c r="M219" s="43" t="s">
        <v>2029</v>
      </c>
      <c r="N219" s="255">
        <v>385000</v>
      </c>
      <c r="O219" s="265">
        <v>50</v>
      </c>
      <c r="P219" s="270">
        <v>1</v>
      </c>
      <c r="Q219" s="255">
        <v>192500</v>
      </c>
      <c r="R219" s="283">
        <v>192500</v>
      </c>
      <c r="S219" s="283">
        <v>30572</v>
      </c>
      <c r="T219" s="287">
        <v>1</v>
      </c>
      <c r="U219" s="287">
        <v>0</v>
      </c>
      <c r="V219" s="287">
        <v>0</v>
      </c>
      <c r="W219" s="283">
        <v>0</v>
      </c>
      <c r="X219" s="283">
        <v>0</v>
      </c>
      <c r="Y219" s="199" t="s">
        <v>1395</v>
      </c>
      <c r="Z219" s="517" t="s">
        <v>5168</v>
      </c>
      <c r="AA219" s="493" t="s">
        <v>1485</v>
      </c>
      <c r="AB219" s="507"/>
    </row>
    <row r="220" spans="2:28" x14ac:dyDescent="0.15">
      <c r="B220" s="330" t="s">
        <v>3057</v>
      </c>
      <c r="C220" s="525">
        <v>42874</v>
      </c>
      <c r="D220" s="198" t="s">
        <v>2030</v>
      </c>
      <c r="E220" s="53" t="s">
        <v>1391</v>
      </c>
      <c r="F220" s="198" t="s">
        <v>3794</v>
      </c>
      <c r="G220" s="3" t="s">
        <v>364</v>
      </c>
      <c r="H220" s="53" t="s">
        <v>476</v>
      </c>
      <c r="I220" s="3" t="s">
        <v>1405</v>
      </c>
      <c r="J220" s="4" t="s">
        <v>262</v>
      </c>
      <c r="K220" s="4" t="s">
        <v>365</v>
      </c>
      <c r="L220" s="4" t="s">
        <v>1690</v>
      </c>
      <c r="M220" s="43" t="s">
        <v>2031</v>
      </c>
      <c r="N220" s="255">
        <v>142800</v>
      </c>
      <c r="O220" s="265">
        <v>100</v>
      </c>
      <c r="P220" s="270">
        <v>1</v>
      </c>
      <c r="Q220" s="255">
        <v>142800</v>
      </c>
      <c r="R220" s="283">
        <v>142800</v>
      </c>
      <c r="S220" s="283">
        <v>34902</v>
      </c>
      <c r="T220" s="287">
        <v>0</v>
      </c>
      <c r="U220" s="287">
        <v>1</v>
      </c>
      <c r="V220" s="287">
        <v>0</v>
      </c>
      <c r="W220" s="283">
        <v>14280</v>
      </c>
      <c r="X220" s="283">
        <v>0</v>
      </c>
      <c r="Y220" s="199" t="s">
        <v>1392</v>
      </c>
      <c r="Z220" s="517" t="s">
        <v>5541</v>
      </c>
      <c r="AA220" s="493" t="s">
        <v>1485</v>
      </c>
      <c r="AB220" s="507"/>
    </row>
    <row r="221" spans="2:28" x14ac:dyDescent="0.15">
      <c r="B221" s="330" t="s">
        <v>3058</v>
      </c>
      <c r="C221" s="525">
        <v>42874</v>
      </c>
      <c r="D221" s="198" t="s">
        <v>2032</v>
      </c>
      <c r="E221" s="53" t="s">
        <v>1396</v>
      </c>
      <c r="F221" s="198" t="s">
        <v>3800</v>
      </c>
      <c r="G221" s="3" t="s">
        <v>50</v>
      </c>
      <c r="H221" s="53" t="s">
        <v>1434</v>
      </c>
      <c r="I221" s="3" t="s">
        <v>1435</v>
      </c>
      <c r="J221" s="4" t="s">
        <v>310</v>
      </c>
      <c r="K221" s="4" t="s">
        <v>1539</v>
      </c>
      <c r="L221" s="4" t="s">
        <v>1953</v>
      </c>
      <c r="M221" s="43" t="s">
        <v>1954</v>
      </c>
      <c r="N221" s="255">
        <v>430000</v>
      </c>
      <c r="O221" s="265">
        <v>55</v>
      </c>
      <c r="P221" s="270">
        <v>-1</v>
      </c>
      <c r="Q221" s="255">
        <v>236500</v>
      </c>
      <c r="R221" s="283">
        <v>-236500</v>
      </c>
      <c r="S221" s="283">
        <v>-62170</v>
      </c>
      <c r="T221" s="287">
        <v>0</v>
      </c>
      <c r="U221" s="287">
        <v>-1</v>
      </c>
      <c r="V221" s="287">
        <v>0</v>
      </c>
      <c r="W221" s="283">
        <v>-19350</v>
      </c>
      <c r="X221" s="283">
        <v>0</v>
      </c>
      <c r="Y221" s="199" t="s">
        <v>1392</v>
      </c>
      <c r="Z221" s="517" t="s">
        <v>5167</v>
      </c>
      <c r="AA221" s="493" t="s">
        <v>1485</v>
      </c>
      <c r="AB221" s="507"/>
    </row>
    <row r="222" spans="2:28" x14ac:dyDescent="0.15">
      <c r="B222" s="330" t="s">
        <v>3059</v>
      </c>
      <c r="C222" s="525">
        <v>42875</v>
      </c>
      <c r="D222" s="198" t="s">
        <v>2036</v>
      </c>
      <c r="E222" s="53" t="s">
        <v>1391</v>
      </c>
      <c r="F222" s="198" t="s">
        <v>3794</v>
      </c>
      <c r="G222" s="3" t="s">
        <v>364</v>
      </c>
      <c r="H222" s="53" t="s">
        <v>486</v>
      </c>
      <c r="I222" s="3" t="s">
        <v>1406</v>
      </c>
      <c r="J222" s="4"/>
      <c r="K222" s="4"/>
      <c r="L222" s="4" t="s">
        <v>2055</v>
      </c>
      <c r="M222" s="43"/>
      <c r="N222" s="255">
        <v>20798</v>
      </c>
      <c r="O222" s="265">
        <v>100</v>
      </c>
      <c r="P222" s="270">
        <v>1</v>
      </c>
      <c r="Q222" s="255">
        <v>20798</v>
      </c>
      <c r="R222" s="283">
        <v>20798</v>
      </c>
      <c r="S222" s="283">
        <v>0</v>
      </c>
      <c r="T222" s="287">
        <v>0</v>
      </c>
      <c r="U222" s="287">
        <v>0</v>
      </c>
      <c r="V222" s="287">
        <v>0</v>
      </c>
      <c r="W222" s="283">
        <v>0</v>
      </c>
      <c r="X222" s="283">
        <v>0</v>
      </c>
      <c r="Y222" s="199" t="s">
        <v>4146</v>
      </c>
      <c r="Z222" s="517" t="s">
        <v>5167</v>
      </c>
      <c r="AA222" s="493" t="s">
        <v>1485</v>
      </c>
      <c r="AB222" s="507"/>
    </row>
    <row r="223" spans="2:28" x14ac:dyDescent="0.15">
      <c r="B223" s="330" t="s">
        <v>3060</v>
      </c>
      <c r="C223" s="525">
        <v>42875</v>
      </c>
      <c r="D223" s="198" t="s">
        <v>2040</v>
      </c>
      <c r="E223" s="53" t="s">
        <v>1391</v>
      </c>
      <c r="F223" s="198" t="s">
        <v>3794</v>
      </c>
      <c r="G223" s="3" t="s">
        <v>364</v>
      </c>
      <c r="H223" s="53" t="s">
        <v>492</v>
      </c>
      <c r="I223" s="3" t="s">
        <v>1431</v>
      </c>
      <c r="J223" s="4"/>
      <c r="K223" s="4"/>
      <c r="L223" s="4" t="s">
        <v>2056</v>
      </c>
      <c r="M223" s="43"/>
      <c r="N223" s="255">
        <v>26199</v>
      </c>
      <c r="O223" s="265">
        <v>100</v>
      </c>
      <c r="P223" s="270">
        <v>1</v>
      </c>
      <c r="Q223" s="255">
        <v>26199</v>
      </c>
      <c r="R223" s="283">
        <v>26199</v>
      </c>
      <c r="S223" s="283">
        <v>0</v>
      </c>
      <c r="T223" s="287">
        <v>0</v>
      </c>
      <c r="U223" s="287">
        <v>0</v>
      </c>
      <c r="V223" s="287">
        <v>0</v>
      </c>
      <c r="W223" s="283">
        <v>0</v>
      </c>
      <c r="X223" s="283">
        <v>0</v>
      </c>
      <c r="Y223" s="199" t="s">
        <v>4146</v>
      </c>
      <c r="Z223" s="517" t="s">
        <v>5167</v>
      </c>
      <c r="AA223" s="493" t="s">
        <v>1485</v>
      </c>
      <c r="AB223" s="507"/>
    </row>
    <row r="224" spans="2:28" x14ac:dyDescent="0.15">
      <c r="B224" s="330" t="s">
        <v>3061</v>
      </c>
      <c r="C224" s="525">
        <v>42875</v>
      </c>
      <c r="D224" s="198" t="s">
        <v>2045</v>
      </c>
      <c r="E224" s="53" t="s">
        <v>1391</v>
      </c>
      <c r="F224" s="198" t="s">
        <v>3815</v>
      </c>
      <c r="G224" s="3" t="s">
        <v>2059</v>
      </c>
      <c r="H224" s="53"/>
      <c r="I224" s="3"/>
      <c r="J224" s="4" t="s">
        <v>272</v>
      </c>
      <c r="K224" s="4" t="s">
        <v>363</v>
      </c>
      <c r="L224" s="4" t="s">
        <v>1654</v>
      </c>
      <c r="M224" s="43" t="s">
        <v>2063</v>
      </c>
      <c r="N224" s="255">
        <v>162500</v>
      </c>
      <c r="O224" s="265">
        <v>100</v>
      </c>
      <c r="P224" s="270">
        <v>1</v>
      </c>
      <c r="Q224" s="255">
        <v>162500</v>
      </c>
      <c r="R224" s="283">
        <v>162500</v>
      </c>
      <c r="S224" s="283">
        <v>61810</v>
      </c>
      <c r="T224" s="287">
        <v>1</v>
      </c>
      <c r="U224" s="287">
        <v>0</v>
      </c>
      <c r="V224" s="287">
        <v>0</v>
      </c>
      <c r="W224" s="283">
        <v>0</v>
      </c>
      <c r="X224" s="283">
        <v>0</v>
      </c>
      <c r="Y224" s="199" t="s">
        <v>1395</v>
      </c>
      <c r="Z224" s="517" t="s">
        <v>5450</v>
      </c>
      <c r="AA224" s="493" t="s">
        <v>1485</v>
      </c>
      <c r="AB224" s="507"/>
    </row>
    <row r="225" spans="2:28" x14ac:dyDescent="0.15">
      <c r="B225" s="330" t="s">
        <v>3062</v>
      </c>
      <c r="C225" s="525">
        <v>42875</v>
      </c>
      <c r="D225" s="198" t="s">
        <v>2046</v>
      </c>
      <c r="E225" s="53" t="s">
        <v>1391</v>
      </c>
      <c r="F225" s="198" t="s">
        <v>3798</v>
      </c>
      <c r="G225" s="3" t="s">
        <v>370</v>
      </c>
      <c r="H225" s="53" t="s">
        <v>1491</v>
      </c>
      <c r="I225" s="3" t="s">
        <v>1492</v>
      </c>
      <c r="J225" s="4" t="s">
        <v>272</v>
      </c>
      <c r="K225" s="4" t="s">
        <v>363</v>
      </c>
      <c r="L225" s="4" t="s">
        <v>2047</v>
      </c>
      <c r="M225" s="43" t="s">
        <v>2048</v>
      </c>
      <c r="N225" s="255">
        <v>150000</v>
      </c>
      <c r="O225" s="265">
        <v>100</v>
      </c>
      <c r="P225" s="270">
        <v>1</v>
      </c>
      <c r="Q225" s="255">
        <v>150000</v>
      </c>
      <c r="R225" s="283">
        <v>150000</v>
      </c>
      <c r="S225" s="283">
        <v>28810</v>
      </c>
      <c r="T225" s="287">
        <v>0</v>
      </c>
      <c r="U225" s="287">
        <v>1</v>
      </c>
      <c r="V225" s="287">
        <v>0</v>
      </c>
      <c r="W225" s="283">
        <v>15000</v>
      </c>
      <c r="X225" s="283">
        <v>0</v>
      </c>
      <c r="Y225" s="199" t="s">
        <v>1392</v>
      </c>
      <c r="Z225" s="517" t="s">
        <v>5167</v>
      </c>
      <c r="AA225" s="493" t="s">
        <v>2051</v>
      </c>
      <c r="AB225" s="507"/>
    </row>
    <row r="226" spans="2:28" x14ac:dyDescent="0.15">
      <c r="B226" s="330" t="s">
        <v>3063</v>
      </c>
      <c r="C226" s="526">
        <v>42875</v>
      </c>
      <c r="D226" s="191" t="s">
        <v>2046</v>
      </c>
      <c r="E226" s="43" t="s">
        <v>1391</v>
      </c>
      <c r="F226" s="191" t="s">
        <v>3794</v>
      </c>
      <c r="G226" s="4" t="s">
        <v>364</v>
      </c>
      <c r="H226" s="43" t="s">
        <v>444</v>
      </c>
      <c r="I226" s="4" t="s">
        <v>1440</v>
      </c>
      <c r="J226" s="4" t="s">
        <v>262</v>
      </c>
      <c r="K226" s="4" t="s">
        <v>365</v>
      </c>
      <c r="L226" s="4" t="s">
        <v>1690</v>
      </c>
      <c r="M226" s="43" t="s">
        <v>2064</v>
      </c>
      <c r="N226" s="255">
        <v>260000</v>
      </c>
      <c r="O226" s="265">
        <v>55</v>
      </c>
      <c r="P226" s="270">
        <v>1</v>
      </c>
      <c r="Q226" s="255">
        <v>143000</v>
      </c>
      <c r="R226" s="283">
        <v>143000</v>
      </c>
      <c r="S226" s="283">
        <v>37682</v>
      </c>
      <c r="T226" s="287">
        <v>0</v>
      </c>
      <c r="U226" s="287">
        <v>1</v>
      </c>
      <c r="V226" s="287">
        <v>0</v>
      </c>
      <c r="W226" s="283">
        <v>11700</v>
      </c>
      <c r="X226" s="283">
        <v>0</v>
      </c>
      <c r="Y226" s="199" t="s">
        <v>1392</v>
      </c>
      <c r="Z226" s="517" t="s">
        <v>5166</v>
      </c>
      <c r="AA226" s="493" t="s">
        <v>1485</v>
      </c>
      <c r="AB226" s="507"/>
    </row>
    <row r="227" spans="2:28" x14ac:dyDescent="0.15">
      <c r="B227" s="330" t="s">
        <v>3064</v>
      </c>
      <c r="C227" s="525">
        <v>42875</v>
      </c>
      <c r="D227" s="198" t="s">
        <v>2049</v>
      </c>
      <c r="E227" s="53" t="s">
        <v>1391</v>
      </c>
      <c r="F227" s="198" t="s">
        <v>3798</v>
      </c>
      <c r="G227" s="3" t="s">
        <v>370</v>
      </c>
      <c r="H227" s="53" t="s">
        <v>1491</v>
      </c>
      <c r="I227" s="3" t="s">
        <v>1492</v>
      </c>
      <c r="J227" s="4" t="s">
        <v>272</v>
      </c>
      <c r="K227" s="4" t="s">
        <v>363</v>
      </c>
      <c r="L227" s="4" t="s">
        <v>2050</v>
      </c>
      <c r="M227" s="43"/>
      <c r="N227" s="255">
        <v>100</v>
      </c>
      <c r="O227" s="265">
        <v>100</v>
      </c>
      <c r="P227" s="270">
        <v>1</v>
      </c>
      <c r="Q227" s="255">
        <v>100</v>
      </c>
      <c r="R227" s="283">
        <v>100</v>
      </c>
      <c r="S227" s="283">
        <v>0</v>
      </c>
      <c r="T227" s="287">
        <v>0</v>
      </c>
      <c r="U227" s="287">
        <v>0</v>
      </c>
      <c r="V227" s="287">
        <v>0</v>
      </c>
      <c r="W227" s="283">
        <v>11</v>
      </c>
      <c r="X227" s="283">
        <v>0</v>
      </c>
      <c r="Y227" s="199" t="s">
        <v>1392</v>
      </c>
      <c r="Z227" s="517" t="s">
        <v>5535</v>
      </c>
      <c r="AA227" s="493" t="s">
        <v>1485</v>
      </c>
      <c r="AB227" s="507"/>
    </row>
    <row r="228" spans="2:28" x14ac:dyDescent="0.15">
      <c r="B228" s="330" t="s">
        <v>3065</v>
      </c>
      <c r="C228" s="525">
        <v>42875</v>
      </c>
      <c r="D228" s="198" t="s">
        <v>2052</v>
      </c>
      <c r="E228" s="53" t="s">
        <v>1391</v>
      </c>
      <c r="F228" s="198" t="s">
        <v>3798</v>
      </c>
      <c r="G228" s="3" t="s">
        <v>370</v>
      </c>
      <c r="H228" s="53" t="s">
        <v>1491</v>
      </c>
      <c r="I228" s="3" t="s">
        <v>1492</v>
      </c>
      <c r="J228" s="4" t="s">
        <v>272</v>
      </c>
      <c r="K228" s="4" t="s">
        <v>363</v>
      </c>
      <c r="L228" s="4" t="s">
        <v>2053</v>
      </c>
      <c r="M228" s="43" t="s">
        <v>2054</v>
      </c>
      <c r="N228" s="255">
        <v>132000</v>
      </c>
      <c r="O228" s="265">
        <v>100</v>
      </c>
      <c r="P228" s="270">
        <v>1</v>
      </c>
      <c r="Q228" s="255">
        <v>132000</v>
      </c>
      <c r="R228" s="283">
        <v>132000</v>
      </c>
      <c r="S228" s="283">
        <v>18510</v>
      </c>
      <c r="T228" s="287">
        <v>0</v>
      </c>
      <c r="U228" s="287">
        <v>1</v>
      </c>
      <c r="V228" s="287">
        <v>0</v>
      </c>
      <c r="W228" s="283">
        <v>10800</v>
      </c>
      <c r="X228" s="283">
        <v>0</v>
      </c>
      <c r="Y228" s="199" t="s">
        <v>1392</v>
      </c>
      <c r="Z228" s="517" t="s">
        <v>5167</v>
      </c>
      <c r="AA228" s="493" t="s">
        <v>1485</v>
      </c>
      <c r="AB228" s="507"/>
    </row>
    <row r="229" spans="2:28" x14ac:dyDescent="0.15">
      <c r="B229" s="330" t="s">
        <v>3066</v>
      </c>
      <c r="C229" s="526">
        <v>42875</v>
      </c>
      <c r="D229" s="191" t="s">
        <v>2072</v>
      </c>
      <c r="E229" s="43" t="s">
        <v>1396</v>
      </c>
      <c r="F229" s="191" t="s">
        <v>3795</v>
      </c>
      <c r="G229" s="4" t="s">
        <v>1321</v>
      </c>
      <c r="H229" s="43"/>
      <c r="I229" s="4"/>
      <c r="J229" s="4" t="s">
        <v>299</v>
      </c>
      <c r="K229" s="4" t="s">
        <v>373</v>
      </c>
      <c r="L229" s="4" t="s">
        <v>2073</v>
      </c>
      <c r="M229" s="43"/>
      <c r="N229" s="255">
        <v>2000</v>
      </c>
      <c r="O229" s="265">
        <v>100</v>
      </c>
      <c r="P229" s="270">
        <v>-1</v>
      </c>
      <c r="Q229" s="255">
        <v>2000</v>
      </c>
      <c r="R229" s="283">
        <v>-2000</v>
      </c>
      <c r="S229" s="283">
        <v>-2000</v>
      </c>
      <c r="T229" s="287">
        <v>0</v>
      </c>
      <c r="U229" s="287">
        <v>0</v>
      </c>
      <c r="V229" s="287">
        <v>0</v>
      </c>
      <c r="W229" s="283">
        <v>2000</v>
      </c>
      <c r="X229" s="283">
        <v>0</v>
      </c>
      <c r="Y229" s="199" t="s">
        <v>1392</v>
      </c>
      <c r="Z229" s="517" t="s">
        <v>5449</v>
      </c>
      <c r="AA229" s="493"/>
      <c r="AB229" s="507"/>
    </row>
    <row r="230" spans="2:28" x14ac:dyDescent="0.15">
      <c r="B230" s="330" t="s">
        <v>3067</v>
      </c>
      <c r="C230" s="526">
        <v>42875</v>
      </c>
      <c r="D230" s="191" t="s">
        <v>2082</v>
      </c>
      <c r="E230" s="43" t="s">
        <v>1391</v>
      </c>
      <c r="F230" s="191" t="s">
        <v>3794</v>
      </c>
      <c r="G230" s="4" t="s">
        <v>364</v>
      </c>
      <c r="H230" s="43" t="s">
        <v>491</v>
      </c>
      <c r="I230" s="4" t="s">
        <v>1307</v>
      </c>
      <c r="J230" s="4" t="s">
        <v>295</v>
      </c>
      <c r="K230" s="4" t="s">
        <v>1166</v>
      </c>
      <c r="L230" s="4" t="s">
        <v>1498</v>
      </c>
      <c r="M230" s="43"/>
      <c r="N230" s="255">
        <v>24000</v>
      </c>
      <c r="O230" s="265">
        <v>65</v>
      </c>
      <c r="P230" s="270">
        <v>1</v>
      </c>
      <c r="Q230" s="255">
        <v>15600</v>
      </c>
      <c r="R230" s="283">
        <v>15600</v>
      </c>
      <c r="S230" s="283">
        <v>2700</v>
      </c>
      <c r="T230" s="287">
        <v>0</v>
      </c>
      <c r="U230" s="287">
        <v>0</v>
      </c>
      <c r="V230" s="287">
        <v>0</v>
      </c>
      <c r="W230" s="283">
        <v>1800</v>
      </c>
      <c r="X230" s="283">
        <v>0</v>
      </c>
      <c r="Y230" s="199" t="s">
        <v>1392</v>
      </c>
      <c r="Z230" s="517" t="s">
        <v>5540</v>
      </c>
      <c r="AA230" s="493" t="s">
        <v>1485</v>
      </c>
      <c r="AB230" s="507"/>
    </row>
    <row r="231" spans="2:28" x14ac:dyDescent="0.15">
      <c r="B231" s="330" t="s">
        <v>3068</v>
      </c>
      <c r="C231" s="526">
        <v>42875</v>
      </c>
      <c r="D231" s="191" t="s">
        <v>2083</v>
      </c>
      <c r="E231" s="43" t="s">
        <v>1391</v>
      </c>
      <c r="F231" s="191" t="s">
        <v>3794</v>
      </c>
      <c r="G231" s="4" t="s">
        <v>364</v>
      </c>
      <c r="H231" s="43" t="s">
        <v>492</v>
      </c>
      <c r="I231" s="4" t="s">
        <v>1431</v>
      </c>
      <c r="J231" s="4" t="s">
        <v>268</v>
      </c>
      <c r="K231" s="4" t="s">
        <v>1158</v>
      </c>
      <c r="L231" s="4" t="s">
        <v>2084</v>
      </c>
      <c r="M231" s="43" t="s">
        <v>2085</v>
      </c>
      <c r="N231" s="255">
        <v>270000</v>
      </c>
      <c r="O231" s="265">
        <v>60</v>
      </c>
      <c r="P231" s="270">
        <v>1</v>
      </c>
      <c r="Q231" s="255">
        <v>162000</v>
      </c>
      <c r="R231" s="283">
        <v>162000</v>
      </c>
      <c r="S231" s="283">
        <v>52792</v>
      </c>
      <c r="T231" s="287">
        <v>0</v>
      </c>
      <c r="U231" s="287">
        <v>1</v>
      </c>
      <c r="V231" s="287">
        <v>0</v>
      </c>
      <c r="W231" s="283">
        <v>16200</v>
      </c>
      <c r="X231" s="283">
        <v>0</v>
      </c>
      <c r="Y231" s="199" t="s">
        <v>1392</v>
      </c>
      <c r="Z231" s="517" t="s">
        <v>5167</v>
      </c>
      <c r="AA231" s="493" t="s">
        <v>1485</v>
      </c>
      <c r="AB231" s="507"/>
    </row>
    <row r="232" spans="2:28" x14ac:dyDescent="0.15">
      <c r="B232" s="330" t="s">
        <v>3069</v>
      </c>
      <c r="C232" s="526">
        <v>42875</v>
      </c>
      <c r="D232" s="191" t="s">
        <v>2086</v>
      </c>
      <c r="E232" s="43" t="s">
        <v>1391</v>
      </c>
      <c r="F232" s="191" t="s">
        <v>3794</v>
      </c>
      <c r="G232" s="4" t="s">
        <v>364</v>
      </c>
      <c r="H232" s="43" t="s">
        <v>476</v>
      </c>
      <c r="I232" s="4" t="s">
        <v>1405</v>
      </c>
      <c r="J232" s="4" t="s">
        <v>262</v>
      </c>
      <c r="K232" s="4" t="s">
        <v>365</v>
      </c>
      <c r="L232" s="4" t="s">
        <v>1738</v>
      </c>
      <c r="M232" s="43" t="s">
        <v>2087</v>
      </c>
      <c r="N232" s="255">
        <v>148800</v>
      </c>
      <c r="O232" s="265">
        <v>100</v>
      </c>
      <c r="P232" s="270">
        <v>1</v>
      </c>
      <c r="Q232" s="255">
        <v>148800</v>
      </c>
      <c r="R232" s="283">
        <v>148800</v>
      </c>
      <c r="S232" s="283">
        <v>37302</v>
      </c>
      <c r="T232" s="287">
        <v>0</v>
      </c>
      <c r="U232" s="287">
        <v>1</v>
      </c>
      <c r="V232" s="287">
        <v>0</v>
      </c>
      <c r="W232" s="283">
        <v>14880</v>
      </c>
      <c r="X232" s="283">
        <v>0</v>
      </c>
      <c r="Y232" s="199" t="s">
        <v>1392</v>
      </c>
      <c r="Z232" s="517" t="s">
        <v>5537</v>
      </c>
      <c r="AA232" s="493" t="s">
        <v>1485</v>
      </c>
      <c r="AB232" s="507"/>
    </row>
    <row r="233" spans="2:28" x14ac:dyDescent="0.15">
      <c r="B233" s="330" t="s">
        <v>3070</v>
      </c>
      <c r="C233" s="526">
        <v>42875</v>
      </c>
      <c r="D233" s="191" t="s">
        <v>2088</v>
      </c>
      <c r="E233" s="43" t="s">
        <v>1391</v>
      </c>
      <c r="F233" s="191" t="s">
        <v>3794</v>
      </c>
      <c r="G233" s="4" t="s">
        <v>364</v>
      </c>
      <c r="H233" s="43" t="s">
        <v>423</v>
      </c>
      <c r="I233" s="4" t="s">
        <v>1439</v>
      </c>
      <c r="J233" s="4" t="s">
        <v>273</v>
      </c>
      <c r="K233" s="4" t="s">
        <v>1161</v>
      </c>
      <c r="L233" s="4" t="s">
        <v>2089</v>
      </c>
      <c r="M233" s="43" t="s">
        <v>2090</v>
      </c>
      <c r="N233" s="255">
        <v>260000</v>
      </c>
      <c r="O233" s="265">
        <v>60</v>
      </c>
      <c r="P233" s="270">
        <v>1</v>
      </c>
      <c r="Q233" s="255">
        <v>156000</v>
      </c>
      <c r="R233" s="283">
        <v>156000</v>
      </c>
      <c r="S233" s="283">
        <v>51385</v>
      </c>
      <c r="T233" s="287">
        <v>0</v>
      </c>
      <c r="U233" s="287">
        <v>1</v>
      </c>
      <c r="V233" s="287">
        <v>0</v>
      </c>
      <c r="W233" s="283">
        <v>15600</v>
      </c>
      <c r="X233" s="283">
        <v>0</v>
      </c>
      <c r="Y233" s="199" t="s">
        <v>1392</v>
      </c>
      <c r="Z233" s="517" t="s">
        <v>5532</v>
      </c>
      <c r="AA233" s="493" t="s">
        <v>1485</v>
      </c>
      <c r="AB233" s="507"/>
    </row>
    <row r="234" spans="2:28" x14ac:dyDescent="0.15">
      <c r="B234" s="330" t="s">
        <v>3071</v>
      </c>
      <c r="C234" s="526">
        <v>42875</v>
      </c>
      <c r="D234" s="191" t="s">
        <v>2095</v>
      </c>
      <c r="E234" s="43" t="s">
        <v>1391</v>
      </c>
      <c r="F234" s="191" t="s">
        <v>3794</v>
      </c>
      <c r="G234" s="4" t="s">
        <v>364</v>
      </c>
      <c r="H234" s="43" t="s">
        <v>423</v>
      </c>
      <c r="I234" s="4" t="s">
        <v>1439</v>
      </c>
      <c r="J234" s="4" t="s">
        <v>261</v>
      </c>
      <c r="K234" s="4" t="s">
        <v>1153</v>
      </c>
      <c r="L234" s="4" t="s">
        <v>2096</v>
      </c>
      <c r="M234" s="43" t="s">
        <v>2097</v>
      </c>
      <c r="N234" s="255">
        <v>270000</v>
      </c>
      <c r="O234" s="265">
        <v>60</v>
      </c>
      <c r="P234" s="270">
        <v>1</v>
      </c>
      <c r="Q234" s="255">
        <v>162000</v>
      </c>
      <c r="R234" s="283">
        <v>162000</v>
      </c>
      <c r="S234" s="283">
        <v>51242</v>
      </c>
      <c r="T234" s="287">
        <v>0</v>
      </c>
      <c r="U234" s="287">
        <v>1</v>
      </c>
      <c r="V234" s="287">
        <v>0</v>
      </c>
      <c r="W234" s="283">
        <v>16200</v>
      </c>
      <c r="X234" s="283">
        <v>0</v>
      </c>
      <c r="Y234" s="199" t="s">
        <v>1392</v>
      </c>
      <c r="Z234" s="517" t="s">
        <v>5543</v>
      </c>
      <c r="AA234" s="493" t="s">
        <v>1485</v>
      </c>
      <c r="AB234" s="507"/>
    </row>
    <row r="235" spans="2:28" x14ac:dyDescent="0.15">
      <c r="B235" s="330" t="s">
        <v>3072</v>
      </c>
      <c r="C235" s="526">
        <v>42875</v>
      </c>
      <c r="D235" s="191" t="s">
        <v>2106</v>
      </c>
      <c r="E235" s="43" t="s">
        <v>1396</v>
      </c>
      <c r="F235" s="191" t="s">
        <v>3795</v>
      </c>
      <c r="G235" s="4" t="s">
        <v>1321</v>
      </c>
      <c r="H235" s="43"/>
      <c r="I235" s="4"/>
      <c r="J235" s="4"/>
      <c r="K235" s="4"/>
      <c r="L235" s="4" t="s">
        <v>1418</v>
      </c>
      <c r="M235" s="43"/>
      <c r="N235" s="255">
        <v>57050</v>
      </c>
      <c r="O235" s="265">
        <v>100</v>
      </c>
      <c r="P235" s="270">
        <v>-1</v>
      </c>
      <c r="Q235" s="255">
        <v>57050</v>
      </c>
      <c r="R235" s="283">
        <v>-57050</v>
      </c>
      <c r="S235" s="283">
        <v>-57050</v>
      </c>
      <c r="T235" s="287">
        <v>0</v>
      </c>
      <c r="U235" s="287">
        <v>0</v>
      </c>
      <c r="V235" s="287">
        <v>0</v>
      </c>
      <c r="W235" s="283">
        <v>57050</v>
      </c>
      <c r="X235" s="283">
        <v>0</v>
      </c>
      <c r="Y235" s="199" t="s">
        <v>1392</v>
      </c>
      <c r="Z235" s="517" t="s">
        <v>5449</v>
      </c>
      <c r="AA235" s="493"/>
      <c r="AB235" s="507"/>
    </row>
    <row r="236" spans="2:28" x14ac:dyDescent="0.15">
      <c r="B236" s="330" t="s">
        <v>3073</v>
      </c>
      <c r="C236" s="525">
        <v>42876</v>
      </c>
      <c r="D236" s="198" t="s">
        <v>2033</v>
      </c>
      <c r="E236" s="53" t="s">
        <v>1396</v>
      </c>
      <c r="F236" s="198" t="s">
        <v>3800</v>
      </c>
      <c r="G236" s="3" t="s">
        <v>50</v>
      </c>
      <c r="H236" s="53" t="s">
        <v>1434</v>
      </c>
      <c r="I236" s="3" t="s">
        <v>1435</v>
      </c>
      <c r="J236" s="4" t="s">
        <v>310</v>
      </c>
      <c r="K236" s="4" t="s">
        <v>1539</v>
      </c>
      <c r="L236" s="4" t="s">
        <v>1953</v>
      </c>
      <c r="M236" s="43" t="s">
        <v>1954</v>
      </c>
      <c r="N236" s="255">
        <v>430000</v>
      </c>
      <c r="O236" s="265">
        <v>55</v>
      </c>
      <c r="P236" s="270">
        <v>1</v>
      </c>
      <c r="Q236" s="255">
        <v>236500</v>
      </c>
      <c r="R236" s="283">
        <v>236500</v>
      </c>
      <c r="S236" s="283">
        <v>62170</v>
      </c>
      <c r="T236" s="287">
        <v>0</v>
      </c>
      <c r="U236" s="287">
        <v>1</v>
      </c>
      <c r="V236" s="287">
        <v>0</v>
      </c>
      <c r="W236" s="283">
        <v>19350</v>
      </c>
      <c r="X236" s="283">
        <v>0</v>
      </c>
      <c r="Y236" s="199" t="s">
        <v>1392</v>
      </c>
      <c r="Z236" s="517" t="s">
        <v>5535</v>
      </c>
      <c r="AA236" s="493" t="s">
        <v>1485</v>
      </c>
      <c r="AB236" s="507"/>
    </row>
    <row r="237" spans="2:28" x14ac:dyDescent="0.15">
      <c r="B237" s="330" t="s">
        <v>3074</v>
      </c>
      <c r="C237" s="525">
        <v>42876</v>
      </c>
      <c r="D237" s="198" t="s">
        <v>2036</v>
      </c>
      <c r="E237" s="53" t="s">
        <v>1396</v>
      </c>
      <c r="F237" s="198" t="s">
        <v>3800</v>
      </c>
      <c r="G237" s="3" t="s">
        <v>50</v>
      </c>
      <c r="H237" s="53" t="s">
        <v>1434</v>
      </c>
      <c r="I237" s="3" t="s">
        <v>1435</v>
      </c>
      <c r="J237" s="4" t="s">
        <v>272</v>
      </c>
      <c r="K237" s="4" t="s">
        <v>363</v>
      </c>
      <c r="L237" s="4" t="s">
        <v>2037</v>
      </c>
      <c r="M237" s="43" t="s">
        <v>2038</v>
      </c>
      <c r="N237" s="255">
        <v>144000</v>
      </c>
      <c r="O237" s="265">
        <v>100</v>
      </c>
      <c r="P237" s="270">
        <v>1</v>
      </c>
      <c r="Q237" s="255">
        <v>144000</v>
      </c>
      <c r="R237" s="283">
        <v>144000</v>
      </c>
      <c r="S237" s="283">
        <v>28910</v>
      </c>
      <c r="T237" s="287">
        <v>0</v>
      </c>
      <c r="U237" s="287">
        <v>1</v>
      </c>
      <c r="V237" s="287">
        <v>0</v>
      </c>
      <c r="W237" s="283">
        <v>14400</v>
      </c>
      <c r="X237" s="283">
        <v>0</v>
      </c>
      <c r="Y237" s="199" t="s">
        <v>1392</v>
      </c>
      <c r="Z237" s="517" t="s">
        <v>5540</v>
      </c>
      <c r="AA237" s="493" t="s">
        <v>1485</v>
      </c>
      <c r="AB237" s="507"/>
    </row>
    <row r="238" spans="2:28" x14ac:dyDescent="0.15">
      <c r="B238" s="330" t="s">
        <v>3075</v>
      </c>
      <c r="C238" s="525">
        <v>42876</v>
      </c>
      <c r="D238" s="198" t="s">
        <v>2040</v>
      </c>
      <c r="E238" s="53" t="s">
        <v>1396</v>
      </c>
      <c r="F238" s="198" t="s">
        <v>3800</v>
      </c>
      <c r="G238" s="3" t="s">
        <v>50</v>
      </c>
      <c r="H238" s="53" t="s">
        <v>380</v>
      </c>
      <c r="I238" s="3" t="s">
        <v>1976</v>
      </c>
      <c r="J238" s="4" t="s">
        <v>273</v>
      </c>
      <c r="K238" s="4" t="s">
        <v>1161</v>
      </c>
      <c r="L238" s="4" t="s">
        <v>2041</v>
      </c>
      <c r="M238" s="43" t="s">
        <v>1525</v>
      </c>
      <c r="N238" s="255">
        <v>270000</v>
      </c>
      <c r="O238" s="265">
        <v>65</v>
      </c>
      <c r="P238" s="270">
        <v>1</v>
      </c>
      <c r="Q238" s="255">
        <v>175500</v>
      </c>
      <c r="R238" s="283">
        <v>175500</v>
      </c>
      <c r="S238" s="283">
        <v>31636</v>
      </c>
      <c r="T238" s="287">
        <v>0</v>
      </c>
      <c r="U238" s="287">
        <v>1</v>
      </c>
      <c r="V238" s="287">
        <v>0</v>
      </c>
      <c r="W238" s="283">
        <v>20250</v>
      </c>
      <c r="X238" s="283">
        <v>0</v>
      </c>
      <c r="Y238" s="199" t="s">
        <v>1392</v>
      </c>
      <c r="Z238" s="517" t="s">
        <v>5166</v>
      </c>
      <c r="AA238" s="493" t="s">
        <v>1485</v>
      </c>
      <c r="AB238" s="507"/>
    </row>
    <row r="239" spans="2:28" x14ac:dyDescent="0.15">
      <c r="B239" s="330" t="s">
        <v>3076</v>
      </c>
      <c r="C239" s="525">
        <v>42876</v>
      </c>
      <c r="D239" s="198" t="s">
        <v>2042</v>
      </c>
      <c r="E239" s="53" t="s">
        <v>1396</v>
      </c>
      <c r="F239" s="198" t="s">
        <v>3800</v>
      </c>
      <c r="G239" s="3" t="s">
        <v>50</v>
      </c>
      <c r="H239" s="53" t="s">
        <v>380</v>
      </c>
      <c r="I239" s="3" t="s">
        <v>1976</v>
      </c>
      <c r="J239" s="3" t="s">
        <v>272</v>
      </c>
      <c r="K239" s="3" t="s">
        <v>363</v>
      </c>
      <c r="L239" s="3" t="s">
        <v>2043</v>
      </c>
      <c r="M239" s="53" t="s">
        <v>2044</v>
      </c>
      <c r="N239" s="258">
        <v>168000</v>
      </c>
      <c r="O239" s="266">
        <v>100</v>
      </c>
      <c r="P239" s="272">
        <v>1</v>
      </c>
      <c r="Q239" s="258">
        <v>168000</v>
      </c>
      <c r="R239" s="286">
        <v>168000</v>
      </c>
      <c r="S239" s="286">
        <v>39950</v>
      </c>
      <c r="T239" s="288">
        <v>0</v>
      </c>
      <c r="U239" s="288">
        <v>1</v>
      </c>
      <c r="V239" s="288">
        <v>0</v>
      </c>
      <c r="W239" s="286">
        <v>16800</v>
      </c>
      <c r="X239" s="286">
        <v>0</v>
      </c>
      <c r="Y239" s="200" t="s">
        <v>1392</v>
      </c>
      <c r="Z239" s="517" t="s">
        <v>5542</v>
      </c>
      <c r="AA239" s="499" t="s">
        <v>1485</v>
      </c>
      <c r="AB239" s="508"/>
    </row>
    <row r="240" spans="2:28" x14ac:dyDescent="0.15">
      <c r="B240" s="330" t="s">
        <v>3077</v>
      </c>
      <c r="C240" s="525">
        <v>42876</v>
      </c>
      <c r="D240" s="198" t="s">
        <v>2045</v>
      </c>
      <c r="E240" s="53" t="s">
        <v>1396</v>
      </c>
      <c r="F240" s="198" t="s">
        <v>3800</v>
      </c>
      <c r="G240" s="3" t="s">
        <v>50</v>
      </c>
      <c r="H240" s="53" t="s">
        <v>380</v>
      </c>
      <c r="I240" s="3" t="s">
        <v>1976</v>
      </c>
      <c r="J240" s="4" t="s">
        <v>292</v>
      </c>
      <c r="K240" s="4" t="s">
        <v>1163</v>
      </c>
      <c r="L240" s="4" t="s">
        <v>1923</v>
      </c>
      <c r="M240" s="43" t="s">
        <v>1924</v>
      </c>
      <c r="N240" s="255">
        <v>445000</v>
      </c>
      <c r="O240" s="265">
        <v>60</v>
      </c>
      <c r="P240" s="270">
        <v>1</v>
      </c>
      <c r="Q240" s="255">
        <v>267000</v>
      </c>
      <c r="R240" s="283">
        <v>267000</v>
      </c>
      <c r="S240" s="283">
        <v>40504</v>
      </c>
      <c r="T240" s="287">
        <v>0</v>
      </c>
      <c r="U240" s="287">
        <v>1</v>
      </c>
      <c r="V240" s="287">
        <v>0</v>
      </c>
      <c r="W240" s="283">
        <v>26700</v>
      </c>
      <c r="X240" s="283">
        <v>0</v>
      </c>
      <c r="Y240" s="199" t="s">
        <v>1392</v>
      </c>
      <c r="Z240" s="517" t="s">
        <v>5166</v>
      </c>
      <c r="AA240" s="493" t="s">
        <v>1485</v>
      </c>
      <c r="AB240" s="507"/>
    </row>
    <row r="241" spans="2:28" x14ac:dyDescent="0.15">
      <c r="B241" s="327" t="s">
        <v>4048</v>
      </c>
      <c r="C241" s="527">
        <v>42876</v>
      </c>
      <c r="D241" s="191" t="s">
        <v>4049</v>
      </c>
      <c r="E241" s="43" t="s">
        <v>1396</v>
      </c>
      <c r="F241" s="191" t="s">
        <v>21</v>
      </c>
      <c r="G241" s="4" t="s">
        <v>50</v>
      </c>
      <c r="H241" s="43" t="s">
        <v>1434</v>
      </c>
      <c r="I241" s="4" t="s">
        <v>1435</v>
      </c>
      <c r="J241" s="4" t="s">
        <v>270</v>
      </c>
      <c r="K241" s="4" t="s">
        <v>539</v>
      </c>
      <c r="L241" s="4" t="s">
        <v>4050</v>
      </c>
      <c r="M241" s="43" t="s">
        <v>4051</v>
      </c>
      <c r="N241" s="255">
        <v>358000</v>
      </c>
      <c r="O241" s="265">
        <v>55</v>
      </c>
      <c r="P241" s="270">
        <v>1</v>
      </c>
      <c r="Q241" s="255">
        <v>196900</v>
      </c>
      <c r="R241" s="283">
        <v>196900</v>
      </c>
      <c r="S241" s="283">
        <v>52276</v>
      </c>
      <c r="T241" s="287">
        <v>0</v>
      </c>
      <c r="U241" s="287">
        <v>1</v>
      </c>
      <c r="V241" s="287">
        <v>0</v>
      </c>
      <c r="W241" s="283">
        <v>16110</v>
      </c>
      <c r="X241" s="283">
        <v>0</v>
      </c>
      <c r="Y241" s="199" t="s">
        <v>1392</v>
      </c>
      <c r="Z241" s="517" t="s">
        <v>5535</v>
      </c>
      <c r="AA241" s="493" t="s">
        <v>1485</v>
      </c>
      <c r="AB241" s="507"/>
    </row>
    <row r="242" spans="2:28" x14ac:dyDescent="0.15">
      <c r="B242" s="330" t="s">
        <v>3078</v>
      </c>
      <c r="C242" s="525">
        <v>42877</v>
      </c>
      <c r="D242" s="198" t="s">
        <v>2042</v>
      </c>
      <c r="E242" s="53" t="s">
        <v>1396</v>
      </c>
      <c r="F242" s="198" t="s">
        <v>3796</v>
      </c>
      <c r="G242" s="3" t="s">
        <v>368</v>
      </c>
      <c r="H242" s="53" t="s">
        <v>794</v>
      </c>
      <c r="I242" s="3" t="s">
        <v>1871</v>
      </c>
      <c r="J242" s="4" t="s">
        <v>297</v>
      </c>
      <c r="K242" s="4" t="s">
        <v>369</v>
      </c>
      <c r="L242" s="4" t="s">
        <v>2057</v>
      </c>
      <c r="M242" s="43"/>
      <c r="N242" s="255">
        <v>100</v>
      </c>
      <c r="O242" s="265">
        <v>50</v>
      </c>
      <c r="P242" s="270">
        <v>88</v>
      </c>
      <c r="Q242" s="255">
        <v>50</v>
      </c>
      <c r="R242" s="283">
        <v>4400</v>
      </c>
      <c r="S242" s="283">
        <v>1804</v>
      </c>
      <c r="T242" s="287">
        <v>0</v>
      </c>
      <c r="U242" s="287">
        <v>0</v>
      </c>
      <c r="V242" s="287">
        <v>0</v>
      </c>
      <c r="W242" s="283">
        <v>660</v>
      </c>
      <c r="X242" s="283">
        <v>0</v>
      </c>
      <c r="Y242" s="199" t="s">
        <v>1392</v>
      </c>
      <c r="Z242" s="517" t="s">
        <v>5166</v>
      </c>
      <c r="AA242" s="493" t="s">
        <v>1485</v>
      </c>
      <c r="AB242" s="507"/>
    </row>
    <row r="243" spans="2:28" x14ac:dyDescent="0.15">
      <c r="B243" s="330" t="s">
        <v>3079</v>
      </c>
      <c r="C243" s="525">
        <v>42880</v>
      </c>
      <c r="D243" s="198" t="s">
        <v>2049</v>
      </c>
      <c r="E243" s="53" t="s">
        <v>1396</v>
      </c>
      <c r="F243" s="198" t="s">
        <v>3796</v>
      </c>
      <c r="G243" s="3" t="s">
        <v>368</v>
      </c>
      <c r="H243" s="53" t="s">
        <v>792</v>
      </c>
      <c r="I243" s="3" t="s">
        <v>1413</v>
      </c>
      <c r="J243" s="4" t="s">
        <v>262</v>
      </c>
      <c r="K243" s="4" t="s">
        <v>365</v>
      </c>
      <c r="L243" s="4" t="s">
        <v>1690</v>
      </c>
      <c r="M243" s="43" t="s">
        <v>2065</v>
      </c>
      <c r="N243" s="255">
        <v>260000</v>
      </c>
      <c r="O243" s="265">
        <v>55</v>
      </c>
      <c r="P243" s="270">
        <v>1</v>
      </c>
      <c r="Q243" s="255">
        <v>143000</v>
      </c>
      <c r="R243" s="283">
        <v>143000</v>
      </c>
      <c r="S243" s="283">
        <v>37810</v>
      </c>
      <c r="T243" s="287">
        <v>0</v>
      </c>
      <c r="U243" s="287">
        <v>1</v>
      </c>
      <c r="V243" s="287">
        <v>0</v>
      </c>
      <c r="W243" s="283">
        <v>11700</v>
      </c>
      <c r="X243" s="283">
        <v>0</v>
      </c>
      <c r="Y243" s="199" t="s">
        <v>1392</v>
      </c>
      <c r="Z243" s="517" t="s">
        <v>5166</v>
      </c>
      <c r="AA243" s="493" t="s">
        <v>1485</v>
      </c>
      <c r="AB243" s="507"/>
    </row>
    <row r="244" spans="2:28" x14ac:dyDescent="0.15">
      <c r="B244" s="330" t="s">
        <v>3080</v>
      </c>
      <c r="C244" s="525">
        <v>42880</v>
      </c>
      <c r="D244" s="198" t="s">
        <v>2067</v>
      </c>
      <c r="E244" s="53" t="s">
        <v>1396</v>
      </c>
      <c r="F244" s="198" t="s">
        <v>3800</v>
      </c>
      <c r="G244" s="3" t="s">
        <v>50</v>
      </c>
      <c r="H244" s="53" t="s">
        <v>380</v>
      </c>
      <c r="I244" s="3" t="s">
        <v>1976</v>
      </c>
      <c r="J244" s="3" t="s">
        <v>272</v>
      </c>
      <c r="K244" s="3" t="s">
        <v>363</v>
      </c>
      <c r="L244" s="3" t="s">
        <v>2043</v>
      </c>
      <c r="M244" s="53" t="s">
        <v>2044</v>
      </c>
      <c r="N244" s="258">
        <v>280000</v>
      </c>
      <c r="O244" s="266">
        <v>60</v>
      </c>
      <c r="P244" s="272">
        <v>1</v>
      </c>
      <c r="Q244" s="258">
        <v>168000</v>
      </c>
      <c r="R244" s="286">
        <v>168000</v>
      </c>
      <c r="S244" s="286">
        <v>28690</v>
      </c>
      <c r="T244" s="288">
        <v>0</v>
      </c>
      <c r="U244" s="288">
        <v>1</v>
      </c>
      <c r="V244" s="288">
        <v>0</v>
      </c>
      <c r="W244" s="286">
        <v>16800</v>
      </c>
      <c r="X244" s="286">
        <v>0</v>
      </c>
      <c r="Y244" s="200" t="s">
        <v>1392</v>
      </c>
      <c r="Z244" s="517" t="s">
        <v>5166</v>
      </c>
      <c r="AA244" s="499" t="s">
        <v>1485</v>
      </c>
      <c r="AB244" s="508"/>
    </row>
    <row r="245" spans="2:28" x14ac:dyDescent="0.15">
      <c r="B245" s="330" t="s">
        <v>3081</v>
      </c>
      <c r="C245" s="525">
        <v>42884</v>
      </c>
      <c r="D245" s="198" t="s">
        <v>2091</v>
      </c>
      <c r="E245" s="53" t="s">
        <v>1396</v>
      </c>
      <c r="F245" s="198" t="s">
        <v>3796</v>
      </c>
      <c r="G245" s="3" t="s">
        <v>368</v>
      </c>
      <c r="H245" s="53" t="s">
        <v>792</v>
      </c>
      <c r="I245" s="3" t="s">
        <v>1413</v>
      </c>
      <c r="J245" s="4" t="s">
        <v>298</v>
      </c>
      <c r="K245" s="4" t="s">
        <v>1168</v>
      </c>
      <c r="L245" s="4" t="s">
        <v>2092</v>
      </c>
      <c r="M245" s="43"/>
      <c r="N245" s="255">
        <v>3500</v>
      </c>
      <c r="O245" s="265">
        <v>65</v>
      </c>
      <c r="P245" s="270">
        <v>6</v>
      </c>
      <c r="Q245" s="255">
        <v>2275</v>
      </c>
      <c r="R245" s="283">
        <v>13650</v>
      </c>
      <c r="S245" s="283">
        <v>4398</v>
      </c>
      <c r="T245" s="287">
        <v>0</v>
      </c>
      <c r="U245" s="287">
        <v>0</v>
      </c>
      <c r="V245" s="287">
        <v>0</v>
      </c>
      <c r="W245" s="283">
        <v>1572</v>
      </c>
      <c r="X245" s="283">
        <v>0</v>
      </c>
      <c r="Y245" s="199" t="s">
        <v>1392</v>
      </c>
      <c r="Z245" s="517" t="s">
        <v>5532</v>
      </c>
      <c r="AA245" s="493" t="s">
        <v>1485</v>
      </c>
      <c r="AB245" s="507"/>
    </row>
    <row r="246" spans="2:28" x14ac:dyDescent="0.15">
      <c r="B246" s="330" t="s">
        <v>3082</v>
      </c>
      <c r="C246" s="525">
        <v>42887</v>
      </c>
      <c r="D246" s="198" t="s">
        <v>1982</v>
      </c>
      <c r="E246" s="53" t="s">
        <v>1396</v>
      </c>
      <c r="F246" s="198" t="s">
        <v>3799</v>
      </c>
      <c r="G246" s="3" t="s">
        <v>1110</v>
      </c>
      <c r="H246" s="53" t="s">
        <v>801</v>
      </c>
      <c r="I246" s="3" t="s">
        <v>1920</v>
      </c>
      <c r="J246" s="4" t="s">
        <v>262</v>
      </c>
      <c r="K246" s="4" t="s">
        <v>365</v>
      </c>
      <c r="L246" s="4" t="s">
        <v>1983</v>
      </c>
      <c r="M246" s="43" t="s">
        <v>1984</v>
      </c>
      <c r="N246" s="255">
        <v>148800</v>
      </c>
      <c r="O246" s="265">
        <v>100</v>
      </c>
      <c r="P246" s="270">
        <v>1</v>
      </c>
      <c r="Q246" s="255">
        <v>148800</v>
      </c>
      <c r="R246" s="283">
        <v>148800</v>
      </c>
      <c r="S246" s="283">
        <v>38302</v>
      </c>
      <c r="T246" s="287">
        <v>0</v>
      </c>
      <c r="U246" s="287">
        <v>1</v>
      </c>
      <c r="V246" s="287">
        <v>0</v>
      </c>
      <c r="W246" s="283">
        <v>14880</v>
      </c>
      <c r="X246" s="283">
        <v>0</v>
      </c>
      <c r="Y246" s="199" t="s">
        <v>1392</v>
      </c>
      <c r="Z246" s="517" t="s">
        <v>5545</v>
      </c>
      <c r="AA246" s="493" t="s">
        <v>1485</v>
      </c>
      <c r="AB246" s="507"/>
    </row>
    <row r="247" spans="2:28" x14ac:dyDescent="0.15">
      <c r="B247" s="330" t="s">
        <v>3083</v>
      </c>
      <c r="C247" s="525">
        <v>42887</v>
      </c>
      <c r="D247" s="198" t="s">
        <v>1982</v>
      </c>
      <c r="E247" s="53" t="s">
        <v>1396</v>
      </c>
      <c r="F247" s="198" t="s">
        <v>3799</v>
      </c>
      <c r="G247" s="3" t="s">
        <v>1110</v>
      </c>
      <c r="H247" s="53" t="s">
        <v>801</v>
      </c>
      <c r="I247" s="3" t="s">
        <v>1920</v>
      </c>
      <c r="J247" s="4" t="s">
        <v>272</v>
      </c>
      <c r="K247" s="4" t="s">
        <v>363</v>
      </c>
      <c r="L247" s="4" t="s">
        <v>1985</v>
      </c>
      <c r="M247" s="43" t="s">
        <v>1986</v>
      </c>
      <c r="N247" s="255">
        <v>144000</v>
      </c>
      <c r="O247" s="265">
        <v>100</v>
      </c>
      <c r="P247" s="270">
        <v>1</v>
      </c>
      <c r="Q247" s="255">
        <v>144000</v>
      </c>
      <c r="R247" s="283">
        <v>144000</v>
      </c>
      <c r="S247" s="283">
        <v>28430</v>
      </c>
      <c r="T247" s="287">
        <v>0</v>
      </c>
      <c r="U247" s="287">
        <v>1</v>
      </c>
      <c r="V247" s="287">
        <v>0</v>
      </c>
      <c r="W247" s="283">
        <v>14400</v>
      </c>
      <c r="X247" s="283">
        <v>0</v>
      </c>
      <c r="Y247" s="199" t="s">
        <v>1392</v>
      </c>
      <c r="Z247" s="517" t="s">
        <v>5449</v>
      </c>
      <c r="AA247" s="493" t="s">
        <v>1485</v>
      </c>
      <c r="AB247" s="507"/>
    </row>
    <row r="248" spans="2:28" x14ac:dyDescent="0.15">
      <c r="B248" s="330" t="s">
        <v>3084</v>
      </c>
      <c r="C248" s="525">
        <v>42887</v>
      </c>
      <c r="D248" s="198" t="s">
        <v>2034</v>
      </c>
      <c r="E248" s="53" t="s">
        <v>1396</v>
      </c>
      <c r="F248" s="198" t="s">
        <v>3799</v>
      </c>
      <c r="G248" s="3" t="s">
        <v>1110</v>
      </c>
      <c r="H248" s="53" t="s">
        <v>801</v>
      </c>
      <c r="I248" s="3" t="s">
        <v>1920</v>
      </c>
      <c r="J248" s="4" t="s">
        <v>268</v>
      </c>
      <c r="K248" s="4" t="s">
        <v>1158</v>
      </c>
      <c r="L248" s="4" t="s">
        <v>2035</v>
      </c>
      <c r="M248" s="191" t="s">
        <v>2039</v>
      </c>
      <c r="N248" s="255">
        <v>144000</v>
      </c>
      <c r="O248" s="265">
        <v>100</v>
      </c>
      <c r="P248" s="270">
        <v>1</v>
      </c>
      <c r="Q248" s="255">
        <v>144000</v>
      </c>
      <c r="R248" s="283">
        <v>144000</v>
      </c>
      <c r="S248" s="283">
        <v>29692</v>
      </c>
      <c r="T248" s="287">
        <v>0</v>
      </c>
      <c r="U248" s="287">
        <v>1</v>
      </c>
      <c r="V248" s="287">
        <v>0</v>
      </c>
      <c r="W248" s="283">
        <v>14400</v>
      </c>
      <c r="X248" s="283">
        <v>0</v>
      </c>
      <c r="Y248" s="199" t="s">
        <v>1392</v>
      </c>
      <c r="Z248" s="517" t="s">
        <v>5449</v>
      </c>
      <c r="AA248" s="493" t="s">
        <v>1485</v>
      </c>
      <c r="AB248" s="507"/>
    </row>
    <row r="249" spans="2:28" x14ac:dyDescent="0.15">
      <c r="B249" s="330" t="s">
        <v>3085</v>
      </c>
      <c r="C249" s="525">
        <v>42887</v>
      </c>
      <c r="D249" s="198" t="s">
        <v>2052</v>
      </c>
      <c r="E249" s="53" t="s">
        <v>1391</v>
      </c>
      <c r="F249" s="198" t="s">
        <v>3797</v>
      </c>
      <c r="G249" s="3" t="s">
        <v>362</v>
      </c>
      <c r="H249" s="53" t="s">
        <v>689</v>
      </c>
      <c r="I249" s="3" t="s">
        <v>1394</v>
      </c>
      <c r="J249" s="4" t="s">
        <v>270</v>
      </c>
      <c r="K249" s="4" t="s">
        <v>539</v>
      </c>
      <c r="L249" s="4" t="s">
        <v>2066</v>
      </c>
      <c r="M249" s="43" t="s">
        <v>1811</v>
      </c>
      <c r="N249" s="255">
        <v>278000</v>
      </c>
      <c r="O249" s="265">
        <v>50</v>
      </c>
      <c r="P249" s="270">
        <v>1</v>
      </c>
      <c r="Q249" s="255">
        <v>139000</v>
      </c>
      <c r="R249" s="283">
        <v>139000</v>
      </c>
      <c r="S249" s="283">
        <v>17199</v>
      </c>
      <c r="T249" s="287">
        <v>1</v>
      </c>
      <c r="U249" s="287">
        <v>0</v>
      </c>
      <c r="V249" s="287">
        <v>0</v>
      </c>
      <c r="W249" s="283">
        <v>0</v>
      </c>
      <c r="X249" s="283">
        <v>0</v>
      </c>
      <c r="Y249" s="199" t="s">
        <v>1395</v>
      </c>
      <c r="Z249" s="517" t="s">
        <v>5166</v>
      </c>
      <c r="AA249" s="493" t="s">
        <v>1485</v>
      </c>
      <c r="AB249" s="507"/>
    </row>
    <row r="250" spans="2:28" x14ac:dyDescent="0.15">
      <c r="B250" s="330" t="s">
        <v>3086</v>
      </c>
      <c r="C250" s="525">
        <v>42887</v>
      </c>
      <c r="D250" s="198" t="s">
        <v>2068</v>
      </c>
      <c r="E250" s="53" t="s">
        <v>1391</v>
      </c>
      <c r="F250" s="198" t="s">
        <v>3797</v>
      </c>
      <c r="G250" s="3" t="s">
        <v>362</v>
      </c>
      <c r="H250" s="53" t="s">
        <v>689</v>
      </c>
      <c r="I250" s="3" t="s">
        <v>1394</v>
      </c>
      <c r="J250" s="4" t="s">
        <v>271</v>
      </c>
      <c r="K250" s="4" t="s">
        <v>1160</v>
      </c>
      <c r="L250" s="4" t="s">
        <v>1594</v>
      </c>
      <c r="M250" s="43" t="s">
        <v>2069</v>
      </c>
      <c r="N250" s="255">
        <v>358000</v>
      </c>
      <c r="O250" s="265">
        <v>50</v>
      </c>
      <c r="P250" s="270">
        <v>1</v>
      </c>
      <c r="Q250" s="255">
        <v>179000</v>
      </c>
      <c r="R250" s="283">
        <v>179000</v>
      </c>
      <c r="S250" s="283">
        <v>51986</v>
      </c>
      <c r="T250" s="287">
        <v>1</v>
      </c>
      <c r="U250" s="287">
        <v>0</v>
      </c>
      <c r="V250" s="287">
        <v>0</v>
      </c>
      <c r="W250" s="283">
        <v>0</v>
      </c>
      <c r="X250" s="283">
        <v>0</v>
      </c>
      <c r="Y250" s="199" t="s">
        <v>1395</v>
      </c>
      <c r="Z250" s="517" t="s">
        <v>5166</v>
      </c>
      <c r="AA250" s="493" t="s">
        <v>1485</v>
      </c>
      <c r="AB250" s="507"/>
    </row>
    <row r="251" spans="2:28" x14ac:dyDescent="0.15">
      <c r="B251" s="330" t="s">
        <v>3087</v>
      </c>
      <c r="C251" s="525">
        <v>42887</v>
      </c>
      <c r="D251" s="198" t="s">
        <v>2070</v>
      </c>
      <c r="E251" s="53" t="s">
        <v>1391</v>
      </c>
      <c r="F251" s="198" t="s">
        <v>3797</v>
      </c>
      <c r="G251" s="3" t="s">
        <v>362</v>
      </c>
      <c r="H251" s="53" t="s">
        <v>689</v>
      </c>
      <c r="I251" s="3" t="s">
        <v>1394</v>
      </c>
      <c r="J251" s="4" t="s">
        <v>265</v>
      </c>
      <c r="K251" s="4" t="s">
        <v>1155</v>
      </c>
      <c r="L251" s="4" t="s">
        <v>2071</v>
      </c>
      <c r="M251" s="43" t="s">
        <v>1471</v>
      </c>
      <c r="N251" s="255">
        <v>346000</v>
      </c>
      <c r="O251" s="265">
        <v>50</v>
      </c>
      <c r="P251" s="270">
        <v>1</v>
      </c>
      <c r="Q251" s="255">
        <v>173000</v>
      </c>
      <c r="R251" s="283">
        <v>173000</v>
      </c>
      <c r="S251" s="283">
        <v>26353</v>
      </c>
      <c r="T251" s="287">
        <v>1</v>
      </c>
      <c r="U251" s="287">
        <v>0</v>
      </c>
      <c r="V251" s="287">
        <v>0</v>
      </c>
      <c r="W251" s="283">
        <v>0</v>
      </c>
      <c r="X251" s="283">
        <v>0</v>
      </c>
      <c r="Y251" s="199" t="s">
        <v>1395</v>
      </c>
      <c r="Z251" s="517" t="s">
        <v>5532</v>
      </c>
      <c r="AA251" s="493" t="s">
        <v>1485</v>
      </c>
      <c r="AB251" s="507"/>
    </row>
    <row r="252" spans="2:28" x14ac:dyDescent="0.15">
      <c r="B252" s="330" t="s">
        <v>3088</v>
      </c>
      <c r="C252" s="525">
        <v>42887</v>
      </c>
      <c r="D252" s="198" t="s">
        <v>2093</v>
      </c>
      <c r="E252" s="53" t="s">
        <v>1391</v>
      </c>
      <c r="F252" s="198" t="s">
        <v>3797</v>
      </c>
      <c r="G252" s="3" t="s">
        <v>362</v>
      </c>
      <c r="H252" s="53" t="s">
        <v>689</v>
      </c>
      <c r="I252" s="3" t="s">
        <v>1394</v>
      </c>
      <c r="J252" s="4" t="s">
        <v>299</v>
      </c>
      <c r="K252" s="4" t="s">
        <v>373</v>
      </c>
      <c r="L252" s="4" t="s">
        <v>2094</v>
      </c>
      <c r="M252" s="43"/>
      <c r="N252" s="255">
        <v>120000</v>
      </c>
      <c r="O252" s="265">
        <v>50</v>
      </c>
      <c r="P252" s="270">
        <v>1</v>
      </c>
      <c r="Q252" s="255">
        <v>60000</v>
      </c>
      <c r="R252" s="283">
        <v>60000</v>
      </c>
      <c r="S252" s="283">
        <v>31500</v>
      </c>
      <c r="T252" s="287">
        <v>0</v>
      </c>
      <c r="U252" s="287">
        <v>0</v>
      </c>
      <c r="V252" s="287">
        <v>0</v>
      </c>
      <c r="W252" s="283">
        <v>0</v>
      </c>
      <c r="X252" s="283">
        <v>0</v>
      </c>
      <c r="Y252" s="199" t="s">
        <v>1395</v>
      </c>
      <c r="Z252" s="517" t="s">
        <v>5166</v>
      </c>
      <c r="AA252" s="493" t="s">
        <v>1485</v>
      </c>
      <c r="AB252" s="507"/>
    </row>
    <row r="253" spans="2:28" x14ac:dyDescent="0.15">
      <c r="B253" s="330" t="s">
        <v>3089</v>
      </c>
      <c r="C253" s="525">
        <v>42887</v>
      </c>
      <c r="D253" s="198" t="s">
        <v>2098</v>
      </c>
      <c r="E253" s="53" t="s">
        <v>1391</v>
      </c>
      <c r="F253" s="198" t="s">
        <v>3797</v>
      </c>
      <c r="G253" s="3" t="s">
        <v>362</v>
      </c>
      <c r="H253" s="53" t="s">
        <v>689</v>
      </c>
      <c r="I253" s="3" t="s">
        <v>1394</v>
      </c>
      <c r="J253" s="3" t="s">
        <v>272</v>
      </c>
      <c r="K253" s="3" t="s">
        <v>363</v>
      </c>
      <c r="L253" s="197" t="s">
        <v>2099</v>
      </c>
      <c r="M253" s="53" t="s">
        <v>2044</v>
      </c>
      <c r="N253" s="255">
        <v>219000</v>
      </c>
      <c r="O253" s="265">
        <v>100</v>
      </c>
      <c r="P253" s="270">
        <v>1</v>
      </c>
      <c r="Q253" s="255">
        <v>219000</v>
      </c>
      <c r="R253" s="283">
        <v>219000</v>
      </c>
      <c r="S253" s="283">
        <v>75670</v>
      </c>
      <c r="T253" s="287">
        <v>1</v>
      </c>
      <c r="U253" s="287">
        <v>0</v>
      </c>
      <c r="V253" s="287">
        <v>0</v>
      </c>
      <c r="W253" s="283">
        <v>0</v>
      </c>
      <c r="X253" s="283">
        <v>0</v>
      </c>
      <c r="Y253" s="199" t="s">
        <v>1395</v>
      </c>
      <c r="Z253" s="517" t="s">
        <v>5166</v>
      </c>
      <c r="AA253" s="493" t="s">
        <v>1485</v>
      </c>
      <c r="AB253" s="507"/>
    </row>
    <row r="254" spans="2:28" x14ac:dyDescent="0.15">
      <c r="B254" s="330" t="s">
        <v>3090</v>
      </c>
      <c r="C254" s="525">
        <v>42888</v>
      </c>
      <c r="D254" s="198" t="s">
        <v>2100</v>
      </c>
      <c r="E254" s="53" t="s">
        <v>1396</v>
      </c>
      <c r="F254" s="198" t="s">
        <v>3801</v>
      </c>
      <c r="G254" s="3" t="s">
        <v>374</v>
      </c>
      <c r="H254" s="53"/>
      <c r="I254" s="3"/>
      <c r="J254" s="4" t="s">
        <v>297</v>
      </c>
      <c r="K254" s="4" t="s">
        <v>369</v>
      </c>
      <c r="L254" s="4" t="s">
        <v>1509</v>
      </c>
      <c r="M254" s="43"/>
      <c r="N254" s="255">
        <v>200</v>
      </c>
      <c r="O254" s="265">
        <v>40</v>
      </c>
      <c r="P254" s="270">
        <v>100</v>
      </c>
      <c r="Q254" s="255">
        <v>80</v>
      </c>
      <c r="R254" s="283">
        <v>8000</v>
      </c>
      <c r="S254" s="283">
        <v>5200</v>
      </c>
      <c r="T254" s="287">
        <v>0</v>
      </c>
      <c r="U254" s="287">
        <v>0</v>
      </c>
      <c r="V254" s="287">
        <v>0</v>
      </c>
      <c r="W254" s="283">
        <v>0</v>
      </c>
      <c r="X254" s="283">
        <v>0</v>
      </c>
      <c r="Y254" s="199" t="s">
        <v>1395</v>
      </c>
      <c r="Z254" s="517" t="s">
        <v>5168</v>
      </c>
      <c r="AA254" s="493" t="s">
        <v>1485</v>
      </c>
      <c r="AB254" s="507"/>
    </row>
    <row r="255" spans="2:28" x14ac:dyDescent="0.15">
      <c r="B255" s="330" t="s">
        <v>3091</v>
      </c>
      <c r="C255" s="525">
        <v>42888</v>
      </c>
      <c r="D255" s="198" t="s">
        <v>2101</v>
      </c>
      <c r="E255" s="53" t="s">
        <v>1391</v>
      </c>
      <c r="F255" s="198" t="s">
        <v>3813</v>
      </c>
      <c r="G255" s="3" t="s">
        <v>366</v>
      </c>
      <c r="H255" s="53" t="s">
        <v>1137</v>
      </c>
      <c r="I255" s="3" t="s">
        <v>1420</v>
      </c>
      <c r="J255" s="4" t="s">
        <v>271</v>
      </c>
      <c r="K255" s="4" t="s">
        <v>1160</v>
      </c>
      <c r="L255" s="4" t="s">
        <v>1945</v>
      </c>
      <c r="M255" s="43" t="s">
        <v>2102</v>
      </c>
      <c r="N255" s="255">
        <v>193800</v>
      </c>
      <c r="O255" s="265">
        <v>100</v>
      </c>
      <c r="P255" s="270">
        <v>1</v>
      </c>
      <c r="Q255" s="255">
        <v>193800</v>
      </c>
      <c r="R255" s="283">
        <v>193800</v>
      </c>
      <c r="S255" s="283">
        <v>45806</v>
      </c>
      <c r="T255" s="287">
        <v>0</v>
      </c>
      <c r="U255" s="287">
        <v>1</v>
      </c>
      <c r="V255" s="287">
        <v>0</v>
      </c>
      <c r="W255" s="283">
        <v>19380</v>
      </c>
      <c r="X255" s="283">
        <v>0</v>
      </c>
      <c r="Y255" s="199" t="s">
        <v>1392</v>
      </c>
      <c r="Z255" s="517" t="s">
        <v>5167</v>
      </c>
      <c r="AA255" s="493" t="s">
        <v>1485</v>
      </c>
      <c r="AB255" s="507"/>
    </row>
    <row r="256" spans="2:28" x14ac:dyDescent="0.15">
      <c r="B256" s="330" t="s">
        <v>3092</v>
      </c>
      <c r="C256" s="525">
        <v>42888</v>
      </c>
      <c r="D256" s="198" t="s">
        <v>2106</v>
      </c>
      <c r="E256" s="53" t="s">
        <v>1396</v>
      </c>
      <c r="F256" s="198" t="s">
        <v>3799</v>
      </c>
      <c r="G256" s="3" t="s">
        <v>1110</v>
      </c>
      <c r="H256" s="53" t="s">
        <v>801</v>
      </c>
      <c r="I256" s="3" t="s">
        <v>1920</v>
      </c>
      <c r="J256" s="4" t="s">
        <v>271</v>
      </c>
      <c r="K256" s="4" t="s">
        <v>1160</v>
      </c>
      <c r="L256" s="190" t="s">
        <v>2112</v>
      </c>
      <c r="M256" s="43" t="s">
        <v>2107</v>
      </c>
      <c r="N256" s="255">
        <v>184800</v>
      </c>
      <c r="O256" s="265">
        <v>100</v>
      </c>
      <c r="P256" s="270">
        <v>1</v>
      </c>
      <c r="Q256" s="255">
        <v>184800</v>
      </c>
      <c r="R256" s="283">
        <v>184800</v>
      </c>
      <c r="S256" s="283">
        <v>32306</v>
      </c>
      <c r="T256" s="287">
        <v>0</v>
      </c>
      <c r="U256" s="287">
        <v>1</v>
      </c>
      <c r="V256" s="287">
        <v>0</v>
      </c>
      <c r="W256" s="283">
        <v>18480</v>
      </c>
      <c r="X256" s="283">
        <v>0</v>
      </c>
      <c r="Y256" s="199" t="s">
        <v>1392</v>
      </c>
      <c r="Z256" s="517" t="s">
        <v>5449</v>
      </c>
      <c r="AA256" s="493" t="s">
        <v>1485</v>
      </c>
      <c r="AB256" s="507"/>
    </row>
    <row r="257" spans="2:28" x14ac:dyDescent="0.15">
      <c r="B257" s="330" t="s">
        <v>3093</v>
      </c>
      <c r="C257" s="525">
        <v>42888</v>
      </c>
      <c r="D257" s="198" t="s">
        <v>2110</v>
      </c>
      <c r="E257" s="53" t="s">
        <v>1391</v>
      </c>
      <c r="F257" s="198" t="s">
        <v>3794</v>
      </c>
      <c r="G257" s="3" t="s">
        <v>364</v>
      </c>
      <c r="H257" s="53" t="s">
        <v>423</v>
      </c>
      <c r="I257" s="3" t="s">
        <v>1439</v>
      </c>
      <c r="J257" s="4" t="s">
        <v>1402</v>
      </c>
      <c r="K257" s="4" t="s">
        <v>1403</v>
      </c>
      <c r="L257" s="4" t="s">
        <v>1902</v>
      </c>
      <c r="M257" s="43" t="s">
        <v>2111</v>
      </c>
      <c r="N257" s="255">
        <v>300000</v>
      </c>
      <c r="O257" s="265">
        <v>60</v>
      </c>
      <c r="P257" s="270">
        <v>1</v>
      </c>
      <c r="Q257" s="255">
        <v>180000</v>
      </c>
      <c r="R257" s="283">
        <v>180000</v>
      </c>
      <c r="S257" s="283">
        <v>41863</v>
      </c>
      <c r="T257" s="287">
        <v>0</v>
      </c>
      <c r="U257" s="287">
        <v>1</v>
      </c>
      <c r="V257" s="287">
        <v>0</v>
      </c>
      <c r="W257" s="283">
        <v>18000</v>
      </c>
      <c r="X257" s="283">
        <v>0</v>
      </c>
      <c r="Y257" s="199" t="s">
        <v>1392</v>
      </c>
      <c r="Z257" s="517" t="s">
        <v>5166</v>
      </c>
      <c r="AA257" s="493" t="s">
        <v>1485</v>
      </c>
      <c r="AB257" s="507"/>
    </row>
    <row r="258" spans="2:28" x14ac:dyDescent="0.15">
      <c r="B258" s="330" t="s">
        <v>3094</v>
      </c>
      <c r="C258" s="525">
        <v>42891</v>
      </c>
      <c r="D258" s="198" t="s">
        <v>2113</v>
      </c>
      <c r="E258" s="53" t="s">
        <v>1391</v>
      </c>
      <c r="F258" s="198" t="s">
        <v>3810</v>
      </c>
      <c r="G258" s="3" t="s">
        <v>367</v>
      </c>
      <c r="H258" s="53"/>
      <c r="I258" s="3"/>
      <c r="J258" s="4" t="s">
        <v>273</v>
      </c>
      <c r="K258" s="4" t="s">
        <v>1161</v>
      </c>
      <c r="L258" s="4" t="s">
        <v>2114</v>
      </c>
      <c r="M258" s="43" t="s">
        <v>2011</v>
      </c>
      <c r="N258" s="255">
        <v>260000</v>
      </c>
      <c r="O258" s="265">
        <v>55</v>
      </c>
      <c r="P258" s="270">
        <v>1</v>
      </c>
      <c r="Q258" s="255">
        <v>143000</v>
      </c>
      <c r="R258" s="283">
        <v>143000</v>
      </c>
      <c r="S258" s="283">
        <v>41785</v>
      </c>
      <c r="T258" s="287">
        <v>0</v>
      </c>
      <c r="U258" s="287">
        <v>1</v>
      </c>
      <c r="V258" s="287">
        <v>0</v>
      </c>
      <c r="W258" s="283">
        <v>11700</v>
      </c>
      <c r="X258" s="283">
        <v>0</v>
      </c>
      <c r="Y258" s="199" t="s">
        <v>1392</v>
      </c>
      <c r="Z258" s="517" t="s">
        <v>5166</v>
      </c>
      <c r="AA258" s="493" t="s">
        <v>1485</v>
      </c>
      <c r="AB258" s="507"/>
    </row>
    <row r="259" spans="2:28" x14ac:dyDescent="0.15">
      <c r="B259" s="330" t="s">
        <v>3095</v>
      </c>
      <c r="C259" s="525">
        <v>42891</v>
      </c>
      <c r="D259" s="198" t="s">
        <v>2115</v>
      </c>
      <c r="E259" s="53" t="s">
        <v>1396</v>
      </c>
      <c r="F259" s="198" t="s">
        <v>3800</v>
      </c>
      <c r="G259" s="3" t="s">
        <v>50</v>
      </c>
      <c r="H259" s="53" t="s">
        <v>379</v>
      </c>
      <c r="I259" s="3" t="s">
        <v>1407</v>
      </c>
      <c r="J259" s="4" t="s">
        <v>262</v>
      </c>
      <c r="K259" s="4" t="s">
        <v>365</v>
      </c>
      <c r="L259" s="4" t="s">
        <v>2116</v>
      </c>
      <c r="M259" s="43" t="s">
        <v>2117</v>
      </c>
      <c r="N259" s="255">
        <v>270000</v>
      </c>
      <c r="O259" s="265">
        <v>60</v>
      </c>
      <c r="P259" s="270">
        <v>1</v>
      </c>
      <c r="Q259" s="255">
        <v>162000</v>
      </c>
      <c r="R259" s="283">
        <v>162000</v>
      </c>
      <c r="S259" s="283">
        <v>47582</v>
      </c>
      <c r="T259" s="287">
        <v>0</v>
      </c>
      <c r="U259" s="287">
        <v>1</v>
      </c>
      <c r="V259" s="287">
        <v>0</v>
      </c>
      <c r="W259" s="283">
        <v>16200</v>
      </c>
      <c r="X259" s="283">
        <v>0</v>
      </c>
      <c r="Y259" s="199" t="s">
        <v>1392</v>
      </c>
      <c r="Z259" s="517" t="s">
        <v>5166</v>
      </c>
      <c r="AA259" s="493" t="s">
        <v>1485</v>
      </c>
      <c r="AB259" s="507"/>
    </row>
    <row r="260" spans="2:28" x14ac:dyDescent="0.15">
      <c r="B260" s="330" t="s">
        <v>3096</v>
      </c>
      <c r="C260" s="525">
        <v>42893</v>
      </c>
      <c r="D260" s="198" t="s">
        <v>2119</v>
      </c>
      <c r="E260" s="53" t="s">
        <v>1396</v>
      </c>
      <c r="F260" s="198" t="s">
        <v>3802</v>
      </c>
      <c r="G260" s="3" t="s">
        <v>376</v>
      </c>
      <c r="H260" s="53" t="s">
        <v>1120</v>
      </c>
      <c r="I260" s="3" t="s">
        <v>1442</v>
      </c>
      <c r="J260" s="4" t="s">
        <v>261</v>
      </c>
      <c r="K260" s="4" t="s">
        <v>1153</v>
      </c>
      <c r="L260" s="4" t="s">
        <v>2120</v>
      </c>
      <c r="M260" s="43" t="s">
        <v>2121</v>
      </c>
      <c r="N260" s="255">
        <v>250250</v>
      </c>
      <c r="O260" s="265">
        <v>100</v>
      </c>
      <c r="P260" s="270">
        <v>1</v>
      </c>
      <c r="Q260" s="255">
        <v>250250</v>
      </c>
      <c r="R260" s="283">
        <v>250250</v>
      </c>
      <c r="S260" s="283">
        <v>129092</v>
      </c>
      <c r="T260" s="287">
        <v>1</v>
      </c>
      <c r="U260" s="287">
        <v>0</v>
      </c>
      <c r="V260" s="287">
        <v>0</v>
      </c>
      <c r="W260" s="283">
        <v>0</v>
      </c>
      <c r="X260" s="283">
        <v>0</v>
      </c>
      <c r="Y260" s="199" t="s">
        <v>1395</v>
      </c>
      <c r="Z260" s="517" t="s">
        <v>5449</v>
      </c>
      <c r="AA260" s="493" t="s">
        <v>1485</v>
      </c>
      <c r="AB260" s="507"/>
    </row>
    <row r="261" spans="2:28" x14ac:dyDescent="0.15">
      <c r="B261" s="330" t="s">
        <v>3097</v>
      </c>
      <c r="C261" s="525">
        <v>42895</v>
      </c>
      <c r="D261" s="198" t="s">
        <v>2118</v>
      </c>
      <c r="E261" s="53" t="s">
        <v>1391</v>
      </c>
      <c r="F261" s="198" t="s">
        <v>3797</v>
      </c>
      <c r="G261" s="3" t="s">
        <v>362</v>
      </c>
      <c r="H261" s="53" t="s">
        <v>689</v>
      </c>
      <c r="I261" s="3" t="s">
        <v>1394</v>
      </c>
      <c r="J261" s="4" t="s">
        <v>295</v>
      </c>
      <c r="K261" s="4" t="s">
        <v>1166</v>
      </c>
      <c r="L261" s="4" t="s">
        <v>1498</v>
      </c>
      <c r="M261" s="43"/>
      <c r="N261" s="255">
        <v>24000</v>
      </c>
      <c r="O261" s="265">
        <v>65</v>
      </c>
      <c r="P261" s="270">
        <v>1</v>
      </c>
      <c r="Q261" s="255">
        <v>15600</v>
      </c>
      <c r="R261" s="283">
        <v>15600</v>
      </c>
      <c r="S261" s="283">
        <v>6500</v>
      </c>
      <c r="T261" s="287">
        <v>0</v>
      </c>
      <c r="U261" s="287">
        <v>0</v>
      </c>
      <c r="V261" s="287">
        <v>0</v>
      </c>
      <c r="W261" s="283">
        <v>0</v>
      </c>
      <c r="X261" s="283">
        <v>0</v>
      </c>
      <c r="Y261" s="199" t="s">
        <v>1395</v>
      </c>
      <c r="Z261" s="517" t="s">
        <v>5166</v>
      </c>
      <c r="AA261" s="493" t="s">
        <v>1485</v>
      </c>
      <c r="AB261" s="507"/>
    </row>
    <row r="262" spans="2:28" x14ac:dyDescent="0.15">
      <c r="B262" s="330" t="s">
        <v>3098</v>
      </c>
      <c r="C262" s="525">
        <v>42895</v>
      </c>
      <c r="D262" s="198" t="s">
        <v>2122</v>
      </c>
      <c r="E262" s="53" t="s">
        <v>1396</v>
      </c>
      <c r="F262" s="198" t="s">
        <v>3796</v>
      </c>
      <c r="G262" s="3" t="s">
        <v>368</v>
      </c>
      <c r="H262" s="53" t="s">
        <v>792</v>
      </c>
      <c r="I262" s="3" t="s">
        <v>1413</v>
      </c>
      <c r="J262" s="4" t="s">
        <v>273</v>
      </c>
      <c r="K262" s="4" t="s">
        <v>1161</v>
      </c>
      <c r="L262" s="4" t="s">
        <v>2089</v>
      </c>
      <c r="M262" s="43" t="s">
        <v>2123</v>
      </c>
      <c r="N262" s="255">
        <v>270000</v>
      </c>
      <c r="O262" s="265">
        <v>55</v>
      </c>
      <c r="P262" s="270">
        <v>1</v>
      </c>
      <c r="Q262" s="255">
        <v>148500</v>
      </c>
      <c r="R262" s="283">
        <v>148500</v>
      </c>
      <c r="S262" s="283">
        <v>46835</v>
      </c>
      <c r="T262" s="287">
        <v>0</v>
      </c>
      <c r="U262" s="287">
        <v>1</v>
      </c>
      <c r="V262" s="287">
        <v>0</v>
      </c>
      <c r="W262" s="283">
        <v>12150</v>
      </c>
      <c r="X262" s="283">
        <v>0</v>
      </c>
      <c r="Y262" s="199" t="s">
        <v>1392</v>
      </c>
      <c r="Z262" s="517" t="s">
        <v>5542</v>
      </c>
      <c r="AA262" s="493" t="s">
        <v>1485</v>
      </c>
      <c r="AB262" s="507"/>
    </row>
    <row r="263" spans="2:28" x14ac:dyDescent="0.15">
      <c r="B263" s="330" t="s">
        <v>3099</v>
      </c>
      <c r="C263" s="525">
        <v>42895</v>
      </c>
      <c r="D263" s="198" t="s">
        <v>2124</v>
      </c>
      <c r="E263" s="53" t="s">
        <v>1396</v>
      </c>
      <c r="F263" s="198" t="s">
        <v>3796</v>
      </c>
      <c r="G263" s="3" t="s">
        <v>368</v>
      </c>
      <c r="H263" s="53" t="s">
        <v>792</v>
      </c>
      <c r="I263" s="3" t="s">
        <v>1413</v>
      </c>
      <c r="J263" s="4" t="s">
        <v>273</v>
      </c>
      <c r="K263" s="4" t="s">
        <v>1161</v>
      </c>
      <c r="L263" s="4" t="s">
        <v>2125</v>
      </c>
      <c r="M263" s="43" t="s">
        <v>2126</v>
      </c>
      <c r="N263" s="255">
        <v>260000</v>
      </c>
      <c r="O263" s="265">
        <v>55</v>
      </c>
      <c r="P263" s="270">
        <v>1</v>
      </c>
      <c r="Q263" s="255">
        <v>143000</v>
      </c>
      <c r="R263" s="283">
        <v>143000</v>
      </c>
      <c r="S263" s="283">
        <v>41785</v>
      </c>
      <c r="T263" s="287">
        <v>0</v>
      </c>
      <c r="U263" s="287">
        <v>1</v>
      </c>
      <c r="V263" s="287">
        <v>0</v>
      </c>
      <c r="W263" s="283">
        <v>11700</v>
      </c>
      <c r="X263" s="283">
        <v>0</v>
      </c>
      <c r="Y263" s="199" t="s">
        <v>1392</v>
      </c>
      <c r="Z263" s="517" t="s">
        <v>5543</v>
      </c>
      <c r="AA263" s="493" t="s">
        <v>1485</v>
      </c>
      <c r="AB263" s="507"/>
    </row>
    <row r="264" spans="2:28" x14ac:dyDescent="0.15">
      <c r="B264" s="330" t="s">
        <v>3100</v>
      </c>
      <c r="C264" s="525">
        <v>42895</v>
      </c>
      <c r="D264" s="198" t="s">
        <v>2127</v>
      </c>
      <c r="E264" s="53" t="s">
        <v>1391</v>
      </c>
      <c r="F264" s="198" t="s">
        <v>3794</v>
      </c>
      <c r="G264" s="3" t="s">
        <v>364</v>
      </c>
      <c r="H264" s="53" t="s">
        <v>487</v>
      </c>
      <c r="I264" s="3" t="s">
        <v>2132</v>
      </c>
      <c r="J264" s="4" t="s">
        <v>297</v>
      </c>
      <c r="K264" s="4" t="s">
        <v>369</v>
      </c>
      <c r="L264" s="4" t="s">
        <v>1484</v>
      </c>
      <c r="M264" s="43"/>
      <c r="N264" s="255">
        <v>200</v>
      </c>
      <c r="O264" s="265">
        <v>50</v>
      </c>
      <c r="P264" s="270">
        <v>100</v>
      </c>
      <c r="Q264" s="255">
        <v>100</v>
      </c>
      <c r="R264" s="283">
        <v>10000</v>
      </c>
      <c r="S264" s="283">
        <v>5700</v>
      </c>
      <c r="T264" s="287">
        <v>0</v>
      </c>
      <c r="U264" s="287">
        <v>0</v>
      </c>
      <c r="V264" s="287">
        <v>0</v>
      </c>
      <c r="W264" s="283">
        <v>1500</v>
      </c>
      <c r="X264" s="283">
        <v>0</v>
      </c>
      <c r="Y264" s="199" t="s">
        <v>1392</v>
      </c>
      <c r="Z264" s="517" t="s">
        <v>5449</v>
      </c>
      <c r="AA264" s="500" t="s">
        <v>2134</v>
      </c>
      <c r="AB264" s="509"/>
    </row>
    <row r="265" spans="2:28" x14ac:dyDescent="0.15">
      <c r="B265" s="330" t="s">
        <v>3101</v>
      </c>
      <c r="C265" s="525">
        <v>42895</v>
      </c>
      <c r="D265" s="198" t="s">
        <v>2128</v>
      </c>
      <c r="E265" s="53" t="s">
        <v>1396</v>
      </c>
      <c r="F265" s="198" t="s">
        <v>3799</v>
      </c>
      <c r="G265" s="3" t="s">
        <v>1110</v>
      </c>
      <c r="H265" s="53" t="s">
        <v>801</v>
      </c>
      <c r="I265" s="3" t="s">
        <v>1920</v>
      </c>
      <c r="J265" s="4" t="s">
        <v>271</v>
      </c>
      <c r="K265" s="4" t="s">
        <v>1160</v>
      </c>
      <c r="L265" s="4" t="s">
        <v>2129</v>
      </c>
      <c r="M265" s="43" t="s">
        <v>2130</v>
      </c>
      <c r="N265" s="255">
        <v>178800</v>
      </c>
      <c r="O265" s="265">
        <v>100</v>
      </c>
      <c r="P265" s="270">
        <v>1</v>
      </c>
      <c r="Q265" s="255">
        <v>178800</v>
      </c>
      <c r="R265" s="283">
        <v>178800</v>
      </c>
      <c r="S265" s="283">
        <v>29306</v>
      </c>
      <c r="T265" s="287">
        <v>0</v>
      </c>
      <c r="U265" s="287">
        <v>1</v>
      </c>
      <c r="V265" s="287">
        <v>0</v>
      </c>
      <c r="W265" s="283">
        <v>17880</v>
      </c>
      <c r="X265" s="283">
        <v>0</v>
      </c>
      <c r="Y265" s="199" t="s">
        <v>1392</v>
      </c>
      <c r="Z265" s="517" t="s">
        <v>5546</v>
      </c>
      <c r="AA265" s="493" t="s">
        <v>2133</v>
      </c>
      <c r="AB265" s="507"/>
    </row>
    <row r="266" spans="2:28" x14ac:dyDescent="0.15">
      <c r="B266" s="330" t="s">
        <v>3102</v>
      </c>
      <c r="C266" s="525">
        <v>42895</v>
      </c>
      <c r="D266" s="198" t="s">
        <v>2140</v>
      </c>
      <c r="E266" s="53" t="s">
        <v>1391</v>
      </c>
      <c r="F266" s="198" t="s">
        <v>3803</v>
      </c>
      <c r="G266" s="3" t="s">
        <v>371</v>
      </c>
      <c r="H266" s="53" t="s">
        <v>2135</v>
      </c>
      <c r="I266" s="3" t="s">
        <v>2137</v>
      </c>
      <c r="J266" s="4" t="s">
        <v>294</v>
      </c>
      <c r="K266" s="4" t="s">
        <v>1165</v>
      </c>
      <c r="L266" s="4" t="s">
        <v>1165</v>
      </c>
      <c r="M266" s="43"/>
      <c r="N266" s="255">
        <v>42000</v>
      </c>
      <c r="O266" s="265">
        <v>65</v>
      </c>
      <c r="P266" s="270">
        <v>1</v>
      </c>
      <c r="Q266" s="255">
        <v>27300</v>
      </c>
      <c r="R266" s="283">
        <v>27300</v>
      </c>
      <c r="S266" s="283">
        <v>7398</v>
      </c>
      <c r="T266" s="287">
        <v>0</v>
      </c>
      <c r="U266" s="287">
        <v>0</v>
      </c>
      <c r="V266" s="287">
        <v>0</v>
      </c>
      <c r="W266" s="283">
        <v>3150</v>
      </c>
      <c r="X266" s="283">
        <v>0</v>
      </c>
      <c r="Y266" s="199" t="s">
        <v>1392</v>
      </c>
      <c r="Z266" s="517" t="s">
        <v>5166</v>
      </c>
      <c r="AA266" s="493" t="s">
        <v>1485</v>
      </c>
      <c r="AB266" s="507"/>
    </row>
    <row r="267" spans="2:28" x14ac:dyDescent="0.15">
      <c r="B267" s="330" t="s">
        <v>3103</v>
      </c>
      <c r="C267" s="525">
        <v>42895</v>
      </c>
      <c r="D267" s="198" t="s">
        <v>2141</v>
      </c>
      <c r="E267" s="53" t="s">
        <v>1391</v>
      </c>
      <c r="F267" s="198" t="s">
        <v>3794</v>
      </c>
      <c r="G267" s="3" t="s">
        <v>364</v>
      </c>
      <c r="H267" s="53" t="s">
        <v>444</v>
      </c>
      <c r="I267" s="3" t="s">
        <v>1440</v>
      </c>
      <c r="J267" s="4" t="s">
        <v>273</v>
      </c>
      <c r="K267" s="4" t="s">
        <v>1161</v>
      </c>
      <c r="L267" s="4" t="s">
        <v>2142</v>
      </c>
      <c r="M267" s="43" t="s">
        <v>2206</v>
      </c>
      <c r="N267" s="255">
        <v>260000</v>
      </c>
      <c r="O267" s="265">
        <v>50</v>
      </c>
      <c r="P267" s="270">
        <v>1</v>
      </c>
      <c r="Q267" s="255">
        <v>130000</v>
      </c>
      <c r="R267" s="283">
        <v>130000</v>
      </c>
      <c r="S267" s="283">
        <v>32685</v>
      </c>
      <c r="T267" s="287">
        <v>0</v>
      </c>
      <c r="U267" s="287">
        <v>1</v>
      </c>
      <c r="V267" s="287">
        <v>0</v>
      </c>
      <c r="W267" s="283">
        <v>7800</v>
      </c>
      <c r="X267" s="283">
        <v>0</v>
      </c>
      <c r="Y267" s="199" t="s">
        <v>1392</v>
      </c>
      <c r="Z267" s="517" t="s">
        <v>5543</v>
      </c>
      <c r="AA267" s="493" t="s">
        <v>1485</v>
      </c>
      <c r="AB267" s="507"/>
    </row>
    <row r="268" spans="2:28" x14ac:dyDescent="0.15">
      <c r="B268" s="330" t="s">
        <v>3104</v>
      </c>
      <c r="C268" s="525">
        <v>42895</v>
      </c>
      <c r="D268" s="198" t="s">
        <v>2143</v>
      </c>
      <c r="E268" s="53" t="s">
        <v>1396</v>
      </c>
      <c r="F268" s="198" t="s">
        <v>3796</v>
      </c>
      <c r="G268" s="3" t="s">
        <v>368</v>
      </c>
      <c r="H268" s="53" t="s">
        <v>792</v>
      </c>
      <c r="I268" s="3" t="s">
        <v>1413</v>
      </c>
      <c r="J268" s="4" t="s">
        <v>271</v>
      </c>
      <c r="K268" s="4" t="s">
        <v>1160</v>
      </c>
      <c r="L268" s="4" t="s">
        <v>2144</v>
      </c>
      <c r="M268" s="43" t="s">
        <v>2145</v>
      </c>
      <c r="N268" s="255">
        <v>348000</v>
      </c>
      <c r="O268" s="265">
        <v>50</v>
      </c>
      <c r="P268" s="270">
        <v>1</v>
      </c>
      <c r="Q268" s="255">
        <v>174000</v>
      </c>
      <c r="R268" s="283">
        <v>174000</v>
      </c>
      <c r="S268" s="283">
        <v>34946</v>
      </c>
      <c r="T268" s="287">
        <v>0</v>
      </c>
      <c r="U268" s="287">
        <v>1</v>
      </c>
      <c r="V268" s="287">
        <v>0</v>
      </c>
      <c r="W268" s="283">
        <v>10440</v>
      </c>
      <c r="X268" s="283">
        <v>0</v>
      </c>
      <c r="Y268" s="199" t="s">
        <v>1392</v>
      </c>
      <c r="Z268" s="517" t="s">
        <v>5166</v>
      </c>
      <c r="AA268" s="493" t="s">
        <v>1485</v>
      </c>
      <c r="AB268" s="507"/>
    </row>
    <row r="269" spans="2:28" x14ac:dyDescent="0.15">
      <c r="B269" s="330" t="s">
        <v>3105</v>
      </c>
      <c r="C269" s="525">
        <v>42895</v>
      </c>
      <c r="D269" s="198" t="s">
        <v>2146</v>
      </c>
      <c r="E269" s="53" t="s">
        <v>1396</v>
      </c>
      <c r="F269" s="198" t="s">
        <v>3799</v>
      </c>
      <c r="G269" s="3" t="s">
        <v>1110</v>
      </c>
      <c r="H269" s="53" t="s">
        <v>796</v>
      </c>
      <c r="I269" s="3" t="s">
        <v>1428</v>
      </c>
      <c r="J269" s="4" t="s">
        <v>299</v>
      </c>
      <c r="K269" s="4" t="s">
        <v>373</v>
      </c>
      <c r="L269" s="4" t="s">
        <v>2147</v>
      </c>
      <c r="M269" s="43"/>
      <c r="N269" s="255">
        <v>3000</v>
      </c>
      <c r="O269" s="265">
        <v>100</v>
      </c>
      <c r="P269" s="270">
        <v>1</v>
      </c>
      <c r="Q269" s="255">
        <v>3000</v>
      </c>
      <c r="R269" s="283">
        <v>3000</v>
      </c>
      <c r="S269" s="283">
        <v>808</v>
      </c>
      <c r="T269" s="287">
        <v>0</v>
      </c>
      <c r="U269" s="287">
        <v>0</v>
      </c>
      <c r="V269" s="287">
        <v>0</v>
      </c>
      <c r="W269" s="283">
        <v>2192</v>
      </c>
      <c r="X269" s="283">
        <v>0</v>
      </c>
      <c r="Y269" s="199" t="s">
        <v>1392</v>
      </c>
      <c r="Z269" s="517" t="s">
        <v>5166</v>
      </c>
      <c r="AA269" s="493" t="s">
        <v>1485</v>
      </c>
      <c r="AB269" s="507"/>
    </row>
    <row r="270" spans="2:28" x14ac:dyDescent="0.15">
      <c r="B270" s="330" t="s">
        <v>3106</v>
      </c>
      <c r="C270" s="525">
        <v>42895</v>
      </c>
      <c r="D270" s="198" t="s">
        <v>2146</v>
      </c>
      <c r="E270" s="53" t="s">
        <v>1396</v>
      </c>
      <c r="F270" s="198" t="s">
        <v>3799</v>
      </c>
      <c r="G270" s="3" t="s">
        <v>1110</v>
      </c>
      <c r="H270" s="53" t="s">
        <v>796</v>
      </c>
      <c r="I270" s="3" t="s">
        <v>1428</v>
      </c>
      <c r="J270" s="4" t="s">
        <v>298</v>
      </c>
      <c r="K270" s="4" t="s">
        <v>1168</v>
      </c>
      <c r="L270" s="4" t="s">
        <v>1437</v>
      </c>
      <c r="M270" s="43"/>
      <c r="N270" s="255">
        <v>2500</v>
      </c>
      <c r="O270" s="265">
        <v>65</v>
      </c>
      <c r="P270" s="270">
        <v>1</v>
      </c>
      <c r="Q270" s="255">
        <v>1625</v>
      </c>
      <c r="R270" s="283">
        <v>1625</v>
      </c>
      <c r="S270" s="283">
        <v>848</v>
      </c>
      <c r="T270" s="287">
        <v>0</v>
      </c>
      <c r="U270" s="287">
        <v>0</v>
      </c>
      <c r="V270" s="287">
        <v>0</v>
      </c>
      <c r="W270" s="283">
        <v>187</v>
      </c>
      <c r="X270" s="283">
        <v>0</v>
      </c>
      <c r="Y270" s="199" t="s">
        <v>1392</v>
      </c>
      <c r="Z270" s="517" t="s">
        <v>5166</v>
      </c>
      <c r="AA270" s="493" t="s">
        <v>1485</v>
      </c>
      <c r="AB270" s="507"/>
    </row>
    <row r="271" spans="2:28" x14ac:dyDescent="0.15">
      <c r="B271" s="330" t="s">
        <v>3107</v>
      </c>
      <c r="C271" s="525">
        <v>42895</v>
      </c>
      <c r="D271" s="198" t="s">
        <v>2148</v>
      </c>
      <c r="E271" s="53" t="s">
        <v>1391</v>
      </c>
      <c r="F271" s="198" t="s">
        <v>3797</v>
      </c>
      <c r="G271" s="3" t="s">
        <v>362</v>
      </c>
      <c r="H271" s="53" t="s">
        <v>693</v>
      </c>
      <c r="I271" s="3" t="s">
        <v>1398</v>
      </c>
      <c r="J271" s="4" t="s">
        <v>271</v>
      </c>
      <c r="K271" s="4" t="s">
        <v>1160</v>
      </c>
      <c r="L271" s="4" t="s">
        <v>2149</v>
      </c>
      <c r="M271" s="43" t="s">
        <v>2150</v>
      </c>
      <c r="N271" s="255">
        <v>174330</v>
      </c>
      <c r="O271" s="265">
        <v>100</v>
      </c>
      <c r="P271" s="270">
        <v>1</v>
      </c>
      <c r="Q271" s="255">
        <v>174330</v>
      </c>
      <c r="R271" s="283">
        <v>174330</v>
      </c>
      <c r="S271" s="283">
        <v>36756</v>
      </c>
      <c r="T271" s="287">
        <v>1</v>
      </c>
      <c r="U271" s="287">
        <v>0</v>
      </c>
      <c r="V271" s="287">
        <v>0</v>
      </c>
      <c r="W271" s="283">
        <v>0</v>
      </c>
      <c r="X271" s="283">
        <v>0</v>
      </c>
      <c r="Y271" s="199" t="s">
        <v>1395</v>
      </c>
      <c r="Z271" s="517" t="s">
        <v>5532</v>
      </c>
      <c r="AA271" s="493" t="s">
        <v>1485</v>
      </c>
      <c r="AB271" s="507"/>
    </row>
    <row r="272" spans="2:28" x14ac:dyDescent="0.15">
      <c r="B272" s="330" t="s">
        <v>3108</v>
      </c>
      <c r="C272" s="525">
        <v>42900</v>
      </c>
      <c r="D272" s="198" t="s">
        <v>2151</v>
      </c>
      <c r="E272" s="53" t="s">
        <v>1391</v>
      </c>
      <c r="F272" s="198" t="s">
        <v>3797</v>
      </c>
      <c r="G272" s="3" t="s">
        <v>362</v>
      </c>
      <c r="H272" s="53" t="s">
        <v>689</v>
      </c>
      <c r="I272" s="3" t="s">
        <v>1394</v>
      </c>
      <c r="J272" s="4" t="s">
        <v>264</v>
      </c>
      <c r="K272" s="4" t="s">
        <v>538</v>
      </c>
      <c r="L272" s="4" t="s">
        <v>2152</v>
      </c>
      <c r="M272" s="43" t="s">
        <v>2153</v>
      </c>
      <c r="N272" s="255">
        <v>320000</v>
      </c>
      <c r="O272" s="265">
        <v>50</v>
      </c>
      <c r="P272" s="270">
        <v>1</v>
      </c>
      <c r="Q272" s="255">
        <v>160000</v>
      </c>
      <c r="R272" s="283">
        <v>160000</v>
      </c>
      <c r="S272" s="283">
        <v>52198</v>
      </c>
      <c r="T272" s="287">
        <v>1</v>
      </c>
      <c r="U272" s="287">
        <v>0</v>
      </c>
      <c r="V272" s="287">
        <v>0</v>
      </c>
      <c r="W272" s="283">
        <v>0</v>
      </c>
      <c r="X272" s="283">
        <v>0</v>
      </c>
      <c r="Y272" s="199" t="s">
        <v>1395</v>
      </c>
      <c r="Z272" s="517" t="s">
        <v>5166</v>
      </c>
      <c r="AA272" s="493" t="s">
        <v>1485</v>
      </c>
      <c r="AB272" s="507"/>
    </row>
    <row r="273" spans="2:28" x14ac:dyDescent="0.15">
      <c r="B273" s="330" t="s">
        <v>3109</v>
      </c>
      <c r="C273" s="525">
        <v>42900</v>
      </c>
      <c r="D273" s="198" t="s">
        <v>2154</v>
      </c>
      <c r="E273" s="53" t="s">
        <v>1391</v>
      </c>
      <c r="F273" s="198" t="s">
        <v>3797</v>
      </c>
      <c r="G273" s="3" t="s">
        <v>362</v>
      </c>
      <c r="H273" s="53" t="s">
        <v>689</v>
      </c>
      <c r="I273" s="3" t="s">
        <v>1394</v>
      </c>
      <c r="J273" s="4" t="s">
        <v>264</v>
      </c>
      <c r="K273" s="4" t="s">
        <v>538</v>
      </c>
      <c r="L273" s="4" t="s">
        <v>2155</v>
      </c>
      <c r="M273" s="43" t="s">
        <v>2156</v>
      </c>
      <c r="N273" s="255">
        <v>320000</v>
      </c>
      <c r="O273" s="265">
        <v>50</v>
      </c>
      <c r="P273" s="270">
        <v>1</v>
      </c>
      <c r="Q273" s="255">
        <v>160000</v>
      </c>
      <c r="R273" s="283">
        <v>160000</v>
      </c>
      <c r="S273" s="283">
        <v>52198</v>
      </c>
      <c r="T273" s="287">
        <v>1</v>
      </c>
      <c r="U273" s="287">
        <v>0</v>
      </c>
      <c r="V273" s="287">
        <v>0</v>
      </c>
      <c r="W273" s="283">
        <v>0</v>
      </c>
      <c r="X273" s="283">
        <v>0</v>
      </c>
      <c r="Y273" s="199" t="s">
        <v>1395</v>
      </c>
      <c r="Z273" s="517" t="s">
        <v>5532</v>
      </c>
      <c r="AA273" s="493" t="s">
        <v>1485</v>
      </c>
      <c r="AB273" s="507"/>
    </row>
    <row r="274" spans="2:28" x14ac:dyDescent="0.15">
      <c r="B274" s="330" t="s">
        <v>3110</v>
      </c>
      <c r="C274" s="525">
        <v>42901</v>
      </c>
      <c r="D274" s="198" t="s">
        <v>2157</v>
      </c>
      <c r="E274" s="53" t="s">
        <v>1396</v>
      </c>
      <c r="F274" s="198" t="s">
        <v>3796</v>
      </c>
      <c r="G274" s="3" t="s">
        <v>368</v>
      </c>
      <c r="H274" s="53" t="s">
        <v>792</v>
      </c>
      <c r="I274" s="3" t="s">
        <v>1413</v>
      </c>
      <c r="J274" s="4" t="s">
        <v>272</v>
      </c>
      <c r="K274" s="4" t="s">
        <v>363</v>
      </c>
      <c r="L274" s="4" t="s">
        <v>2158</v>
      </c>
      <c r="M274" s="43" t="s">
        <v>2159</v>
      </c>
      <c r="N274" s="255">
        <v>226100</v>
      </c>
      <c r="O274" s="265">
        <v>100</v>
      </c>
      <c r="P274" s="270">
        <v>1</v>
      </c>
      <c r="Q274" s="255">
        <v>226100</v>
      </c>
      <c r="R274" s="283">
        <v>226100</v>
      </c>
      <c r="S274" s="283">
        <v>56682</v>
      </c>
      <c r="T274" s="287">
        <v>0</v>
      </c>
      <c r="U274" s="287">
        <v>1</v>
      </c>
      <c r="V274" s="287">
        <v>0</v>
      </c>
      <c r="W274" s="283">
        <v>26088</v>
      </c>
      <c r="X274" s="283">
        <v>0</v>
      </c>
      <c r="Y274" s="199" t="s">
        <v>1392</v>
      </c>
      <c r="Z274" s="517" t="s">
        <v>5166</v>
      </c>
      <c r="AA274" s="493" t="s">
        <v>1485</v>
      </c>
      <c r="AB274" s="507"/>
    </row>
    <row r="275" spans="2:28" x14ac:dyDescent="0.15">
      <c r="B275" s="330" t="s">
        <v>3111</v>
      </c>
      <c r="C275" s="525">
        <v>42901</v>
      </c>
      <c r="D275" s="198" t="s">
        <v>2160</v>
      </c>
      <c r="E275" s="53" t="s">
        <v>1391</v>
      </c>
      <c r="F275" s="198" t="s">
        <v>3794</v>
      </c>
      <c r="G275" s="3" t="s">
        <v>364</v>
      </c>
      <c r="H275" s="53" t="s">
        <v>444</v>
      </c>
      <c r="I275" s="3" t="s">
        <v>1440</v>
      </c>
      <c r="J275" s="4" t="s">
        <v>264</v>
      </c>
      <c r="K275" s="4" t="s">
        <v>538</v>
      </c>
      <c r="L275" s="4" t="s">
        <v>2161</v>
      </c>
      <c r="M275" s="43" t="s">
        <v>2162</v>
      </c>
      <c r="N275" s="255">
        <v>330000</v>
      </c>
      <c r="O275" s="265">
        <v>55</v>
      </c>
      <c r="P275" s="270">
        <v>1</v>
      </c>
      <c r="Q275" s="255">
        <v>181500</v>
      </c>
      <c r="R275" s="283">
        <v>181500</v>
      </c>
      <c r="S275" s="283">
        <v>56348</v>
      </c>
      <c r="T275" s="287">
        <v>0</v>
      </c>
      <c r="U275" s="287">
        <v>1</v>
      </c>
      <c r="V275" s="287">
        <v>0</v>
      </c>
      <c r="W275" s="283">
        <v>14850</v>
      </c>
      <c r="X275" s="283">
        <v>0</v>
      </c>
      <c r="Y275" s="199" t="s">
        <v>1392</v>
      </c>
      <c r="Z275" s="517" t="s">
        <v>5166</v>
      </c>
      <c r="AA275" s="493" t="s">
        <v>1485</v>
      </c>
      <c r="AB275" s="507"/>
    </row>
    <row r="276" spans="2:28" x14ac:dyDescent="0.15">
      <c r="B276" s="330" t="s">
        <v>3112</v>
      </c>
      <c r="C276" s="525">
        <v>42902</v>
      </c>
      <c r="D276" s="198" t="s">
        <v>2163</v>
      </c>
      <c r="E276" s="53" t="s">
        <v>1391</v>
      </c>
      <c r="F276" s="198" t="s">
        <v>3797</v>
      </c>
      <c r="G276" s="3" t="s">
        <v>362</v>
      </c>
      <c r="H276" s="53" t="s">
        <v>693</v>
      </c>
      <c r="I276" s="3" t="s">
        <v>1398</v>
      </c>
      <c r="J276" s="4" t="s">
        <v>271</v>
      </c>
      <c r="K276" s="4" t="s">
        <v>1160</v>
      </c>
      <c r="L276" s="4" t="s">
        <v>2164</v>
      </c>
      <c r="M276" s="191" t="s">
        <v>2165</v>
      </c>
      <c r="N276" s="255">
        <v>174330</v>
      </c>
      <c r="O276" s="265">
        <v>100</v>
      </c>
      <c r="P276" s="270">
        <v>1</v>
      </c>
      <c r="Q276" s="255">
        <v>174330</v>
      </c>
      <c r="R276" s="283">
        <v>174330</v>
      </c>
      <c r="S276" s="283">
        <v>36756</v>
      </c>
      <c r="T276" s="287">
        <v>1</v>
      </c>
      <c r="U276" s="287">
        <v>0</v>
      </c>
      <c r="V276" s="287">
        <v>0</v>
      </c>
      <c r="W276" s="283">
        <v>0</v>
      </c>
      <c r="X276" s="283">
        <v>0</v>
      </c>
      <c r="Y276" s="199" t="s">
        <v>1395</v>
      </c>
      <c r="Z276" s="517" t="s">
        <v>5166</v>
      </c>
      <c r="AA276" s="493" t="s">
        <v>1485</v>
      </c>
      <c r="AB276" s="507"/>
    </row>
    <row r="277" spans="2:28" x14ac:dyDescent="0.15">
      <c r="B277" s="330" t="s">
        <v>3113</v>
      </c>
      <c r="C277" s="525">
        <v>42902</v>
      </c>
      <c r="D277" s="198" t="s">
        <v>2166</v>
      </c>
      <c r="E277" s="53" t="s">
        <v>1396</v>
      </c>
      <c r="F277" s="198" t="s">
        <v>3793</v>
      </c>
      <c r="G277" s="3" t="s">
        <v>1111</v>
      </c>
      <c r="H277" s="53" t="s">
        <v>1425</v>
      </c>
      <c r="I277" s="3" t="s">
        <v>1426</v>
      </c>
      <c r="J277" s="4" t="s">
        <v>299</v>
      </c>
      <c r="K277" s="4" t="s">
        <v>373</v>
      </c>
      <c r="L277" s="4" t="s">
        <v>2167</v>
      </c>
      <c r="M277" s="43"/>
      <c r="N277" s="255">
        <v>5000</v>
      </c>
      <c r="O277" s="265">
        <v>100</v>
      </c>
      <c r="P277" s="270">
        <v>1</v>
      </c>
      <c r="Q277" s="255">
        <v>5000</v>
      </c>
      <c r="R277" s="283">
        <v>5000</v>
      </c>
      <c r="S277" s="283">
        <v>1348</v>
      </c>
      <c r="T277" s="287">
        <v>0</v>
      </c>
      <c r="U277" s="287">
        <v>0</v>
      </c>
      <c r="V277" s="287">
        <v>0</v>
      </c>
      <c r="W277" s="283">
        <v>3652</v>
      </c>
      <c r="X277" s="283">
        <v>0</v>
      </c>
      <c r="Y277" s="199" t="s">
        <v>1392</v>
      </c>
      <c r="Z277" s="517" t="s">
        <v>5532</v>
      </c>
      <c r="AA277" s="493" t="s">
        <v>1485</v>
      </c>
      <c r="AB277" s="507"/>
    </row>
    <row r="278" spans="2:28" x14ac:dyDescent="0.15">
      <c r="B278" s="330" t="s">
        <v>3114</v>
      </c>
      <c r="C278" s="525">
        <v>42902</v>
      </c>
      <c r="D278" s="198" t="s">
        <v>2166</v>
      </c>
      <c r="E278" s="53" t="s">
        <v>1396</v>
      </c>
      <c r="F278" s="198" t="s">
        <v>3793</v>
      </c>
      <c r="G278" s="3" t="s">
        <v>1111</v>
      </c>
      <c r="H278" s="53" t="s">
        <v>1425</v>
      </c>
      <c r="I278" s="3" t="s">
        <v>1426</v>
      </c>
      <c r="J278" s="4" t="s">
        <v>298</v>
      </c>
      <c r="K278" s="4" t="s">
        <v>1168</v>
      </c>
      <c r="L278" s="4" t="s">
        <v>1464</v>
      </c>
      <c r="M278" s="43"/>
      <c r="N278" s="255">
        <v>1600</v>
      </c>
      <c r="O278" s="265">
        <v>65</v>
      </c>
      <c r="P278" s="270">
        <v>1</v>
      </c>
      <c r="Q278" s="255">
        <v>1040</v>
      </c>
      <c r="R278" s="283">
        <v>1040</v>
      </c>
      <c r="S278" s="283">
        <v>0</v>
      </c>
      <c r="T278" s="287">
        <v>0</v>
      </c>
      <c r="U278" s="287">
        <v>0</v>
      </c>
      <c r="V278" s="287">
        <v>0</v>
      </c>
      <c r="W278" s="283">
        <v>120</v>
      </c>
      <c r="X278" s="283">
        <v>0</v>
      </c>
      <c r="Y278" s="199" t="s">
        <v>1392</v>
      </c>
      <c r="Z278" s="517" t="s">
        <v>5166</v>
      </c>
      <c r="AA278" s="493" t="s">
        <v>1485</v>
      </c>
      <c r="AB278" s="507"/>
    </row>
    <row r="279" spans="2:28" x14ac:dyDescent="0.15">
      <c r="B279" s="330" t="s">
        <v>3115</v>
      </c>
      <c r="C279" s="525">
        <v>42902</v>
      </c>
      <c r="D279" s="198" t="s">
        <v>2166</v>
      </c>
      <c r="E279" s="53" t="s">
        <v>1396</v>
      </c>
      <c r="F279" s="198" t="s">
        <v>3793</v>
      </c>
      <c r="G279" s="3" t="s">
        <v>1111</v>
      </c>
      <c r="H279" s="53" t="s">
        <v>1425</v>
      </c>
      <c r="I279" s="3" t="s">
        <v>1426</v>
      </c>
      <c r="J279" s="4" t="s">
        <v>298</v>
      </c>
      <c r="K279" s="4" t="s">
        <v>1168</v>
      </c>
      <c r="L279" s="4" t="s">
        <v>1862</v>
      </c>
      <c r="M279" s="43"/>
      <c r="N279" s="255">
        <v>1000</v>
      </c>
      <c r="O279" s="265">
        <v>65</v>
      </c>
      <c r="P279" s="270">
        <v>1</v>
      </c>
      <c r="Q279" s="255">
        <v>650</v>
      </c>
      <c r="R279" s="283">
        <v>650</v>
      </c>
      <c r="S279" s="283">
        <v>0</v>
      </c>
      <c r="T279" s="287">
        <v>0</v>
      </c>
      <c r="U279" s="287">
        <v>0</v>
      </c>
      <c r="V279" s="287">
        <v>0</v>
      </c>
      <c r="W279" s="283">
        <v>75</v>
      </c>
      <c r="X279" s="283">
        <v>0</v>
      </c>
      <c r="Y279" s="199" t="s">
        <v>1392</v>
      </c>
      <c r="Z279" s="517" t="s">
        <v>5166</v>
      </c>
      <c r="AA279" s="493" t="s">
        <v>1485</v>
      </c>
      <c r="AB279" s="507"/>
    </row>
    <row r="280" spans="2:28" x14ac:dyDescent="0.15">
      <c r="B280" s="330" t="s">
        <v>3116</v>
      </c>
      <c r="C280" s="526">
        <v>42902</v>
      </c>
      <c r="D280" s="191" t="s">
        <v>2168</v>
      </c>
      <c r="E280" s="43" t="s">
        <v>1391</v>
      </c>
      <c r="F280" s="191" t="s">
        <v>3794</v>
      </c>
      <c r="G280" s="4" t="s">
        <v>364</v>
      </c>
      <c r="H280" s="43" t="s">
        <v>432</v>
      </c>
      <c r="I280" s="4" t="s">
        <v>375</v>
      </c>
      <c r="J280" s="4" t="s">
        <v>299</v>
      </c>
      <c r="K280" s="4" t="s">
        <v>373</v>
      </c>
      <c r="L280" s="4" t="s">
        <v>2169</v>
      </c>
      <c r="M280" s="43"/>
      <c r="N280" s="255">
        <v>3000</v>
      </c>
      <c r="O280" s="265">
        <v>100</v>
      </c>
      <c r="P280" s="270">
        <v>1</v>
      </c>
      <c r="Q280" s="255">
        <v>3000</v>
      </c>
      <c r="R280" s="283">
        <v>3000</v>
      </c>
      <c r="S280" s="283">
        <v>0</v>
      </c>
      <c r="T280" s="287">
        <v>0</v>
      </c>
      <c r="U280" s="287">
        <v>0</v>
      </c>
      <c r="V280" s="287">
        <v>0</v>
      </c>
      <c r="W280" s="283">
        <v>2192</v>
      </c>
      <c r="X280" s="283">
        <v>0</v>
      </c>
      <c r="Y280" s="199" t="s">
        <v>1392</v>
      </c>
      <c r="Z280" s="517" t="s">
        <v>5166</v>
      </c>
      <c r="AA280" s="493" t="s">
        <v>1485</v>
      </c>
      <c r="AB280" s="507"/>
    </row>
    <row r="281" spans="2:28" x14ac:dyDescent="0.15">
      <c r="B281" s="330" t="s">
        <v>3117</v>
      </c>
      <c r="C281" s="526">
        <v>42902</v>
      </c>
      <c r="D281" s="191" t="s">
        <v>2168</v>
      </c>
      <c r="E281" s="43" t="s">
        <v>1391</v>
      </c>
      <c r="F281" s="191" t="s">
        <v>3794</v>
      </c>
      <c r="G281" s="4" t="s">
        <v>364</v>
      </c>
      <c r="H281" s="43" t="s">
        <v>432</v>
      </c>
      <c r="I281" s="4" t="s">
        <v>375</v>
      </c>
      <c r="J281" s="4" t="s">
        <v>298</v>
      </c>
      <c r="K281" s="4" t="s">
        <v>1168</v>
      </c>
      <c r="L281" s="4" t="s">
        <v>2170</v>
      </c>
      <c r="M281" s="43"/>
      <c r="N281" s="255">
        <v>1200</v>
      </c>
      <c r="O281" s="265">
        <v>65</v>
      </c>
      <c r="P281" s="270">
        <v>1</v>
      </c>
      <c r="Q281" s="255">
        <v>780</v>
      </c>
      <c r="R281" s="283">
        <v>780</v>
      </c>
      <c r="S281" s="283">
        <v>0</v>
      </c>
      <c r="T281" s="287">
        <v>0</v>
      </c>
      <c r="U281" s="287">
        <v>0</v>
      </c>
      <c r="V281" s="287">
        <v>0</v>
      </c>
      <c r="W281" s="283">
        <v>90</v>
      </c>
      <c r="X281" s="283">
        <v>0</v>
      </c>
      <c r="Y281" s="199" t="s">
        <v>1392</v>
      </c>
      <c r="Z281" s="517" t="s">
        <v>5166</v>
      </c>
      <c r="AA281" s="493" t="s">
        <v>1485</v>
      </c>
      <c r="AB281" s="507"/>
    </row>
    <row r="282" spans="2:28" x14ac:dyDescent="0.15">
      <c r="B282" s="330" t="s">
        <v>3118</v>
      </c>
      <c r="C282" s="526">
        <v>42906</v>
      </c>
      <c r="D282" s="191" t="s">
        <v>2174</v>
      </c>
      <c r="E282" s="43" t="s">
        <v>1391</v>
      </c>
      <c r="F282" s="191" t="s">
        <v>3794</v>
      </c>
      <c r="G282" s="4" t="s">
        <v>364</v>
      </c>
      <c r="H282" s="43" t="s">
        <v>444</v>
      </c>
      <c r="I282" s="4" t="s">
        <v>1440</v>
      </c>
      <c r="J282" s="4" t="s">
        <v>268</v>
      </c>
      <c r="K282" s="4" t="s">
        <v>1158</v>
      </c>
      <c r="L282" s="4" t="s">
        <v>2084</v>
      </c>
      <c r="M282" s="43" t="s">
        <v>2175</v>
      </c>
      <c r="N282" s="255">
        <v>285000</v>
      </c>
      <c r="O282" s="265">
        <v>55</v>
      </c>
      <c r="P282" s="270">
        <v>1</v>
      </c>
      <c r="Q282" s="255">
        <v>156750</v>
      </c>
      <c r="R282" s="283">
        <v>156750</v>
      </c>
      <c r="S282" s="283">
        <v>49917</v>
      </c>
      <c r="T282" s="287">
        <v>0</v>
      </c>
      <c r="U282" s="287">
        <v>1</v>
      </c>
      <c r="V282" s="287">
        <v>0</v>
      </c>
      <c r="W282" s="283">
        <v>12825</v>
      </c>
      <c r="X282" s="283">
        <v>0</v>
      </c>
      <c r="Y282" s="199" t="s">
        <v>1392</v>
      </c>
      <c r="Z282" s="517" t="s">
        <v>5532</v>
      </c>
      <c r="AA282" s="493" t="s">
        <v>1485</v>
      </c>
      <c r="AB282" s="507"/>
    </row>
    <row r="283" spans="2:28" x14ac:dyDescent="0.15">
      <c r="B283" s="330" t="s">
        <v>3119</v>
      </c>
      <c r="C283" s="526">
        <v>42906</v>
      </c>
      <c r="D283" s="191" t="s">
        <v>2176</v>
      </c>
      <c r="E283" s="43" t="s">
        <v>1391</v>
      </c>
      <c r="F283" s="191" t="s">
        <v>3794</v>
      </c>
      <c r="G283" s="4" t="s">
        <v>364</v>
      </c>
      <c r="H283" s="43" t="s">
        <v>423</v>
      </c>
      <c r="I283" s="4" t="s">
        <v>1439</v>
      </c>
      <c r="J283" s="4" t="s">
        <v>1402</v>
      </c>
      <c r="K283" s="4" t="s">
        <v>1403</v>
      </c>
      <c r="L283" s="4" t="s">
        <v>2177</v>
      </c>
      <c r="M283" s="191" t="s">
        <v>2178</v>
      </c>
      <c r="N283" s="255">
        <v>260000</v>
      </c>
      <c r="O283" s="265">
        <v>60</v>
      </c>
      <c r="P283" s="270">
        <v>1</v>
      </c>
      <c r="Q283" s="255">
        <v>156000</v>
      </c>
      <c r="R283" s="283">
        <v>156000</v>
      </c>
      <c r="S283" s="283">
        <v>38963</v>
      </c>
      <c r="T283" s="287">
        <v>0</v>
      </c>
      <c r="U283" s="287">
        <v>0</v>
      </c>
      <c r="V283" s="287">
        <v>0</v>
      </c>
      <c r="W283" s="283">
        <v>15600</v>
      </c>
      <c r="X283" s="283">
        <v>0</v>
      </c>
      <c r="Y283" s="199" t="s">
        <v>1392</v>
      </c>
      <c r="Z283" s="517" t="s">
        <v>5166</v>
      </c>
      <c r="AA283" s="493" t="s">
        <v>1485</v>
      </c>
      <c r="AB283" s="507"/>
    </row>
    <row r="284" spans="2:28" x14ac:dyDescent="0.15">
      <c r="B284" s="330" t="s">
        <v>3120</v>
      </c>
      <c r="C284" s="526">
        <v>42906</v>
      </c>
      <c r="D284" s="191" t="s">
        <v>2179</v>
      </c>
      <c r="E284" s="43" t="s">
        <v>1391</v>
      </c>
      <c r="F284" s="191" t="s">
        <v>3794</v>
      </c>
      <c r="G284" s="4" t="s">
        <v>364</v>
      </c>
      <c r="H284" s="43" t="s">
        <v>444</v>
      </c>
      <c r="I284" s="4" t="s">
        <v>1440</v>
      </c>
      <c r="J284" s="4" t="s">
        <v>262</v>
      </c>
      <c r="K284" s="4" t="s">
        <v>365</v>
      </c>
      <c r="L284" s="4" t="s">
        <v>1690</v>
      </c>
      <c r="M284" s="43" t="s">
        <v>2180</v>
      </c>
      <c r="N284" s="255">
        <v>260000</v>
      </c>
      <c r="O284" s="265">
        <v>55</v>
      </c>
      <c r="P284" s="270">
        <v>1</v>
      </c>
      <c r="Q284" s="255">
        <v>143000</v>
      </c>
      <c r="R284" s="283">
        <v>143000</v>
      </c>
      <c r="S284" s="283">
        <v>37682</v>
      </c>
      <c r="T284" s="287">
        <v>0</v>
      </c>
      <c r="U284" s="287">
        <v>1</v>
      </c>
      <c r="V284" s="287">
        <v>0</v>
      </c>
      <c r="W284" s="283">
        <v>11700</v>
      </c>
      <c r="X284" s="283">
        <v>0</v>
      </c>
      <c r="Y284" s="199" t="s">
        <v>1392</v>
      </c>
      <c r="Z284" s="517" t="s">
        <v>5166</v>
      </c>
      <c r="AA284" s="493" t="s">
        <v>1485</v>
      </c>
      <c r="AB284" s="507"/>
    </row>
    <row r="285" spans="2:28" x14ac:dyDescent="0.15">
      <c r="B285" s="330" t="s">
        <v>3121</v>
      </c>
      <c r="C285" s="526">
        <v>42906</v>
      </c>
      <c r="D285" s="191" t="s">
        <v>2181</v>
      </c>
      <c r="E285" s="43" t="s">
        <v>1391</v>
      </c>
      <c r="F285" s="191" t="s">
        <v>3794</v>
      </c>
      <c r="G285" s="4" t="s">
        <v>364</v>
      </c>
      <c r="H285" s="43" t="s">
        <v>514</v>
      </c>
      <c r="I285" s="4" t="s">
        <v>2182</v>
      </c>
      <c r="J285" s="4" t="s">
        <v>262</v>
      </c>
      <c r="K285" s="4" t="s">
        <v>365</v>
      </c>
      <c r="L285" s="4" t="s">
        <v>1690</v>
      </c>
      <c r="M285" s="43" t="s">
        <v>2183</v>
      </c>
      <c r="N285" s="255">
        <v>260000</v>
      </c>
      <c r="O285" s="265">
        <v>65</v>
      </c>
      <c r="P285" s="270">
        <v>1</v>
      </c>
      <c r="Q285" s="255">
        <v>169000</v>
      </c>
      <c r="R285" s="283">
        <v>169000</v>
      </c>
      <c r="S285" s="283">
        <v>75382</v>
      </c>
      <c r="T285" s="287">
        <v>1</v>
      </c>
      <c r="U285" s="287">
        <v>0</v>
      </c>
      <c r="V285" s="287">
        <v>0</v>
      </c>
      <c r="W285" s="283">
        <v>0</v>
      </c>
      <c r="X285" s="283">
        <v>0</v>
      </c>
      <c r="Y285" s="199" t="s">
        <v>1395</v>
      </c>
      <c r="Z285" s="517" t="s">
        <v>5170</v>
      </c>
      <c r="AA285" s="493" t="s">
        <v>1485</v>
      </c>
      <c r="AB285" s="507"/>
    </row>
    <row r="286" spans="2:28" x14ac:dyDescent="0.15">
      <c r="B286" s="330" t="s">
        <v>3122</v>
      </c>
      <c r="C286" s="526">
        <v>42906</v>
      </c>
      <c r="D286" s="191" t="s">
        <v>2184</v>
      </c>
      <c r="E286" s="43" t="s">
        <v>1391</v>
      </c>
      <c r="F286" s="191" t="s">
        <v>3794</v>
      </c>
      <c r="G286" s="4" t="s">
        <v>364</v>
      </c>
      <c r="H286" s="43" t="s">
        <v>444</v>
      </c>
      <c r="I286" s="4" t="s">
        <v>1440</v>
      </c>
      <c r="J286" s="4" t="s">
        <v>299</v>
      </c>
      <c r="K286" s="4" t="s">
        <v>373</v>
      </c>
      <c r="L286" s="4" t="s">
        <v>2185</v>
      </c>
      <c r="M286" s="43"/>
      <c r="N286" s="255">
        <v>10000</v>
      </c>
      <c r="O286" s="265">
        <v>65</v>
      </c>
      <c r="P286" s="270">
        <v>1</v>
      </c>
      <c r="Q286" s="255">
        <v>6500</v>
      </c>
      <c r="R286" s="283">
        <v>6500</v>
      </c>
      <c r="S286" s="283">
        <v>1750</v>
      </c>
      <c r="T286" s="287">
        <v>0</v>
      </c>
      <c r="U286" s="287">
        <v>0</v>
      </c>
      <c r="V286" s="287">
        <v>0</v>
      </c>
      <c r="W286" s="283">
        <v>4750</v>
      </c>
      <c r="X286" s="283">
        <v>0</v>
      </c>
      <c r="Y286" s="199" t="s">
        <v>1392</v>
      </c>
      <c r="Z286" s="517" t="s">
        <v>5166</v>
      </c>
      <c r="AA286" s="493" t="s">
        <v>1485</v>
      </c>
      <c r="AB286" s="507"/>
    </row>
    <row r="287" spans="2:28" x14ac:dyDescent="0.15">
      <c r="B287" s="330" t="s">
        <v>3123</v>
      </c>
      <c r="C287" s="526">
        <v>42906</v>
      </c>
      <c r="D287" s="191" t="s">
        <v>2184</v>
      </c>
      <c r="E287" s="43" t="s">
        <v>1391</v>
      </c>
      <c r="F287" s="191" t="s">
        <v>3794</v>
      </c>
      <c r="G287" s="4" t="s">
        <v>364</v>
      </c>
      <c r="H287" s="43" t="s">
        <v>444</v>
      </c>
      <c r="I287" s="4" t="s">
        <v>1440</v>
      </c>
      <c r="J287" s="4" t="s">
        <v>299</v>
      </c>
      <c r="K287" s="4" t="s">
        <v>373</v>
      </c>
      <c r="L287" s="4" t="s">
        <v>2186</v>
      </c>
      <c r="M287" s="43"/>
      <c r="N287" s="255">
        <v>3000</v>
      </c>
      <c r="O287" s="265">
        <v>100</v>
      </c>
      <c r="P287" s="270">
        <v>1</v>
      </c>
      <c r="Q287" s="255">
        <v>3000</v>
      </c>
      <c r="R287" s="283">
        <v>3000</v>
      </c>
      <c r="S287" s="283">
        <v>808</v>
      </c>
      <c r="T287" s="287">
        <v>0</v>
      </c>
      <c r="U287" s="287">
        <v>0</v>
      </c>
      <c r="V287" s="287">
        <v>0</v>
      </c>
      <c r="W287" s="283">
        <v>2192</v>
      </c>
      <c r="X287" s="283">
        <v>0</v>
      </c>
      <c r="Y287" s="199" t="s">
        <v>1392</v>
      </c>
      <c r="Z287" s="517" t="s">
        <v>5166</v>
      </c>
      <c r="AA287" s="493" t="s">
        <v>1485</v>
      </c>
      <c r="AB287" s="507"/>
    </row>
    <row r="288" spans="2:28" x14ac:dyDescent="0.15">
      <c r="B288" s="330" t="s">
        <v>3124</v>
      </c>
      <c r="C288" s="526">
        <v>42906</v>
      </c>
      <c r="D288" s="191" t="s">
        <v>2187</v>
      </c>
      <c r="E288" s="43" t="s">
        <v>1391</v>
      </c>
      <c r="F288" s="191" t="s">
        <v>3794</v>
      </c>
      <c r="G288" s="4" t="s">
        <v>364</v>
      </c>
      <c r="H288" s="43" t="s">
        <v>433</v>
      </c>
      <c r="I288" s="4" t="s">
        <v>1508</v>
      </c>
      <c r="J288" s="4" t="s">
        <v>299</v>
      </c>
      <c r="K288" s="4" t="s">
        <v>373</v>
      </c>
      <c r="L288" s="4" t="s">
        <v>2188</v>
      </c>
      <c r="M288" s="43"/>
      <c r="N288" s="255">
        <v>5000</v>
      </c>
      <c r="O288" s="265">
        <v>100</v>
      </c>
      <c r="P288" s="270">
        <v>1</v>
      </c>
      <c r="Q288" s="255">
        <v>5000</v>
      </c>
      <c r="R288" s="283">
        <v>5000</v>
      </c>
      <c r="S288" s="283">
        <v>1348</v>
      </c>
      <c r="T288" s="287">
        <v>0</v>
      </c>
      <c r="U288" s="287">
        <v>0</v>
      </c>
      <c r="V288" s="287">
        <v>0</v>
      </c>
      <c r="W288" s="283">
        <v>3652</v>
      </c>
      <c r="X288" s="283">
        <v>0</v>
      </c>
      <c r="Y288" s="199" t="s">
        <v>1392</v>
      </c>
      <c r="Z288" s="517" t="s">
        <v>5532</v>
      </c>
      <c r="AA288" s="493" t="s">
        <v>1485</v>
      </c>
      <c r="AB288" s="507"/>
    </row>
    <row r="289" spans="2:28" x14ac:dyDescent="0.15">
      <c r="B289" s="330" t="s">
        <v>3125</v>
      </c>
      <c r="C289" s="526">
        <v>42906</v>
      </c>
      <c r="D289" s="191" t="s">
        <v>2187</v>
      </c>
      <c r="E289" s="43" t="s">
        <v>1391</v>
      </c>
      <c r="F289" s="191" t="s">
        <v>3794</v>
      </c>
      <c r="G289" s="4" t="s">
        <v>364</v>
      </c>
      <c r="H289" s="43" t="s">
        <v>433</v>
      </c>
      <c r="I289" s="4" t="s">
        <v>1508</v>
      </c>
      <c r="J289" s="4" t="s">
        <v>298</v>
      </c>
      <c r="K289" s="4" t="s">
        <v>1168</v>
      </c>
      <c r="L289" s="4" t="s">
        <v>2189</v>
      </c>
      <c r="M289" s="43"/>
      <c r="N289" s="255">
        <v>500</v>
      </c>
      <c r="O289" s="265">
        <v>65</v>
      </c>
      <c r="P289" s="270">
        <v>1</v>
      </c>
      <c r="Q289" s="255">
        <v>325</v>
      </c>
      <c r="R289" s="283">
        <v>325</v>
      </c>
      <c r="S289" s="283">
        <v>288</v>
      </c>
      <c r="T289" s="287">
        <v>0</v>
      </c>
      <c r="U289" s="287">
        <v>0</v>
      </c>
      <c r="V289" s="287">
        <v>0</v>
      </c>
      <c r="W289" s="283">
        <v>37</v>
      </c>
      <c r="X289" s="283">
        <v>0</v>
      </c>
      <c r="Y289" s="199" t="s">
        <v>1392</v>
      </c>
      <c r="Z289" s="517" t="s">
        <v>5166</v>
      </c>
      <c r="AA289" s="493" t="s">
        <v>1485</v>
      </c>
      <c r="AB289" s="507"/>
    </row>
    <row r="290" spans="2:28" x14ac:dyDescent="0.15">
      <c r="B290" s="330" t="s">
        <v>3126</v>
      </c>
      <c r="C290" s="526">
        <v>42906</v>
      </c>
      <c r="D290" s="191" t="s">
        <v>2187</v>
      </c>
      <c r="E290" s="43" t="s">
        <v>1391</v>
      </c>
      <c r="F290" s="191" t="s">
        <v>3794</v>
      </c>
      <c r="G290" s="4" t="s">
        <v>364</v>
      </c>
      <c r="H290" s="43" t="s">
        <v>433</v>
      </c>
      <c r="I290" s="4" t="s">
        <v>1508</v>
      </c>
      <c r="J290" s="4" t="s">
        <v>298</v>
      </c>
      <c r="K290" s="4" t="s">
        <v>1168</v>
      </c>
      <c r="L290" s="4" t="s">
        <v>1862</v>
      </c>
      <c r="M290" s="43"/>
      <c r="N290" s="255">
        <v>1000</v>
      </c>
      <c r="O290" s="265">
        <v>65</v>
      </c>
      <c r="P290" s="270">
        <v>1</v>
      </c>
      <c r="Q290" s="255">
        <v>650</v>
      </c>
      <c r="R290" s="283">
        <v>650</v>
      </c>
      <c r="S290" s="283">
        <v>575</v>
      </c>
      <c r="T290" s="287">
        <v>0</v>
      </c>
      <c r="U290" s="287">
        <v>0</v>
      </c>
      <c r="V290" s="287">
        <v>0</v>
      </c>
      <c r="W290" s="283">
        <v>75</v>
      </c>
      <c r="X290" s="283">
        <v>0</v>
      </c>
      <c r="Y290" s="199" t="s">
        <v>1392</v>
      </c>
      <c r="Z290" s="517" t="s">
        <v>5543</v>
      </c>
      <c r="AA290" s="493" t="s">
        <v>1485</v>
      </c>
      <c r="AB290" s="507"/>
    </row>
    <row r="291" spans="2:28" x14ac:dyDescent="0.15">
      <c r="B291" s="330" t="s">
        <v>3127</v>
      </c>
      <c r="C291" s="526">
        <v>42906</v>
      </c>
      <c r="D291" s="191" t="s">
        <v>2193</v>
      </c>
      <c r="E291" s="43" t="s">
        <v>1391</v>
      </c>
      <c r="F291" s="191" t="s">
        <v>3794</v>
      </c>
      <c r="G291" s="4" t="s">
        <v>364</v>
      </c>
      <c r="H291" s="43" t="s">
        <v>433</v>
      </c>
      <c r="I291" s="4" t="s">
        <v>1508</v>
      </c>
      <c r="J291" s="4" t="s">
        <v>298</v>
      </c>
      <c r="K291" s="4" t="s">
        <v>1168</v>
      </c>
      <c r="L291" s="4" t="s">
        <v>2194</v>
      </c>
      <c r="M291" s="43"/>
      <c r="N291" s="255">
        <v>28000</v>
      </c>
      <c r="O291" s="265">
        <v>65</v>
      </c>
      <c r="P291" s="270">
        <v>1</v>
      </c>
      <c r="Q291" s="255">
        <v>18200</v>
      </c>
      <c r="R291" s="283">
        <v>18200</v>
      </c>
      <c r="S291" s="283">
        <v>12000</v>
      </c>
      <c r="T291" s="287">
        <v>0</v>
      </c>
      <c r="U291" s="287">
        <v>0</v>
      </c>
      <c r="V291" s="287">
        <v>0</v>
      </c>
      <c r="W291" s="283">
        <v>2100</v>
      </c>
      <c r="X291" s="283">
        <v>0</v>
      </c>
      <c r="Y291" s="199" t="s">
        <v>1392</v>
      </c>
      <c r="Z291" s="517" t="s">
        <v>5166</v>
      </c>
      <c r="AA291" s="493" t="s">
        <v>1485</v>
      </c>
      <c r="AB291" s="507"/>
    </row>
    <row r="292" spans="2:28" x14ac:dyDescent="0.15">
      <c r="B292" s="330" t="s">
        <v>3128</v>
      </c>
      <c r="C292" s="527">
        <v>42906</v>
      </c>
      <c r="D292" s="191" t="s">
        <v>2193</v>
      </c>
      <c r="E292" s="43" t="s">
        <v>1396</v>
      </c>
      <c r="F292" s="191" t="s">
        <v>3795</v>
      </c>
      <c r="G292" s="4" t="s">
        <v>1321</v>
      </c>
      <c r="H292" s="43"/>
      <c r="I292" s="4"/>
      <c r="J292" s="4" t="s">
        <v>299</v>
      </c>
      <c r="K292" s="4" t="s">
        <v>373</v>
      </c>
      <c r="L292" s="4" t="s">
        <v>2208</v>
      </c>
      <c r="M292" s="43"/>
      <c r="N292" s="255">
        <v>1000</v>
      </c>
      <c r="O292" s="265">
        <v>100</v>
      </c>
      <c r="P292" s="270">
        <v>-1</v>
      </c>
      <c r="Q292" s="255">
        <v>1000</v>
      </c>
      <c r="R292" s="283">
        <v>-1000</v>
      </c>
      <c r="S292" s="283">
        <v>-1000</v>
      </c>
      <c r="T292" s="287">
        <v>0</v>
      </c>
      <c r="U292" s="287">
        <v>0</v>
      </c>
      <c r="V292" s="287">
        <v>0</v>
      </c>
      <c r="W292" s="283">
        <v>1000</v>
      </c>
      <c r="X292" s="283">
        <v>0</v>
      </c>
      <c r="Y292" s="199" t="s">
        <v>1392</v>
      </c>
      <c r="Z292" s="517" t="s">
        <v>5449</v>
      </c>
      <c r="AA292" s="493"/>
      <c r="AB292" s="507"/>
    </row>
    <row r="293" spans="2:28" x14ac:dyDescent="0.15">
      <c r="B293" s="330" t="s">
        <v>3129</v>
      </c>
      <c r="C293" s="526">
        <v>42906</v>
      </c>
      <c r="D293" s="191" t="s">
        <v>2196</v>
      </c>
      <c r="E293" s="43" t="s">
        <v>1391</v>
      </c>
      <c r="F293" s="191" t="s">
        <v>3794</v>
      </c>
      <c r="G293" s="4" t="s">
        <v>364</v>
      </c>
      <c r="H293" s="43" t="s">
        <v>452</v>
      </c>
      <c r="I293" s="4" t="s">
        <v>2195</v>
      </c>
      <c r="J293" s="4" t="s">
        <v>271</v>
      </c>
      <c r="K293" s="4" t="s">
        <v>1160</v>
      </c>
      <c r="L293" s="4" t="s">
        <v>2197</v>
      </c>
      <c r="M293" s="43" t="s">
        <v>2198</v>
      </c>
      <c r="N293" s="255">
        <v>358000</v>
      </c>
      <c r="O293" s="265">
        <v>65</v>
      </c>
      <c r="P293" s="270">
        <v>1</v>
      </c>
      <c r="Q293" s="255">
        <v>232700</v>
      </c>
      <c r="R293" s="283">
        <v>232700</v>
      </c>
      <c r="S293" s="283">
        <v>73236</v>
      </c>
      <c r="T293" s="287">
        <v>0</v>
      </c>
      <c r="U293" s="287">
        <v>1</v>
      </c>
      <c r="V293" s="287">
        <v>0</v>
      </c>
      <c r="W293" s="283">
        <v>26850</v>
      </c>
      <c r="X293" s="283">
        <v>0</v>
      </c>
      <c r="Y293" s="199" t="s">
        <v>1392</v>
      </c>
      <c r="Z293" s="517" t="s">
        <v>5166</v>
      </c>
      <c r="AA293" s="493" t="s">
        <v>1485</v>
      </c>
      <c r="AB293" s="507"/>
    </row>
    <row r="294" spans="2:28" x14ac:dyDescent="0.15">
      <c r="B294" s="330" t="s">
        <v>3130</v>
      </c>
      <c r="C294" s="526">
        <v>42906</v>
      </c>
      <c r="D294" s="191" t="s">
        <v>2199</v>
      </c>
      <c r="E294" s="43" t="s">
        <v>1396</v>
      </c>
      <c r="F294" s="191" t="s">
        <v>3795</v>
      </c>
      <c r="G294" s="4" t="s">
        <v>1321</v>
      </c>
      <c r="H294" s="43"/>
      <c r="I294" s="4"/>
      <c r="J294" s="4"/>
      <c r="K294" s="4"/>
      <c r="L294" s="4" t="s">
        <v>1418</v>
      </c>
      <c r="M294" s="43"/>
      <c r="N294" s="255">
        <v>52925</v>
      </c>
      <c r="O294" s="265">
        <v>100</v>
      </c>
      <c r="P294" s="270">
        <v>-1</v>
      </c>
      <c r="Q294" s="255">
        <v>52925</v>
      </c>
      <c r="R294" s="283">
        <v>-52925</v>
      </c>
      <c r="S294" s="283">
        <v>-52925</v>
      </c>
      <c r="T294" s="287">
        <v>0</v>
      </c>
      <c r="U294" s="287">
        <v>0</v>
      </c>
      <c r="V294" s="287">
        <v>0</v>
      </c>
      <c r="W294" s="283">
        <v>52925</v>
      </c>
      <c r="X294" s="283">
        <v>0</v>
      </c>
      <c r="Y294" s="199" t="s">
        <v>1392</v>
      </c>
      <c r="Z294" s="517" t="s">
        <v>5533</v>
      </c>
      <c r="AA294" s="493"/>
      <c r="AB294" s="507"/>
    </row>
    <row r="295" spans="2:28" x14ac:dyDescent="0.15">
      <c r="B295" s="330" t="s">
        <v>3131</v>
      </c>
      <c r="C295" s="526">
        <v>42906</v>
      </c>
      <c r="D295" s="191" t="s">
        <v>2200</v>
      </c>
      <c r="E295" s="43" t="s">
        <v>1391</v>
      </c>
      <c r="F295" s="191" t="s">
        <v>3798</v>
      </c>
      <c r="G295" s="4" t="s">
        <v>370</v>
      </c>
      <c r="H295" s="43" t="s">
        <v>1491</v>
      </c>
      <c r="I295" s="4" t="s">
        <v>1492</v>
      </c>
      <c r="J295" s="4" t="s">
        <v>271</v>
      </c>
      <c r="K295" s="4" t="s">
        <v>1160</v>
      </c>
      <c r="L295" s="4" t="s">
        <v>1945</v>
      </c>
      <c r="M295" s="43" t="s">
        <v>2201</v>
      </c>
      <c r="N295" s="255">
        <v>178800</v>
      </c>
      <c r="O295" s="265">
        <v>100</v>
      </c>
      <c r="P295" s="270">
        <v>1</v>
      </c>
      <c r="Q295" s="255">
        <v>178800</v>
      </c>
      <c r="R295" s="283">
        <v>178800</v>
      </c>
      <c r="S295" s="283">
        <v>32306</v>
      </c>
      <c r="T295" s="287">
        <v>0</v>
      </c>
      <c r="U295" s="287">
        <v>1</v>
      </c>
      <c r="V295" s="287">
        <v>0</v>
      </c>
      <c r="W295" s="283">
        <v>17880</v>
      </c>
      <c r="X295" s="283">
        <v>0</v>
      </c>
      <c r="Y295" s="199" t="s">
        <v>1392</v>
      </c>
      <c r="Z295" s="517" t="s">
        <v>5167</v>
      </c>
      <c r="AA295" s="493" t="s">
        <v>1485</v>
      </c>
      <c r="AB295" s="507"/>
    </row>
    <row r="296" spans="2:28" x14ac:dyDescent="0.15">
      <c r="B296" s="330" t="s">
        <v>3132</v>
      </c>
      <c r="C296" s="525">
        <v>42907</v>
      </c>
      <c r="D296" s="198" t="s">
        <v>2103</v>
      </c>
      <c r="E296" s="53" t="s">
        <v>1396</v>
      </c>
      <c r="F296" s="198" t="s">
        <v>3800</v>
      </c>
      <c r="G296" s="3" t="s">
        <v>50</v>
      </c>
      <c r="H296" s="53" t="s">
        <v>1434</v>
      </c>
      <c r="I296" s="3" t="s">
        <v>1435</v>
      </c>
      <c r="J296" s="3" t="s">
        <v>272</v>
      </c>
      <c r="K296" s="3" t="s">
        <v>363</v>
      </c>
      <c r="L296" s="3" t="s">
        <v>2104</v>
      </c>
      <c r="M296" s="43" t="s">
        <v>2105</v>
      </c>
      <c r="N296" s="255">
        <v>156000</v>
      </c>
      <c r="O296" s="265">
        <v>100</v>
      </c>
      <c r="P296" s="270">
        <v>1</v>
      </c>
      <c r="Q296" s="255">
        <v>156000</v>
      </c>
      <c r="R296" s="283">
        <v>156000</v>
      </c>
      <c r="S296" s="283">
        <v>30710</v>
      </c>
      <c r="T296" s="287">
        <v>0</v>
      </c>
      <c r="U296" s="287">
        <v>1</v>
      </c>
      <c r="V296" s="287">
        <v>0</v>
      </c>
      <c r="W296" s="283">
        <v>15600</v>
      </c>
      <c r="X296" s="283">
        <v>0</v>
      </c>
      <c r="Y296" s="199" t="s">
        <v>1392</v>
      </c>
      <c r="Z296" s="517" t="s">
        <v>5167</v>
      </c>
      <c r="AA296" s="493" t="s">
        <v>1485</v>
      </c>
      <c r="AB296" s="507"/>
    </row>
    <row r="297" spans="2:28" x14ac:dyDescent="0.15">
      <c r="B297" s="330" t="s">
        <v>3133</v>
      </c>
      <c r="C297" s="525">
        <v>42907</v>
      </c>
      <c r="D297" s="198" t="s">
        <v>2171</v>
      </c>
      <c r="E297" s="53" t="s">
        <v>1396</v>
      </c>
      <c r="F297" s="198" t="s">
        <v>3800</v>
      </c>
      <c r="G297" s="3" t="s">
        <v>50</v>
      </c>
      <c r="H297" s="53" t="s">
        <v>1434</v>
      </c>
      <c r="I297" s="3" t="s">
        <v>1435</v>
      </c>
      <c r="J297" s="3" t="s">
        <v>271</v>
      </c>
      <c r="K297" s="3" t="s">
        <v>1160</v>
      </c>
      <c r="L297" s="3" t="s">
        <v>2172</v>
      </c>
      <c r="M297" s="43" t="s">
        <v>2173</v>
      </c>
      <c r="N297" s="255">
        <v>273000</v>
      </c>
      <c r="O297" s="265">
        <v>100</v>
      </c>
      <c r="P297" s="270">
        <v>1</v>
      </c>
      <c r="Q297" s="255">
        <v>273000</v>
      </c>
      <c r="R297" s="283">
        <v>273000</v>
      </c>
      <c r="S297" s="283">
        <v>103286</v>
      </c>
      <c r="T297" s="287">
        <v>0</v>
      </c>
      <c r="U297" s="287">
        <v>1</v>
      </c>
      <c r="V297" s="287">
        <v>0</v>
      </c>
      <c r="W297" s="283">
        <v>31500</v>
      </c>
      <c r="X297" s="283">
        <v>0</v>
      </c>
      <c r="Y297" s="199" t="s">
        <v>1392</v>
      </c>
      <c r="Z297" s="517" t="s">
        <v>5167</v>
      </c>
      <c r="AA297" s="493" t="s">
        <v>1485</v>
      </c>
      <c r="AB297" s="507"/>
    </row>
    <row r="298" spans="2:28" x14ac:dyDescent="0.15">
      <c r="B298" s="330" t="s">
        <v>3134</v>
      </c>
      <c r="C298" s="525">
        <v>42912</v>
      </c>
      <c r="D298" s="198" t="s">
        <v>2205</v>
      </c>
      <c r="E298" s="53" t="s">
        <v>1396</v>
      </c>
      <c r="F298" s="198" t="s">
        <v>3816</v>
      </c>
      <c r="G298" s="3" t="s">
        <v>807</v>
      </c>
      <c r="H298" s="53"/>
      <c r="I298" s="3"/>
      <c r="J298" s="3" t="s">
        <v>298</v>
      </c>
      <c r="K298" s="3" t="s">
        <v>1168</v>
      </c>
      <c r="L298" s="3" t="s">
        <v>1412</v>
      </c>
      <c r="M298" s="43"/>
      <c r="N298" s="255">
        <v>2400</v>
      </c>
      <c r="O298" s="265">
        <v>60</v>
      </c>
      <c r="P298" s="270">
        <v>1</v>
      </c>
      <c r="Q298" s="255">
        <v>1440</v>
      </c>
      <c r="R298" s="283">
        <v>1440</v>
      </c>
      <c r="S298" s="283">
        <v>496</v>
      </c>
      <c r="T298" s="287">
        <v>0</v>
      </c>
      <c r="U298" s="287">
        <v>0</v>
      </c>
      <c r="V298" s="287">
        <v>0</v>
      </c>
      <c r="W298" s="283">
        <v>144</v>
      </c>
      <c r="X298" s="283">
        <v>0</v>
      </c>
      <c r="Y298" s="199" t="s">
        <v>1392</v>
      </c>
      <c r="Z298" s="517" t="s">
        <v>5166</v>
      </c>
      <c r="AA298" s="493" t="s">
        <v>1485</v>
      </c>
      <c r="AB298" s="507"/>
    </row>
    <row r="299" spans="2:28" x14ac:dyDescent="0.15">
      <c r="B299" s="330" t="s">
        <v>3135</v>
      </c>
      <c r="C299" s="528">
        <v>42916</v>
      </c>
      <c r="D299" s="198" t="s">
        <v>2215</v>
      </c>
      <c r="E299" s="53" t="s">
        <v>1396</v>
      </c>
      <c r="F299" s="198" t="s">
        <v>3800</v>
      </c>
      <c r="G299" s="3" t="s">
        <v>50</v>
      </c>
      <c r="H299" s="53" t="s">
        <v>381</v>
      </c>
      <c r="I299" s="3" t="s">
        <v>1408</v>
      </c>
      <c r="J299" s="3" t="s">
        <v>264</v>
      </c>
      <c r="K299" s="3" t="s">
        <v>538</v>
      </c>
      <c r="L299" s="3" t="s">
        <v>1786</v>
      </c>
      <c r="M299" s="43" t="s">
        <v>2216</v>
      </c>
      <c r="N299" s="255">
        <v>216000</v>
      </c>
      <c r="O299" s="265">
        <v>100</v>
      </c>
      <c r="P299" s="270">
        <v>1</v>
      </c>
      <c r="Q299" s="255">
        <v>216000</v>
      </c>
      <c r="R299" s="283">
        <v>216000</v>
      </c>
      <c r="S299" s="283">
        <v>54998</v>
      </c>
      <c r="T299" s="287">
        <v>0</v>
      </c>
      <c r="U299" s="287">
        <v>1</v>
      </c>
      <c r="V299" s="287">
        <v>0</v>
      </c>
      <c r="W299" s="283">
        <v>24923</v>
      </c>
      <c r="X299" s="283">
        <v>0</v>
      </c>
      <c r="Y299" s="199" t="s">
        <v>1392</v>
      </c>
      <c r="Z299" s="517" t="s">
        <v>5166</v>
      </c>
      <c r="AA299" s="493" t="s">
        <v>1485</v>
      </c>
      <c r="AB299" s="507"/>
    </row>
    <row r="300" spans="2:28" x14ac:dyDescent="0.15">
      <c r="B300" s="330" t="s">
        <v>3136</v>
      </c>
      <c r="C300" s="525">
        <v>42917</v>
      </c>
      <c r="D300" s="198" t="s">
        <v>2190</v>
      </c>
      <c r="E300" s="53" t="s">
        <v>1391</v>
      </c>
      <c r="F300" s="198" t="s">
        <v>3810</v>
      </c>
      <c r="G300" s="3" t="s">
        <v>367</v>
      </c>
      <c r="H300" s="53"/>
      <c r="I300" s="3"/>
      <c r="J300" s="3" t="s">
        <v>1402</v>
      </c>
      <c r="K300" s="3" t="s">
        <v>1403</v>
      </c>
      <c r="L300" s="3" t="s">
        <v>2191</v>
      </c>
      <c r="M300" s="43" t="s">
        <v>2192</v>
      </c>
      <c r="N300" s="255">
        <v>225000</v>
      </c>
      <c r="O300" s="265">
        <v>100</v>
      </c>
      <c r="P300" s="270">
        <v>1</v>
      </c>
      <c r="Q300" s="255">
        <v>225000</v>
      </c>
      <c r="R300" s="283">
        <v>225000</v>
      </c>
      <c r="S300" s="283">
        <v>85832</v>
      </c>
      <c r="T300" s="287">
        <v>0</v>
      </c>
      <c r="U300" s="287">
        <v>1</v>
      </c>
      <c r="V300" s="287">
        <v>0</v>
      </c>
      <c r="W300" s="283">
        <v>25961</v>
      </c>
      <c r="X300" s="283">
        <v>0</v>
      </c>
      <c r="Y300" s="199" t="s">
        <v>1392</v>
      </c>
      <c r="Z300" s="517" t="s">
        <v>5532</v>
      </c>
      <c r="AA300" s="493" t="s">
        <v>1485</v>
      </c>
      <c r="AB300" s="507"/>
    </row>
    <row r="301" spans="2:28" x14ac:dyDescent="0.15">
      <c r="B301" s="330" t="s">
        <v>3137</v>
      </c>
      <c r="C301" s="528">
        <v>42917</v>
      </c>
      <c r="D301" s="198" t="s">
        <v>2196</v>
      </c>
      <c r="E301" s="53" t="s">
        <v>1396</v>
      </c>
      <c r="F301" s="198" t="s">
        <v>3799</v>
      </c>
      <c r="G301" s="3" t="s">
        <v>1110</v>
      </c>
      <c r="H301" s="53" t="s">
        <v>801</v>
      </c>
      <c r="I301" s="3" t="s">
        <v>1920</v>
      </c>
      <c r="J301" s="3" t="s">
        <v>268</v>
      </c>
      <c r="K301" s="3" t="s">
        <v>1158</v>
      </c>
      <c r="L301" s="3" t="s">
        <v>1791</v>
      </c>
      <c r="M301" s="43" t="s">
        <v>2209</v>
      </c>
      <c r="N301" s="255">
        <v>138000</v>
      </c>
      <c r="O301" s="265">
        <v>100</v>
      </c>
      <c r="P301" s="270">
        <v>1</v>
      </c>
      <c r="Q301" s="255">
        <v>138000</v>
      </c>
      <c r="R301" s="283">
        <v>138000</v>
      </c>
      <c r="S301" s="283">
        <v>34692</v>
      </c>
      <c r="T301" s="287">
        <v>0</v>
      </c>
      <c r="U301" s="287">
        <v>1</v>
      </c>
      <c r="V301" s="287">
        <v>0</v>
      </c>
      <c r="W301" s="283">
        <v>13800</v>
      </c>
      <c r="X301" s="283">
        <v>0</v>
      </c>
      <c r="Y301" s="199" t="s">
        <v>1392</v>
      </c>
      <c r="Z301" s="517" t="s">
        <v>5449</v>
      </c>
      <c r="AA301" s="493" t="s">
        <v>1485</v>
      </c>
      <c r="AB301" s="507"/>
    </row>
    <row r="302" spans="2:28" x14ac:dyDescent="0.15">
      <c r="B302" s="330" t="s">
        <v>3138</v>
      </c>
      <c r="C302" s="529">
        <v>42917</v>
      </c>
      <c r="D302" s="198" t="s">
        <v>2199</v>
      </c>
      <c r="E302" s="198" t="s">
        <v>1396</v>
      </c>
      <c r="F302" s="198" t="s">
        <v>3799</v>
      </c>
      <c r="G302" s="197" t="s">
        <v>1110</v>
      </c>
      <c r="H302" s="198" t="s">
        <v>801</v>
      </c>
      <c r="I302" s="197" t="s">
        <v>1920</v>
      </c>
      <c r="J302" s="197" t="s">
        <v>268</v>
      </c>
      <c r="K302" s="197" t="s">
        <v>1158</v>
      </c>
      <c r="L302" s="197" t="s">
        <v>2210</v>
      </c>
      <c r="M302" s="191" t="s">
        <v>2211</v>
      </c>
      <c r="N302" s="256">
        <v>144000</v>
      </c>
      <c r="O302" s="264">
        <v>100</v>
      </c>
      <c r="P302" s="271">
        <v>1</v>
      </c>
      <c r="Q302" s="256">
        <v>144000</v>
      </c>
      <c r="R302" s="285">
        <v>144000</v>
      </c>
      <c r="S302" s="285">
        <v>35592</v>
      </c>
      <c r="T302" s="287">
        <v>0</v>
      </c>
      <c r="U302" s="287">
        <v>1</v>
      </c>
      <c r="V302" s="287">
        <v>0</v>
      </c>
      <c r="W302" s="283">
        <v>14400</v>
      </c>
      <c r="X302" s="283">
        <v>0</v>
      </c>
      <c r="Y302" s="199" t="s">
        <v>1392</v>
      </c>
      <c r="Z302" s="517" t="s">
        <v>5449</v>
      </c>
      <c r="AA302" s="493" t="s">
        <v>1485</v>
      </c>
      <c r="AB302" s="507"/>
    </row>
    <row r="303" spans="2:28" x14ac:dyDescent="0.15">
      <c r="B303" s="330" t="s">
        <v>3139</v>
      </c>
      <c r="C303" s="528">
        <v>42917</v>
      </c>
      <c r="D303" s="198" t="s">
        <v>2200</v>
      </c>
      <c r="E303" s="53" t="s">
        <v>1391</v>
      </c>
      <c r="F303" s="198" t="s">
        <v>3810</v>
      </c>
      <c r="G303" s="3" t="s">
        <v>367</v>
      </c>
      <c r="H303" s="53"/>
      <c r="I303" s="3"/>
      <c r="J303" s="3" t="s">
        <v>1402</v>
      </c>
      <c r="K303" s="3" t="s">
        <v>1403</v>
      </c>
      <c r="L303" s="3" t="s">
        <v>2212</v>
      </c>
      <c r="M303" s="43" t="s">
        <v>2213</v>
      </c>
      <c r="N303" s="255">
        <v>172800</v>
      </c>
      <c r="O303" s="265">
        <v>100</v>
      </c>
      <c r="P303" s="270">
        <v>1</v>
      </c>
      <c r="Q303" s="255">
        <v>172800</v>
      </c>
      <c r="R303" s="283">
        <v>172800</v>
      </c>
      <c r="S303" s="283">
        <v>37363</v>
      </c>
      <c r="T303" s="287">
        <v>0</v>
      </c>
      <c r="U303" s="287">
        <v>1</v>
      </c>
      <c r="V303" s="287">
        <v>0</v>
      </c>
      <c r="W303" s="283">
        <v>17280</v>
      </c>
      <c r="X303" s="283">
        <v>0</v>
      </c>
      <c r="Y303" s="199" t="s">
        <v>1392</v>
      </c>
      <c r="Z303" s="517" t="s">
        <v>5166</v>
      </c>
      <c r="AA303" s="493" t="s">
        <v>1485</v>
      </c>
      <c r="AB303" s="507"/>
    </row>
    <row r="304" spans="2:28" x14ac:dyDescent="0.15">
      <c r="B304" s="330" t="s">
        <v>3140</v>
      </c>
      <c r="C304" s="528">
        <v>42917</v>
      </c>
      <c r="D304" s="198" t="s">
        <v>2205</v>
      </c>
      <c r="E304" s="53" t="s">
        <v>1391</v>
      </c>
      <c r="F304" s="198" t="s">
        <v>3794</v>
      </c>
      <c r="G304" s="3" t="s">
        <v>364</v>
      </c>
      <c r="H304" s="53" t="s">
        <v>444</v>
      </c>
      <c r="I304" s="3" t="s">
        <v>1440</v>
      </c>
      <c r="J304" s="3" t="s">
        <v>268</v>
      </c>
      <c r="K304" s="3" t="s">
        <v>1158</v>
      </c>
      <c r="L304" s="3" t="s">
        <v>1577</v>
      </c>
      <c r="M304" s="43" t="s">
        <v>2214</v>
      </c>
      <c r="N304" s="255">
        <v>260000</v>
      </c>
      <c r="O304" s="265">
        <v>60</v>
      </c>
      <c r="P304" s="270">
        <v>1</v>
      </c>
      <c r="Q304" s="255">
        <v>156000</v>
      </c>
      <c r="R304" s="283">
        <v>156000</v>
      </c>
      <c r="S304" s="283">
        <v>47892</v>
      </c>
      <c r="T304" s="287">
        <v>0</v>
      </c>
      <c r="U304" s="287">
        <v>1</v>
      </c>
      <c r="V304" s="287">
        <v>0</v>
      </c>
      <c r="W304" s="283">
        <v>15600</v>
      </c>
      <c r="X304" s="283">
        <v>0</v>
      </c>
      <c r="Y304" s="199" t="s">
        <v>1392</v>
      </c>
      <c r="Z304" s="517" t="s">
        <v>5166</v>
      </c>
      <c r="AA304" s="493" t="s">
        <v>1485</v>
      </c>
      <c r="AB304" s="507"/>
    </row>
    <row r="305" spans="2:28" x14ac:dyDescent="0.15">
      <c r="B305" s="330" t="s">
        <v>3141</v>
      </c>
      <c r="C305" s="528">
        <v>42917</v>
      </c>
      <c r="D305" s="198" t="s">
        <v>2217</v>
      </c>
      <c r="E305" s="53" t="s">
        <v>1396</v>
      </c>
      <c r="F305" s="198" t="s">
        <v>3799</v>
      </c>
      <c r="G305" s="3" t="s">
        <v>1110</v>
      </c>
      <c r="H305" s="53" t="s">
        <v>796</v>
      </c>
      <c r="I305" s="3" t="s">
        <v>1428</v>
      </c>
      <c r="J305" s="3" t="s">
        <v>264</v>
      </c>
      <c r="K305" s="3" t="s">
        <v>538</v>
      </c>
      <c r="L305" s="3" t="s">
        <v>1786</v>
      </c>
      <c r="M305" s="43" t="s">
        <v>2218</v>
      </c>
      <c r="N305" s="255">
        <v>180000</v>
      </c>
      <c r="O305" s="265">
        <v>100</v>
      </c>
      <c r="P305" s="270">
        <v>1</v>
      </c>
      <c r="Q305" s="255">
        <v>180000</v>
      </c>
      <c r="R305" s="283">
        <v>180000</v>
      </c>
      <c r="S305" s="283">
        <v>25921</v>
      </c>
      <c r="T305" s="287">
        <v>0</v>
      </c>
      <c r="U305" s="287">
        <v>1</v>
      </c>
      <c r="V305" s="287">
        <v>0</v>
      </c>
      <c r="W305" s="283">
        <v>18000</v>
      </c>
      <c r="X305" s="283">
        <v>0</v>
      </c>
      <c r="Y305" s="199" t="s">
        <v>1392</v>
      </c>
      <c r="Z305" s="517" t="s">
        <v>5166</v>
      </c>
      <c r="AA305" s="493" t="s">
        <v>1485</v>
      </c>
      <c r="AB305" s="507"/>
    </row>
    <row r="306" spans="2:28" x14ac:dyDescent="0.15">
      <c r="B306" s="330" t="s">
        <v>3142</v>
      </c>
      <c r="C306" s="528">
        <v>42917</v>
      </c>
      <c r="D306" s="198" t="s">
        <v>2219</v>
      </c>
      <c r="E306" s="53" t="s">
        <v>1396</v>
      </c>
      <c r="F306" s="198" t="s">
        <v>3799</v>
      </c>
      <c r="G306" s="3" t="s">
        <v>1110</v>
      </c>
      <c r="H306" s="53" t="s">
        <v>801</v>
      </c>
      <c r="I306" s="3" t="s">
        <v>1920</v>
      </c>
      <c r="J306" s="3" t="s">
        <v>270</v>
      </c>
      <c r="K306" s="3" t="s">
        <v>539</v>
      </c>
      <c r="L306" s="3" t="s">
        <v>2220</v>
      </c>
      <c r="M306" s="43" t="s">
        <v>2221</v>
      </c>
      <c r="N306" s="255">
        <v>166800</v>
      </c>
      <c r="O306" s="265">
        <v>100</v>
      </c>
      <c r="P306" s="270">
        <v>1</v>
      </c>
      <c r="Q306" s="255">
        <v>166800</v>
      </c>
      <c r="R306" s="283">
        <v>166800</v>
      </c>
      <c r="S306" s="283">
        <v>32319</v>
      </c>
      <c r="T306" s="287">
        <v>0</v>
      </c>
      <c r="U306" s="287">
        <v>1</v>
      </c>
      <c r="V306" s="287">
        <v>0</v>
      </c>
      <c r="W306" s="283">
        <v>16680</v>
      </c>
      <c r="X306" s="283">
        <v>0</v>
      </c>
      <c r="Y306" s="199" t="s">
        <v>1392</v>
      </c>
      <c r="Z306" s="517" t="s">
        <v>5449</v>
      </c>
      <c r="AA306" s="493" t="s">
        <v>1485</v>
      </c>
      <c r="AB306" s="507"/>
    </row>
    <row r="307" spans="2:28" x14ac:dyDescent="0.15">
      <c r="B307" s="330" t="s">
        <v>3143</v>
      </c>
      <c r="C307" s="528">
        <v>42917</v>
      </c>
      <c r="D307" s="198" t="s">
        <v>2222</v>
      </c>
      <c r="E307" s="53" t="s">
        <v>1396</v>
      </c>
      <c r="F307" s="198" t="s">
        <v>3799</v>
      </c>
      <c r="G307" s="3" t="s">
        <v>1110</v>
      </c>
      <c r="H307" s="53" t="s">
        <v>801</v>
      </c>
      <c r="I307" s="3" t="s">
        <v>1920</v>
      </c>
      <c r="J307" s="3" t="s">
        <v>298</v>
      </c>
      <c r="K307" s="3" t="s">
        <v>1168</v>
      </c>
      <c r="L307" s="3" t="s">
        <v>2223</v>
      </c>
      <c r="M307" s="43"/>
      <c r="N307" s="255">
        <v>3500</v>
      </c>
      <c r="O307" s="265">
        <v>65</v>
      </c>
      <c r="P307" s="270">
        <v>2</v>
      </c>
      <c r="Q307" s="255">
        <v>2275</v>
      </c>
      <c r="R307" s="283">
        <v>4550</v>
      </c>
      <c r="S307" s="283">
        <v>1466</v>
      </c>
      <c r="T307" s="287">
        <v>0</v>
      </c>
      <c r="U307" s="287">
        <v>0</v>
      </c>
      <c r="V307" s="287">
        <v>0</v>
      </c>
      <c r="W307" s="283">
        <v>525</v>
      </c>
      <c r="X307" s="283">
        <v>0</v>
      </c>
      <c r="Y307" s="199" t="s">
        <v>1392</v>
      </c>
      <c r="Z307" s="517" t="s">
        <v>5449</v>
      </c>
      <c r="AA307" s="493" t="s">
        <v>1485</v>
      </c>
      <c r="AB307" s="507"/>
    </row>
    <row r="308" spans="2:28" x14ac:dyDescent="0.15">
      <c r="B308" s="330" t="s">
        <v>3144</v>
      </c>
      <c r="C308" s="528">
        <v>42922</v>
      </c>
      <c r="D308" s="198" t="s">
        <v>2228</v>
      </c>
      <c r="E308" s="53" t="s">
        <v>1396</v>
      </c>
      <c r="F308" s="198" t="s">
        <v>3793</v>
      </c>
      <c r="G308" s="3" t="s">
        <v>1111</v>
      </c>
      <c r="H308" s="53" t="s">
        <v>2224</v>
      </c>
      <c r="I308" s="3" t="s">
        <v>2226</v>
      </c>
      <c r="J308" s="3" t="s">
        <v>298</v>
      </c>
      <c r="K308" s="3" t="s">
        <v>1168</v>
      </c>
      <c r="L308" s="3" t="s">
        <v>2229</v>
      </c>
      <c r="M308" s="43"/>
      <c r="N308" s="255">
        <v>25000</v>
      </c>
      <c r="O308" s="265">
        <v>65</v>
      </c>
      <c r="P308" s="270">
        <v>1</v>
      </c>
      <c r="Q308" s="255">
        <v>16250</v>
      </c>
      <c r="R308" s="283">
        <v>16250</v>
      </c>
      <c r="S308" s="283">
        <v>3875</v>
      </c>
      <c r="T308" s="287">
        <v>0</v>
      </c>
      <c r="U308" s="287">
        <v>0</v>
      </c>
      <c r="V308" s="287">
        <v>0</v>
      </c>
      <c r="W308" s="283">
        <v>1875</v>
      </c>
      <c r="X308" s="283">
        <v>0</v>
      </c>
      <c r="Y308" s="199" t="s">
        <v>1392</v>
      </c>
      <c r="Z308" s="517" t="s">
        <v>5449</v>
      </c>
      <c r="AA308" s="493" t="s">
        <v>1485</v>
      </c>
      <c r="AB308" s="507"/>
    </row>
    <row r="309" spans="2:28" x14ac:dyDescent="0.15">
      <c r="B309" s="330" t="s">
        <v>3145</v>
      </c>
      <c r="C309" s="528">
        <v>42922</v>
      </c>
      <c r="D309" s="198" t="s">
        <v>2228</v>
      </c>
      <c r="E309" s="53" t="s">
        <v>1396</v>
      </c>
      <c r="F309" s="198" t="s">
        <v>3793</v>
      </c>
      <c r="G309" s="3" t="s">
        <v>1111</v>
      </c>
      <c r="H309" s="53" t="s">
        <v>2224</v>
      </c>
      <c r="I309" s="3" t="s">
        <v>2226</v>
      </c>
      <c r="J309" s="3" t="s">
        <v>299</v>
      </c>
      <c r="K309" s="3" t="s">
        <v>373</v>
      </c>
      <c r="L309" s="3" t="s">
        <v>2230</v>
      </c>
      <c r="M309" s="43"/>
      <c r="N309" s="255">
        <v>5000</v>
      </c>
      <c r="O309" s="265">
        <v>100</v>
      </c>
      <c r="P309" s="270">
        <v>1</v>
      </c>
      <c r="Q309" s="255">
        <v>5000</v>
      </c>
      <c r="R309" s="283">
        <v>5000</v>
      </c>
      <c r="S309" s="283">
        <v>1348</v>
      </c>
      <c r="T309" s="287">
        <v>0</v>
      </c>
      <c r="U309" s="287">
        <v>0</v>
      </c>
      <c r="V309" s="287">
        <v>0</v>
      </c>
      <c r="W309" s="283">
        <v>3652</v>
      </c>
      <c r="X309" s="283">
        <v>0</v>
      </c>
      <c r="Y309" s="199" t="s">
        <v>1392</v>
      </c>
      <c r="Z309" s="517" t="s">
        <v>5449</v>
      </c>
      <c r="AA309" s="493" t="s">
        <v>1485</v>
      </c>
      <c r="AB309" s="507"/>
    </row>
    <row r="310" spans="2:28" x14ac:dyDescent="0.15">
      <c r="B310" s="330" t="s">
        <v>3146</v>
      </c>
      <c r="C310" s="528">
        <v>42923</v>
      </c>
      <c r="D310" s="198" t="s">
        <v>2231</v>
      </c>
      <c r="E310" s="53" t="s">
        <v>1391</v>
      </c>
      <c r="F310" s="198" t="s">
        <v>3794</v>
      </c>
      <c r="G310" s="3" t="s">
        <v>364</v>
      </c>
      <c r="H310" s="53" t="s">
        <v>423</v>
      </c>
      <c r="I310" s="3" t="s">
        <v>1439</v>
      </c>
      <c r="J310" s="3" t="s">
        <v>265</v>
      </c>
      <c r="K310" s="3" t="s">
        <v>1155</v>
      </c>
      <c r="L310" s="3" t="s">
        <v>2232</v>
      </c>
      <c r="M310" s="43" t="s">
        <v>2233</v>
      </c>
      <c r="N310" s="255">
        <v>365000</v>
      </c>
      <c r="O310" s="265">
        <v>60</v>
      </c>
      <c r="P310" s="270">
        <v>1</v>
      </c>
      <c r="Q310" s="255">
        <v>219000</v>
      </c>
      <c r="R310" s="283">
        <v>219000</v>
      </c>
      <c r="S310" s="283">
        <v>75065</v>
      </c>
      <c r="T310" s="287">
        <v>0</v>
      </c>
      <c r="U310" s="287">
        <v>1</v>
      </c>
      <c r="V310" s="287">
        <v>0</v>
      </c>
      <c r="W310" s="283">
        <v>21900</v>
      </c>
      <c r="X310" s="283">
        <v>0</v>
      </c>
      <c r="Y310" s="199" t="s">
        <v>1392</v>
      </c>
      <c r="Z310" s="517" t="s">
        <v>5166</v>
      </c>
      <c r="AA310" s="493" t="s">
        <v>1485</v>
      </c>
      <c r="AB310" s="507"/>
    </row>
    <row r="311" spans="2:28" x14ac:dyDescent="0.15">
      <c r="B311" s="330" t="s">
        <v>3147</v>
      </c>
      <c r="C311" s="528">
        <v>42923</v>
      </c>
      <c r="D311" s="198" t="s">
        <v>2234</v>
      </c>
      <c r="E311" s="53" t="s">
        <v>1391</v>
      </c>
      <c r="F311" s="198" t="s">
        <v>3794</v>
      </c>
      <c r="G311" s="3" t="s">
        <v>364</v>
      </c>
      <c r="H311" s="53" t="s">
        <v>444</v>
      </c>
      <c r="I311" s="3" t="s">
        <v>1440</v>
      </c>
      <c r="J311" s="3" t="s">
        <v>262</v>
      </c>
      <c r="K311" s="3" t="s">
        <v>365</v>
      </c>
      <c r="L311" s="3" t="s">
        <v>2235</v>
      </c>
      <c r="M311" s="43" t="s">
        <v>2236</v>
      </c>
      <c r="N311" s="255">
        <v>260000</v>
      </c>
      <c r="O311" s="265">
        <v>60</v>
      </c>
      <c r="P311" s="270">
        <v>1</v>
      </c>
      <c r="Q311" s="255">
        <v>156000</v>
      </c>
      <c r="R311" s="283">
        <v>156000</v>
      </c>
      <c r="S311" s="283">
        <v>43182</v>
      </c>
      <c r="T311" s="287">
        <v>0</v>
      </c>
      <c r="U311" s="287">
        <v>1</v>
      </c>
      <c r="V311" s="287">
        <v>0</v>
      </c>
      <c r="W311" s="283">
        <v>15600</v>
      </c>
      <c r="X311" s="283">
        <v>0</v>
      </c>
      <c r="Y311" s="199" t="s">
        <v>1392</v>
      </c>
      <c r="Z311" s="517" t="s">
        <v>5166</v>
      </c>
      <c r="AA311" s="493" t="s">
        <v>1485</v>
      </c>
      <c r="AB311" s="507"/>
    </row>
    <row r="312" spans="2:28" x14ac:dyDescent="0.15">
      <c r="B312" s="330" t="s">
        <v>3148</v>
      </c>
      <c r="C312" s="528">
        <v>42923</v>
      </c>
      <c r="D312" s="198" t="s">
        <v>2240</v>
      </c>
      <c r="E312" s="53" t="s">
        <v>1391</v>
      </c>
      <c r="F312" s="198" t="s">
        <v>3794</v>
      </c>
      <c r="G312" s="3" t="s">
        <v>364</v>
      </c>
      <c r="H312" s="53" t="s">
        <v>444</v>
      </c>
      <c r="I312" s="3" t="s">
        <v>1440</v>
      </c>
      <c r="J312" s="3" t="s">
        <v>271</v>
      </c>
      <c r="K312" s="3" t="s">
        <v>1160</v>
      </c>
      <c r="L312" s="3" t="s">
        <v>1964</v>
      </c>
      <c r="M312" s="53" t="s">
        <v>2241</v>
      </c>
      <c r="N312" s="255">
        <v>225000</v>
      </c>
      <c r="O312" s="265">
        <v>100</v>
      </c>
      <c r="P312" s="270">
        <v>1</v>
      </c>
      <c r="Q312" s="255">
        <v>225000</v>
      </c>
      <c r="R312" s="283">
        <v>225000</v>
      </c>
      <c r="S312" s="283">
        <v>72924</v>
      </c>
      <c r="T312" s="287">
        <v>0</v>
      </c>
      <c r="U312" s="287">
        <v>1</v>
      </c>
      <c r="V312" s="287">
        <v>0</v>
      </c>
      <c r="W312" s="283">
        <v>25961</v>
      </c>
      <c r="X312" s="283">
        <v>0</v>
      </c>
      <c r="Y312" s="199" t="s">
        <v>1392</v>
      </c>
      <c r="Z312" s="517" t="s">
        <v>5543</v>
      </c>
      <c r="AA312" s="493" t="s">
        <v>1485</v>
      </c>
      <c r="AB312" s="507"/>
    </row>
    <row r="313" spans="2:28" x14ac:dyDescent="0.15">
      <c r="B313" s="330" t="s">
        <v>3149</v>
      </c>
      <c r="C313" s="528">
        <v>42923</v>
      </c>
      <c r="D313" s="198" t="s">
        <v>2251</v>
      </c>
      <c r="E313" s="53" t="s">
        <v>1391</v>
      </c>
      <c r="F313" s="198" t="s">
        <v>3797</v>
      </c>
      <c r="G313" s="3" t="s">
        <v>362</v>
      </c>
      <c r="H313" s="53" t="s">
        <v>689</v>
      </c>
      <c r="I313" s="3" t="s">
        <v>1394</v>
      </c>
      <c r="J313" s="3" t="s">
        <v>268</v>
      </c>
      <c r="K313" s="3" t="s">
        <v>1158</v>
      </c>
      <c r="L313" s="3" t="s">
        <v>2210</v>
      </c>
      <c r="M313" s="53" t="s">
        <v>2252</v>
      </c>
      <c r="N313" s="255">
        <v>140400</v>
      </c>
      <c r="O313" s="265">
        <v>100</v>
      </c>
      <c r="P313" s="270">
        <v>1</v>
      </c>
      <c r="Q313" s="255">
        <v>140400</v>
      </c>
      <c r="R313" s="283">
        <v>140400</v>
      </c>
      <c r="S313" s="283">
        <v>42592</v>
      </c>
      <c r="T313" s="287">
        <v>1</v>
      </c>
      <c r="U313" s="287">
        <v>0</v>
      </c>
      <c r="V313" s="287">
        <v>0</v>
      </c>
      <c r="W313" s="283">
        <v>0</v>
      </c>
      <c r="X313" s="283">
        <v>0</v>
      </c>
      <c r="Y313" s="199" t="s">
        <v>1395</v>
      </c>
      <c r="Z313" s="517" t="s">
        <v>5166</v>
      </c>
      <c r="AA313" s="493" t="s">
        <v>1485</v>
      </c>
      <c r="AB313" s="507"/>
    </row>
    <row r="314" spans="2:28" x14ac:dyDescent="0.15">
      <c r="B314" s="330" t="s">
        <v>3150</v>
      </c>
      <c r="C314" s="528">
        <v>42923</v>
      </c>
      <c r="D314" s="198" t="s">
        <v>2253</v>
      </c>
      <c r="E314" s="53" t="s">
        <v>1391</v>
      </c>
      <c r="F314" s="198" t="s">
        <v>3813</v>
      </c>
      <c r="G314" s="3" t="s">
        <v>366</v>
      </c>
      <c r="H314" s="53" t="s">
        <v>1137</v>
      </c>
      <c r="I314" s="3" t="s">
        <v>1420</v>
      </c>
      <c r="J314" s="3" t="s">
        <v>299</v>
      </c>
      <c r="K314" s="3" t="s">
        <v>373</v>
      </c>
      <c r="L314" s="3" t="s">
        <v>2254</v>
      </c>
      <c r="M314" s="43"/>
      <c r="N314" s="255">
        <v>5000</v>
      </c>
      <c r="O314" s="265">
        <v>100</v>
      </c>
      <c r="P314" s="270">
        <v>1</v>
      </c>
      <c r="Q314" s="255">
        <v>5000</v>
      </c>
      <c r="R314" s="283">
        <v>5000</v>
      </c>
      <c r="S314" s="283">
        <v>1348</v>
      </c>
      <c r="T314" s="287">
        <v>0</v>
      </c>
      <c r="U314" s="287">
        <v>0</v>
      </c>
      <c r="V314" s="287">
        <v>0</v>
      </c>
      <c r="W314" s="283">
        <v>3652</v>
      </c>
      <c r="X314" s="283">
        <v>0</v>
      </c>
      <c r="Y314" s="199" t="s">
        <v>1392</v>
      </c>
      <c r="Z314" s="517" t="s">
        <v>5167</v>
      </c>
      <c r="AA314" s="493" t="s">
        <v>1485</v>
      </c>
      <c r="AB314" s="507"/>
    </row>
    <row r="315" spans="2:28" x14ac:dyDescent="0.15">
      <c r="B315" s="330" t="s">
        <v>3151</v>
      </c>
      <c r="C315" s="528">
        <v>42923</v>
      </c>
      <c r="D315" s="198" t="s">
        <v>2253</v>
      </c>
      <c r="E315" s="53" t="s">
        <v>1391</v>
      </c>
      <c r="F315" s="198" t="s">
        <v>3813</v>
      </c>
      <c r="G315" s="3" t="s">
        <v>366</v>
      </c>
      <c r="H315" s="53" t="s">
        <v>1137</v>
      </c>
      <c r="I315" s="3" t="s">
        <v>1420</v>
      </c>
      <c r="J315" s="3" t="s">
        <v>298</v>
      </c>
      <c r="K315" s="3" t="s">
        <v>1168</v>
      </c>
      <c r="L315" s="3" t="s">
        <v>2255</v>
      </c>
      <c r="M315" s="43"/>
      <c r="N315" s="255">
        <v>500</v>
      </c>
      <c r="O315" s="265">
        <v>65</v>
      </c>
      <c r="P315" s="270">
        <v>1</v>
      </c>
      <c r="Q315" s="255">
        <v>325</v>
      </c>
      <c r="R315" s="283">
        <v>325</v>
      </c>
      <c r="S315" s="283">
        <v>-282</v>
      </c>
      <c r="T315" s="287">
        <v>0</v>
      </c>
      <c r="U315" s="287">
        <v>0</v>
      </c>
      <c r="V315" s="287">
        <v>0</v>
      </c>
      <c r="W315" s="283">
        <v>37</v>
      </c>
      <c r="X315" s="283">
        <v>0</v>
      </c>
      <c r="Y315" s="199" t="s">
        <v>1392</v>
      </c>
      <c r="Z315" s="517" t="s">
        <v>5535</v>
      </c>
      <c r="AA315" s="493" t="s">
        <v>1485</v>
      </c>
      <c r="AB315" s="507"/>
    </row>
    <row r="316" spans="2:28" x14ac:dyDescent="0.15">
      <c r="B316" s="330" t="s">
        <v>3152</v>
      </c>
      <c r="C316" s="528">
        <v>42923</v>
      </c>
      <c r="D316" s="198" t="s">
        <v>2256</v>
      </c>
      <c r="E316" s="53" t="s">
        <v>1396</v>
      </c>
      <c r="F316" s="198" t="s">
        <v>3800</v>
      </c>
      <c r="G316" s="3" t="s">
        <v>50</v>
      </c>
      <c r="H316" s="53" t="s">
        <v>2019</v>
      </c>
      <c r="I316" s="3" t="s">
        <v>2021</v>
      </c>
      <c r="J316" s="3" t="s">
        <v>299</v>
      </c>
      <c r="K316" s="3" t="s">
        <v>373</v>
      </c>
      <c r="L316" s="3" t="s">
        <v>2257</v>
      </c>
      <c r="M316" s="43"/>
      <c r="N316" s="255">
        <v>20000</v>
      </c>
      <c r="O316" s="265">
        <v>100</v>
      </c>
      <c r="P316" s="270">
        <v>1</v>
      </c>
      <c r="Q316" s="255">
        <v>20000</v>
      </c>
      <c r="R316" s="283">
        <v>20000</v>
      </c>
      <c r="S316" s="283">
        <v>5386</v>
      </c>
      <c r="T316" s="287">
        <v>0</v>
      </c>
      <c r="U316" s="287">
        <v>0</v>
      </c>
      <c r="V316" s="287">
        <v>0</v>
      </c>
      <c r="W316" s="283">
        <v>14614</v>
      </c>
      <c r="X316" s="283">
        <v>0</v>
      </c>
      <c r="Y316" s="199" t="s">
        <v>1392</v>
      </c>
      <c r="Z316" s="517" t="s">
        <v>5533</v>
      </c>
      <c r="AA316" s="493" t="s">
        <v>1485</v>
      </c>
      <c r="AB316" s="507"/>
    </row>
    <row r="317" spans="2:28" x14ac:dyDescent="0.15">
      <c r="B317" s="330" t="s">
        <v>3153</v>
      </c>
      <c r="C317" s="528">
        <v>42923</v>
      </c>
      <c r="D317" s="198" t="s">
        <v>2258</v>
      </c>
      <c r="E317" s="53" t="s">
        <v>1396</v>
      </c>
      <c r="F317" s="198" t="s">
        <v>3800</v>
      </c>
      <c r="G317" s="3" t="s">
        <v>50</v>
      </c>
      <c r="H317" s="53" t="s">
        <v>381</v>
      </c>
      <c r="I317" s="3" t="s">
        <v>1408</v>
      </c>
      <c r="J317" s="3" t="s">
        <v>264</v>
      </c>
      <c r="K317" s="3" t="s">
        <v>538</v>
      </c>
      <c r="L317" s="3" t="s">
        <v>2259</v>
      </c>
      <c r="M317" s="43"/>
      <c r="N317" s="255">
        <v>3000</v>
      </c>
      <c r="O317" s="265">
        <v>100</v>
      </c>
      <c r="P317" s="270">
        <v>1</v>
      </c>
      <c r="Q317" s="255">
        <v>3000</v>
      </c>
      <c r="R317" s="283">
        <v>3000</v>
      </c>
      <c r="S317" s="283">
        <v>808</v>
      </c>
      <c r="T317" s="287">
        <v>0</v>
      </c>
      <c r="U317" s="287">
        <v>0</v>
      </c>
      <c r="V317" s="287">
        <v>0</v>
      </c>
      <c r="W317" s="283">
        <v>2192</v>
      </c>
      <c r="X317" s="283">
        <v>0</v>
      </c>
      <c r="Y317" s="199" t="s">
        <v>1392</v>
      </c>
      <c r="Z317" s="517" t="s">
        <v>5542</v>
      </c>
      <c r="AA317" s="493" t="s">
        <v>1485</v>
      </c>
      <c r="AB317" s="507"/>
    </row>
    <row r="318" spans="2:28" x14ac:dyDescent="0.15">
      <c r="B318" s="330" t="s">
        <v>3154</v>
      </c>
      <c r="C318" s="528">
        <v>42923</v>
      </c>
      <c r="D318" s="198" t="s">
        <v>2258</v>
      </c>
      <c r="E318" s="53" t="s">
        <v>1396</v>
      </c>
      <c r="F318" s="198" t="s">
        <v>3800</v>
      </c>
      <c r="G318" s="3" t="s">
        <v>50</v>
      </c>
      <c r="H318" s="53" t="s">
        <v>381</v>
      </c>
      <c r="I318" s="3" t="s">
        <v>1408</v>
      </c>
      <c r="J318" s="3" t="s">
        <v>298</v>
      </c>
      <c r="K318" s="3" t="s">
        <v>1168</v>
      </c>
      <c r="L318" s="3" t="s">
        <v>2260</v>
      </c>
      <c r="M318" s="43"/>
      <c r="N318" s="255">
        <v>100</v>
      </c>
      <c r="O318" s="265">
        <v>65</v>
      </c>
      <c r="P318" s="270">
        <v>1</v>
      </c>
      <c r="Q318" s="255">
        <v>65</v>
      </c>
      <c r="R318" s="283">
        <v>65</v>
      </c>
      <c r="S318" s="283">
        <v>0</v>
      </c>
      <c r="T318" s="287">
        <v>0</v>
      </c>
      <c r="U318" s="287">
        <v>0</v>
      </c>
      <c r="V318" s="287">
        <v>0</v>
      </c>
      <c r="W318" s="283">
        <v>7</v>
      </c>
      <c r="X318" s="283">
        <v>0</v>
      </c>
      <c r="Y318" s="199" t="s">
        <v>1392</v>
      </c>
      <c r="Z318" s="517" t="s">
        <v>5542</v>
      </c>
      <c r="AA318" s="493" t="s">
        <v>1485</v>
      </c>
      <c r="AB318" s="507"/>
    </row>
    <row r="319" spans="2:28" x14ac:dyDescent="0.15">
      <c r="B319" s="330" t="s">
        <v>3155</v>
      </c>
      <c r="C319" s="528">
        <v>42923</v>
      </c>
      <c r="D319" s="198" t="s">
        <v>2261</v>
      </c>
      <c r="E319" s="53" t="s">
        <v>1391</v>
      </c>
      <c r="F319" s="198" t="s">
        <v>3794</v>
      </c>
      <c r="G319" s="3" t="s">
        <v>364</v>
      </c>
      <c r="H319" s="53" t="s">
        <v>433</v>
      </c>
      <c r="I319" s="3" t="s">
        <v>1508</v>
      </c>
      <c r="J319" s="3" t="s">
        <v>299</v>
      </c>
      <c r="K319" s="3" t="s">
        <v>373</v>
      </c>
      <c r="L319" s="3" t="s">
        <v>1860</v>
      </c>
      <c r="M319" s="43"/>
      <c r="N319" s="255">
        <v>10000</v>
      </c>
      <c r="O319" s="265">
        <v>65</v>
      </c>
      <c r="P319" s="270">
        <v>1</v>
      </c>
      <c r="Q319" s="255">
        <v>6500</v>
      </c>
      <c r="R319" s="283">
        <v>6500</v>
      </c>
      <c r="S319" s="283">
        <v>1750</v>
      </c>
      <c r="T319" s="287">
        <v>0</v>
      </c>
      <c r="U319" s="287">
        <v>0</v>
      </c>
      <c r="V319" s="287">
        <v>0</v>
      </c>
      <c r="W319" s="283">
        <v>4750</v>
      </c>
      <c r="X319" s="283">
        <v>0</v>
      </c>
      <c r="Y319" s="199" t="s">
        <v>1392</v>
      </c>
      <c r="Z319" s="517" t="s">
        <v>5166</v>
      </c>
      <c r="AA319" s="493" t="s">
        <v>1485</v>
      </c>
      <c r="AB319" s="507"/>
    </row>
    <row r="320" spans="2:28" x14ac:dyDescent="0.15">
      <c r="B320" s="330" t="s">
        <v>3156</v>
      </c>
      <c r="C320" s="528">
        <v>42923</v>
      </c>
      <c r="D320" s="198" t="s">
        <v>2261</v>
      </c>
      <c r="E320" s="53" t="s">
        <v>1391</v>
      </c>
      <c r="F320" s="198" t="s">
        <v>3794</v>
      </c>
      <c r="G320" s="3" t="s">
        <v>364</v>
      </c>
      <c r="H320" s="53" t="s">
        <v>433</v>
      </c>
      <c r="I320" s="3" t="s">
        <v>1508</v>
      </c>
      <c r="J320" s="3" t="s">
        <v>299</v>
      </c>
      <c r="K320" s="3" t="s">
        <v>373</v>
      </c>
      <c r="L320" s="3" t="s">
        <v>2262</v>
      </c>
      <c r="M320" s="43"/>
      <c r="N320" s="255">
        <v>8000</v>
      </c>
      <c r="O320" s="265">
        <v>65</v>
      </c>
      <c r="P320" s="270">
        <v>1</v>
      </c>
      <c r="Q320" s="255">
        <v>5200</v>
      </c>
      <c r="R320" s="283">
        <v>5200</v>
      </c>
      <c r="S320" s="283">
        <v>1400</v>
      </c>
      <c r="T320" s="287">
        <v>0</v>
      </c>
      <c r="U320" s="287">
        <v>0</v>
      </c>
      <c r="V320" s="287">
        <v>0</v>
      </c>
      <c r="W320" s="283">
        <v>3800</v>
      </c>
      <c r="X320" s="283">
        <v>0</v>
      </c>
      <c r="Y320" s="199" t="s">
        <v>1392</v>
      </c>
      <c r="Z320" s="517" t="s">
        <v>5532</v>
      </c>
      <c r="AA320" s="493" t="s">
        <v>1485</v>
      </c>
      <c r="AB320" s="507"/>
    </row>
    <row r="321" spans="2:28" x14ac:dyDescent="0.15">
      <c r="B321" s="330" t="s">
        <v>3157</v>
      </c>
      <c r="C321" s="528">
        <v>42923</v>
      </c>
      <c r="D321" s="198" t="s">
        <v>2263</v>
      </c>
      <c r="E321" s="53" t="s">
        <v>1396</v>
      </c>
      <c r="F321" s="198" t="s">
        <v>3796</v>
      </c>
      <c r="G321" s="3" t="s">
        <v>368</v>
      </c>
      <c r="H321" s="53" t="s">
        <v>792</v>
      </c>
      <c r="I321" s="3" t="s">
        <v>1413</v>
      </c>
      <c r="J321" s="3" t="s">
        <v>298</v>
      </c>
      <c r="K321" s="3" t="s">
        <v>1168</v>
      </c>
      <c r="L321" s="3" t="s">
        <v>1449</v>
      </c>
      <c r="M321" s="43"/>
      <c r="N321" s="255">
        <v>3500</v>
      </c>
      <c r="O321" s="265">
        <v>65</v>
      </c>
      <c r="P321" s="270">
        <v>2</v>
      </c>
      <c r="Q321" s="255">
        <v>2275</v>
      </c>
      <c r="R321" s="283">
        <v>4550</v>
      </c>
      <c r="S321" s="283">
        <v>1466</v>
      </c>
      <c r="T321" s="287">
        <v>0</v>
      </c>
      <c r="U321" s="287">
        <v>0</v>
      </c>
      <c r="V321" s="287">
        <v>0</v>
      </c>
      <c r="W321" s="283">
        <v>524</v>
      </c>
      <c r="X321" s="283">
        <v>0</v>
      </c>
      <c r="Y321" s="199" t="s">
        <v>1392</v>
      </c>
      <c r="Z321" s="517" t="s">
        <v>5166</v>
      </c>
      <c r="AA321" s="493" t="s">
        <v>1485</v>
      </c>
      <c r="AB321" s="507"/>
    </row>
    <row r="322" spans="2:28" x14ac:dyDescent="0.15">
      <c r="B322" s="330" t="s">
        <v>3158</v>
      </c>
      <c r="C322" s="528">
        <v>42926</v>
      </c>
      <c r="D322" s="198" t="s">
        <v>2264</v>
      </c>
      <c r="E322" s="53" t="s">
        <v>1391</v>
      </c>
      <c r="F322" s="198" t="s">
        <v>3813</v>
      </c>
      <c r="G322" s="3" t="s">
        <v>366</v>
      </c>
      <c r="H322" s="53" t="s">
        <v>1137</v>
      </c>
      <c r="I322" s="3" t="s">
        <v>1420</v>
      </c>
      <c r="J322" s="3" t="s">
        <v>293</v>
      </c>
      <c r="K322" s="3" t="s">
        <v>1164</v>
      </c>
      <c r="L322" s="3" t="s">
        <v>2265</v>
      </c>
      <c r="M322" s="43" t="s">
        <v>2266</v>
      </c>
      <c r="N322" s="255">
        <v>270000</v>
      </c>
      <c r="O322" s="265">
        <v>100</v>
      </c>
      <c r="P322" s="270">
        <v>1</v>
      </c>
      <c r="Q322" s="255">
        <v>270000</v>
      </c>
      <c r="R322" s="283">
        <v>270000</v>
      </c>
      <c r="S322" s="283">
        <v>55440</v>
      </c>
      <c r="T322" s="287">
        <v>0</v>
      </c>
      <c r="U322" s="287">
        <v>1</v>
      </c>
      <c r="V322" s="287">
        <v>0</v>
      </c>
      <c r="W322" s="283">
        <v>27000</v>
      </c>
      <c r="X322" s="283">
        <v>0</v>
      </c>
      <c r="Y322" s="199" t="s">
        <v>1392</v>
      </c>
      <c r="Z322" s="517" t="s">
        <v>5167</v>
      </c>
      <c r="AA322" s="493" t="s">
        <v>1485</v>
      </c>
      <c r="AB322" s="507"/>
    </row>
    <row r="323" spans="2:28" x14ac:dyDescent="0.15">
      <c r="B323" s="330" t="s">
        <v>3159</v>
      </c>
      <c r="C323" s="528">
        <v>42930</v>
      </c>
      <c r="D323" s="198" t="s">
        <v>2269</v>
      </c>
      <c r="E323" s="53" t="s">
        <v>1391</v>
      </c>
      <c r="F323" s="198" t="s">
        <v>3797</v>
      </c>
      <c r="G323" s="3" t="s">
        <v>362</v>
      </c>
      <c r="H323" s="53" t="s">
        <v>689</v>
      </c>
      <c r="I323" s="3" t="s">
        <v>1394</v>
      </c>
      <c r="J323" s="3" t="s">
        <v>273</v>
      </c>
      <c r="K323" s="3" t="s">
        <v>1161</v>
      </c>
      <c r="L323" s="3" t="s">
        <v>2270</v>
      </c>
      <c r="M323" s="43" t="s">
        <v>2209</v>
      </c>
      <c r="N323" s="255">
        <v>387000</v>
      </c>
      <c r="O323" s="265">
        <v>58.5</v>
      </c>
      <c r="P323" s="270">
        <v>1</v>
      </c>
      <c r="Q323" s="255">
        <v>226395</v>
      </c>
      <c r="R323" s="283">
        <v>226395</v>
      </c>
      <c r="S323" s="283">
        <v>81683</v>
      </c>
      <c r="T323" s="287">
        <v>1</v>
      </c>
      <c r="U323" s="287">
        <v>0</v>
      </c>
      <c r="V323" s="287">
        <v>0</v>
      </c>
      <c r="W323" s="283">
        <v>0</v>
      </c>
      <c r="X323" s="283">
        <v>0</v>
      </c>
      <c r="Y323" s="199" t="s">
        <v>1395</v>
      </c>
      <c r="Z323" s="517" t="s">
        <v>5166</v>
      </c>
      <c r="AA323" s="493" t="s">
        <v>1485</v>
      </c>
      <c r="AB323" s="507"/>
    </row>
    <row r="324" spans="2:28" x14ac:dyDescent="0.15">
      <c r="B324" s="330" t="s">
        <v>3160</v>
      </c>
      <c r="C324" s="528">
        <v>42930</v>
      </c>
      <c r="D324" s="198" t="s">
        <v>2271</v>
      </c>
      <c r="E324" s="53" t="s">
        <v>1396</v>
      </c>
      <c r="F324" s="198" t="s">
        <v>3799</v>
      </c>
      <c r="G324" s="3" t="s">
        <v>1110</v>
      </c>
      <c r="H324" s="53" t="s">
        <v>796</v>
      </c>
      <c r="I324" s="3" t="s">
        <v>1428</v>
      </c>
      <c r="J324" s="3" t="s">
        <v>262</v>
      </c>
      <c r="K324" s="3" t="s">
        <v>365</v>
      </c>
      <c r="L324" s="3" t="s">
        <v>2272</v>
      </c>
      <c r="M324" s="43" t="s">
        <v>2273</v>
      </c>
      <c r="N324" s="255">
        <v>160800</v>
      </c>
      <c r="O324" s="265">
        <v>100</v>
      </c>
      <c r="P324" s="270">
        <v>1</v>
      </c>
      <c r="Q324" s="255">
        <v>160800</v>
      </c>
      <c r="R324" s="283">
        <v>160800</v>
      </c>
      <c r="S324" s="283">
        <v>46002</v>
      </c>
      <c r="T324" s="287">
        <v>0</v>
      </c>
      <c r="U324" s="287">
        <v>1</v>
      </c>
      <c r="V324" s="287">
        <v>0</v>
      </c>
      <c r="W324" s="283">
        <v>16080</v>
      </c>
      <c r="X324" s="283">
        <v>0</v>
      </c>
      <c r="Y324" s="199" t="s">
        <v>1392</v>
      </c>
      <c r="Z324" s="517" t="s">
        <v>5542</v>
      </c>
      <c r="AA324" s="493" t="s">
        <v>1485</v>
      </c>
      <c r="AB324" s="507"/>
    </row>
    <row r="325" spans="2:28" x14ac:dyDescent="0.15">
      <c r="B325" s="330" t="s">
        <v>3161</v>
      </c>
      <c r="C325" s="528">
        <v>42936</v>
      </c>
      <c r="D325" s="198" t="s">
        <v>2276</v>
      </c>
      <c r="E325" s="53" t="s">
        <v>1391</v>
      </c>
      <c r="F325" s="198" t="s">
        <v>3794</v>
      </c>
      <c r="G325" s="3" t="s">
        <v>364</v>
      </c>
      <c r="H325" s="53" t="s">
        <v>444</v>
      </c>
      <c r="I325" s="3" t="s">
        <v>1440</v>
      </c>
      <c r="J325" s="3" t="s">
        <v>262</v>
      </c>
      <c r="K325" s="3" t="s">
        <v>365</v>
      </c>
      <c r="L325" s="3" t="s">
        <v>1690</v>
      </c>
      <c r="M325" s="53" t="s">
        <v>2277</v>
      </c>
      <c r="N325" s="255">
        <v>260000</v>
      </c>
      <c r="O325" s="265">
        <v>60</v>
      </c>
      <c r="P325" s="270">
        <v>1</v>
      </c>
      <c r="Q325" s="255">
        <v>156000</v>
      </c>
      <c r="R325" s="283">
        <v>156000</v>
      </c>
      <c r="S325" s="283">
        <v>43182</v>
      </c>
      <c r="T325" s="287">
        <v>0</v>
      </c>
      <c r="U325" s="287">
        <v>1</v>
      </c>
      <c r="V325" s="287">
        <v>0</v>
      </c>
      <c r="W325" s="283">
        <v>15600</v>
      </c>
      <c r="X325" s="283">
        <v>0</v>
      </c>
      <c r="Y325" s="199" t="s">
        <v>1392</v>
      </c>
      <c r="Z325" s="517" t="s">
        <v>5166</v>
      </c>
      <c r="AA325" s="493" t="s">
        <v>1485</v>
      </c>
      <c r="AB325" s="507"/>
    </row>
    <row r="326" spans="2:28" x14ac:dyDescent="0.15">
      <c r="B326" s="330" t="s">
        <v>3162</v>
      </c>
      <c r="C326" s="528">
        <v>42936</v>
      </c>
      <c r="D326" s="198" t="s">
        <v>2283</v>
      </c>
      <c r="E326" s="53" t="s">
        <v>1391</v>
      </c>
      <c r="F326" s="198" t="s">
        <v>3794</v>
      </c>
      <c r="G326" s="3" t="s">
        <v>364</v>
      </c>
      <c r="H326" s="53" t="s">
        <v>444</v>
      </c>
      <c r="I326" s="3" t="s">
        <v>1440</v>
      </c>
      <c r="J326" s="3" t="s">
        <v>273</v>
      </c>
      <c r="K326" s="3" t="s">
        <v>1161</v>
      </c>
      <c r="L326" s="3" t="s">
        <v>2284</v>
      </c>
      <c r="M326" s="43" t="s">
        <v>2285</v>
      </c>
      <c r="N326" s="255">
        <v>260000</v>
      </c>
      <c r="O326" s="265">
        <v>60</v>
      </c>
      <c r="P326" s="270">
        <v>1</v>
      </c>
      <c r="Q326" s="255">
        <v>156000</v>
      </c>
      <c r="R326" s="283">
        <v>156000</v>
      </c>
      <c r="S326" s="283">
        <v>50885</v>
      </c>
      <c r="T326" s="287">
        <v>0</v>
      </c>
      <c r="U326" s="287">
        <v>1</v>
      </c>
      <c r="V326" s="287">
        <v>0</v>
      </c>
      <c r="W326" s="283">
        <v>15600</v>
      </c>
      <c r="X326" s="283">
        <v>0</v>
      </c>
      <c r="Y326" s="199" t="s">
        <v>1392</v>
      </c>
      <c r="Z326" s="517" t="s">
        <v>5166</v>
      </c>
      <c r="AA326" s="493" t="s">
        <v>1485</v>
      </c>
      <c r="AB326" s="507"/>
    </row>
    <row r="327" spans="2:28" x14ac:dyDescent="0.15">
      <c r="B327" s="330" t="s">
        <v>3163</v>
      </c>
      <c r="C327" s="528">
        <v>42936</v>
      </c>
      <c r="D327" s="198" t="s">
        <v>2291</v>
      </c>
      <c r="E327" s="53" t="s">
        <v>1391</v>
      </c>
      <c r="F327" s="198" t="s">
        <v>3794</v>
      </c>
      <c r="G327" s="3" t="s">
        <v>364</v>
      </c>
      <c r="H327" s="53" t="s">
        <v>423</v>
      </c>
      <c r="I327" s="3" t="s">
        <v>1439</v>
      </c>
      <c r="J327" s="3" t="s">
        <v>270</v>
      </c>
      <c r="K327" s="3" t="s">
        <v>539</v>
      </c>
      <c r="L327" s="3" t="s">
        <v>2220</v>
      </c>
      <c r="M327" s="53" t="s">
        <v>2292</v>
      </c>
      <c r="N327" s="255">
        <v>318000</v>
      </c>
      <c r="O327" s="265">
        <v>60</v>
      </c>
      <c r="P327" s="270">
        <v>1</v>
      </c>
      <c r="Q327" s="255">
        <v>190800</v>
      </c>
      <c r="R327" s="283">
        <v>190800</v>
      </c>
      <c r="S327" s="283">
        <v>53919</v>
      </c>
      <c r="T327" s="287">
        <v>0</v>
      </c>
      <c r="U327" s="287">
        <v>1</v>
      </c>
      <c r="V327" s="287">
        <v>0</v>
      </c>
      <c r="W327" s="283">
        <v>19080</v>
      </c>
      <c r="X327" s="283">
        <v>0</v>
      </c>
      <c r="Y327" s="199" t="s">
        <v>1392</v>
      </c>
      <c r="Z327" s="517" t="s">
        <v>5166</v>
      </c>
      <c r="AA327" s="493" t="s">
        <v>1485</v>
      </c>
      <c r="AB327" s="507"/>
    </row>
    <row r="328" spans="2:28" x14ac:dyDescent="0.15">
      <c r="B328" s="330" t="s">
        <v>3164</v>
      </c>
      <c r="C328" s="528">
        <v>42936</v>
      </c>
      <c r="D328" s="198" t="s">
        <v>2298</v>
      </c>
      <c r="E328" s="53" t="s">
        <v>1396</v>
      </c>
      <c r="F328" s="198" t="s">
        <v>3795</v>
      </c>
      <c r="G328" s="3" t="s">
        <v>1321</v>
      </c>
      <c r="H328" s="53"/>
      <c r="I328" s="3"/>
      <c r="J328" s="3" t="s">
        <v>299</v>
      </c>
      <c r="K328" s="3" t="s">
        <v>373</v>
      </c>
      <c r="L328" s="3" t="s">
        <v>2299</v>
      </c>
      <c r="M328" s="43"/>
      <c r="N328" s="255">
        <v>4000</v>
      </c>
      <c r="O328" s="265">
        <v>100</v>
      </c>
      <c r="P328" s="270">
        <v>-1</v>
      </c>
      <c r="Q328" s="255">
        <v>4000</v>
      </c>
      <c r="R328" s="283">
        <v>-4000</v>
      </c>
      <c r="S328" s="283">
        <v>-4000</v>
      </c>
      <c r="T328" s="287">
        <v>0</v>
      </c>
      <c r="U328" s="287">
        <v>0</v>
      </c>
      <c r="V328" s="287">
        <v>0</v>
      </c>
      <c r="W328" s="283">
        <v>4000</v>
      </c>
      <c r="X328" s="283">
        <v>0</v>
      </c>
      <c r="Y328" s="199" t="s">
        <v>1392</v>
      </c>
      <c r="Z328" s="517" t="s">
        <v>5533</v>
      </c>
      <c r="AA328" s="493"/>
      <c r="AB328" s="507"/>
    </row>
    <row r="329" spans="2:28" x14ac:dyDescent="0.15">
      <c r="B329" s="330" t="s">
        <v>3165</v>
      </c>
      <c r="C329" s="528">
        <v>42936</v>
      </c>
      <c r="D329" s="198" t="s">
        <v>2303</v>
      </c>
      <c r="E329" s="53" t="s">
        <v>1396</v>
      </c>
      <c r="F329" s="198" t="s">
        <v>3795</v>
      </c>
      <c r="G329" s="3" t="s">
        <v>1321</v>
      </c>
      <c r="H329" s="53"/>
      <c r="I329" s="3"/>
      <c r="J329" s="3" t="s">
        <v>311</v>
      </c>
      <c r="K329" s="3"/>
      <c r="L329" s="3" t="s">
        <v>1418</v>
      </c>
      <c r="M329" s="43"/>
      <c r="N329" s="255">
        <v>30265</v>
      </c>
      <c r="O329" s="265">
        <v>100</v>
      </c>
      <c r="P329" s="270">
        <v>1</v>
      </c>
      <c r="Q329" s="255">
        <v>30265</v>
      </c>
      <c r="R329" s="283">
        <v>30265</v>
      </c>
      <c r="S329" s="283">
        <v>-30265</v>
      </c>
      <c r="T329" s="287">
        <v>0</v>
      </c>
      <c r="U329" s="287">
        <v>0</v>
      </c>
      <c r="V329" s="287">
        <v>0</v>
      </c>
      <c r="W329" s="283">
        <v>30265</v>
      </c>
      <c r="X329" s="283">
        <v>0</v>
      </c>
      <c r="Y329" s="199" t="s">
        <v>1392</v>
      </c>
      <c r="Z329" s="517" t="s">
        <v>5449</v>
      </c>
      <c r="AA329" s="493"/>
      <c r="AB329" s="507"/>
    </row>
    <row r="330" spans="2:28" x14ac:dyDescent="0.15">
      <c r="B330" s="330" t="s">
        <v>3166</v>
      </c>
      <c r="C330" s="528">
        <v>42937</v>
      </c>
      <c r="D330" s="198" t="s">
        <v>2242</v>
      </c>
      <c r="E330" s="53" t="s">
        <v>1396</v>
      </c>
      <c r="F330" s="198" t="s">
        <v>3800</v>
      </c>
      <c r="G330" s="3" t="s">
        <v>50</v>
      </c>
      <c r="H330" s="53" t="s">
        <v>1434</v>
      </c>
      <c r="I330" s="3" t="s">
        <v>1435</v>
      </c>
      <c r="J330" s="4" t="s">
        <v>271</v>
      </c>
      <c r="K330" s="4" t="s">
        <v>1160</v>
      </c>
      <c r="L330" s="4" t="s">
        <v>1964</v>
      </c>
      <c r="M330" s="43" t="s">
        <v>2243</v>
      </c>
      <c r="N330" s="255">
        <v>225000</v>
      </c>
      <c r="O330" s="265">
        <v>100</v>
      </c>
      <c r="P330" s="270">
        <v>1</v>
      </c>
      <c r="Q330" s="255">
        <v>225000</v>
      </c>
      <c r="R330" s="283">
        <v>225000</v>
      </c>
      <c r="S330" s="283">
        <v>72924</v>
      </c>
      <c r="T330" s="287">
        <v>0</v>
      </c>
      <c r="U330" s="287">
        <v>1</v>
      </c>
      <c r="V330" s="287">
        <v>0</v>
      </c>
      <c r="W330" s="283">
        <v>25961</v>
      </c>
      <c r="X330" s="283">
        <v>0</v>
      </c>
      <c r="Y330" s="199" t="s">
        <v>1392</v>
      </c>
      <c r="Z330" s="517" t="s">
        <v>5167</v>
      </c>
      <c r="AA330" s="493" t="s">
        <v>1485</v>
      </c>
      <c r="AB330" s="507"/>
    </row>
    <row r="331" spans="2:28" x14ac:dyDescent="0.15">
      <c r="B331" s="330" t="s">
        <v>3167</v>
      </c>
      <c r="C331" s="528">
        <v>42937</v>
      </c>
      <c r="D331" s="198" t="s">
        <v>2244</v>
      </c>
      <c r="E331" s="53" t="s">
        <v>1396</v>
      </c>
      <c r="F331" s="198" t="s">
        <v>3800</v>
      </c>
      <c r="G331" s="3" t="s">
        <v>50</v>
      </c>
      <c r="H331" s="198" t="s">
        <v>380</v>
      </c>
      <c r="I331" s="3" t="s">
        <v>1976</v>
      </c>
      <c r="J331" s="4" t="s">
        <v>292</v>
      </c>
      <c r="K331" s="4" t="s">
        <v>1163</v>
      </c>
      <c r="L331" s="4" t="s">
        <v>1868</v>
      </c>
      <c r="M331" s="191" t="s">
        <v>2245</v>
      </c>
      <c r="N331" s="255">
        <v>380000</v>
      </c>
      <c r="O331" s="265">
        <v>60</v>
      </c>
      <c r="P331" s="270">
        <v>1</v>
      </c>
      <c r="Q331" s="255">
        <v>228000</v>
      </c>
      <c r="R331" s="283">
        <v>228000</v>
      </c>
      <c r="S331" s="283">
        <v>60476</v>
      </c>
      <c r="T331" s="287">
        <v>0</v>
      </c>
      <c r="U331" s="287">
        <v>1</v>
      </c>
      <c r="V331" s="287">
        <v>0</v>
      </c>
      <c r="W331" s="283">
        <v>22800</v>
      </c>
      <c r="X331" s="283">
        <v>0</v>
      </c>
      <c r="Y331" s="199" t="s">
        <v>1392</v>
      </c>
      <c r="Z331" s="517" t="s">
        <v>5166</v>
      </c>
      <c r="AA331" s="493" t="s">
        <v>1485</v>
      </c>
      <c r="AB331" s="507"/>
    </row>
    <row r="332" spans="2:28" x14ac:dyDescent="0.15">
      <c r="B332" s="330" t="s">
        <v>3168</v>
      </c>
      <c r="C332" s="528">
        <v>42937</v>
      </c>
      <c r="D332" s="198" t="s">
        <v>2246</v>
      </c>
      <c r="E332" s="53" t="s">
        <v>1396</v>
      </c>
      <c r="F332" s="198" t="s">
        <v>3800</v>
      </c>
      <c r="G332" s="3" t="s">
        <v>50</v>
      </c>
      <c r="H332" s="53" t="s">
        <v>380</v>
      </c>
      <c r="I332" s="3" t="s">
        <v>1976</v>
      </c>
      <c r="J332" s="4" t="s">
        <v>272</v>
      </c>
      <c r="K332" s="4" t="s">
        <v>363</v>
      </c>
      <c r="L332" s="4" t="s">
        <v>2247</v>
      </c>
      <c r="M332" s="43" t="s">
        <v>2248</v>
      </c>
      <c r="N332" s="255">
        <v>222000</v>
      </c>
      <c r="O332" s="265">
        <v>100</v>
      </c>
      <c r="P332" s="270">
        <v>1</v>
      </c>
      <c r="Q332" s="255">
        <v>222000</v>
      </c>
      <c r="R332" s="283">
        <v>222000</v>
      </c>
      <c r="S332" s="283">
        <v>23846</v>
      </c>
      <c r="T332" s="287">
        <v>0</v>
      </c>
      <c r="U332" s="287">
        <v>1</v>
      </c>
      <c r="V332" s="287">
        <v>0</v>
      </c>
      <c r="W332" s="283">
        <v>22200</v>
      </c>
      <c r="X332" s="283">
        <v>0</v>
      </c>
      <c r="Y332" s="199" t="s">
        <v>1392</v>
      </c>
      <c r="Z332" s="517" t="s">
        <v>5166</v>
      </c>
      <c r="AA332" s="493" t="s">
        <v>1485</v>
      </c>
      <c r="AB332" s="507"/>
    </row>
    <row r="333" spans="2:28" x14ac:dyDescent="0.15">
      <c r="B333" s="330" t="s">
        <v>3169</v>
      </c>
      <c r="C333" s="528">
        <v>42937</v>
      </c>
      <c r="D333" s="198" t="s">
        <v>2249</v>
      </c>
      <c r="E333" s="53" t="s">
        <v>1396</v>
      </c>
      <c r="F333" s="198" t="s">
        <v>3800</v>
      </c>
      <c r="G333" s="3" t="s">
        <v>50</v>
      </c>
      <c r="H333" s="53" t="s">
        <v>380</v>
      </c>
      <c r="I333" s="3" t="s">
        <v>1976</v>
      </c>
      <c r="J333" s="4" t="s">
        <v>272</v>
      </c>
      <c r="K333" s="4" t="s">
        <v>363</v>
      </c>
      <c r="L333" s="4" t="s">
        <v>2250</v>
      </c>
      <c r="M333" s="43" t="s">
        <v>1499</v>
      </c>
      <c r="N333" s="255">
        <v>370000</v>
      </c>
      <c r="O333" s="265">
        <v>60</v>
      </c>
      <c r="P333" s="270">
        <v>-1</v>
      </c>
      <c r="Q333" s="255">
        <v>222000</v>
      </c>
      <c r="R333" s="283">
        <v>-222000</v>
      </c>
      <c r="S333" s="283">
        <v>23846</v>
      </c>
      <c r="T333" s="287">
        <v>0</v>
      </c>
      <c r="U333" s="287">
        <v>-1</v>
      </c>
      <c r="V333" s="287">
        <v>0</v>
      </c>
      <c r="W333" s="283">
        <v>-22200</v>
      </c>
      <c r="X333" s="283">
        <v>0</v>
      </c>
      <c r="Y333" s="199" t="s">
        <v>1392</v>
      </c>
      <c r="Z333" s="517" t="s">
        <v>5166</v>
      </c>
      <c r="AA333" s="493" t="s">
        <v>1485</v>
      </c>
      <c r="AB333" s="507"/>
    </row>
    <row r="334" spans="2:28" x14ac:dyDescent="0.15">
      <c r="B334" s="330" t="s">
        <v>3170</v>
      </c>
      <c r="C334" s="528">
        <v>42937</v>
      </c>
      <c r="D334" s="198" t="s">
        <v>2267</v>
      </c>
      <c r="E334" s="53" t="s">
        <v>1396</v>
      </c>
      <c r="F334" s="198" t="s">
        <v>3800</v>
      </c>
      <c r="G334" s="3" t="s">
        <v>50</v>
      </c>
      <c r="H334" s="53" t="s">
        <v>381</v>
      </c>
      <c r="I334" s="3" t="s">
        <v>1408</v>
      </c>
      <c r="J334" s="4" t="s">
        <v>271</v>
      </c>
      <c r="K334" s="4" t="s">
        <v>1160</v>
      </c>
      <c r="L334" s="4" t="s">
        <v>1951</v>
      </c>
      <c r="M334" s="43" t="s">
        <v>2268</v>
      </c>
      <c r="N334" s="255">
        <v>213000</v>
      </c>
      <c r="O334" s="265">
        <v>100</v>
      </c>
      <c r="P334" s="270">
        <v>1</v>
      </c>
      <c r="Q334" s="255">
        <v>213000</v>
      </c>
      <c r="R334" s="283">
        <v>213000</v>
      </c>
      <c r="S334" s="283">
        <v>63594</v>
      </c>
      <c r="T334" s="287">
        <v>0</v>
      </c>
      <c r="U334" s="287">
        <v>1</v>
      </c>
      <c r="V334" s="287">
        <v>0</v>
      </c>
      <c r="W334" s="283">
        <v>24576</v>
      </c>
      <c r="X334" s="283">
        <v>0</v>
      </c>
      <c r="Y334" s="199" t="s">
        <v>1392</v>
      </c>
      <c r="Z334" s="517" t="s">
        <v>5166</v>
      </c>
      <c r="AA334" s="493" t="s">
        <v>1485</v>
      </c>
      <c r="AB334" s="507"/>
    </row>
    <row r="335" spans="2:28" x14ac:dyDescent="0.15">
      <c r="B335" s="330" t="s">
        <v>3171</v>
      </c>
      <c r="C335" s="528">
        <v>42948</v>
      </c>
      <c r="D335" s="198" t="s">
        <v>2237</v>
      </c>
      <c r="E335" s="53" t="s">
        <v>1396</v>
      </c>
      <c r="F335" s="198" t="s">
        <v>3799</v>
      </c>
      <c r="G335" s="3" t="s">
        <v>1110</v>
      </c>
      <c r="H335" s="53" t="s">
        <v>801</v>
      </c>
      <c r="I335" s="3" t="s">
        <v>1920</v>
      </c>
      <c r="J335" s="4" t="s">
        <v>262</v>
      </c>
      <c r="K335" s="4" t="s">
        <v>365</v>
      </c>
      <c r="L335" s="4" t="s">
        <v>2238</v>
      </c>
      <c r="M335" s="43" t="s">
        <v>2239</v>
      </c>
      <c r="N335" s="255">
        <v>142800</v>
      </c>
      <c r="O335" s="265">
        <v>100</v>
      </c>
      <c r="P335" s="270">
        <v>1</v>
      </c>
      <c r="Q335" s="255">
        <v>142800</v>
      </c>
      <c r="R335" s="283">
        <v>142800</v>
      </c>
      <c r="S335" s="283">
        <v>34802</v>
      </c>
      <c r="T335" s="287">
        <v>0</v>
      </c>
      <c r="U335" s="287">
        <v>1</v>
      </c>
      <c r="V335" s="287">
        <v>0</v>
      </c>
      <c r="W335" s="283">
        <v>14280</v>
      </c>
      <c r="X335" s="283">
        <v>0</v>
      </c>
      <c r="Y335" s="199" t="s">
        <v>1392</v>
      </c>
      <c r="Z335" s="517" t="s">
        <v>5449</v>
      </c>
      <c r="AA335" s="493" t="s">
        <v>1485</v>
      </c>
      <c r="AB335" s="507"/>
    </row>
    <row r="336" spans="2:28" x14ac:dyDescent="0.15">
      <c r="B336" s="330" t="s">
        <v>3172</v>
      </c>
      <c r="C336" s="528">
        <v>42948</v>
      </c>
      <c r="D336" s="198" t="s">
        <v>2274</v>
      </c>
      <c r="E336" s="53" t="s">
        <v>1396</v>
      </c>
      <c r="F336" s="198" t="s">
        <v>3799</v>
      </c>
      <c r="G336" s="3" t="s">
        <v>1110</v>
      </c>
      <c r="H336" s="53" t="s">
        <v>796</v>
      </c>
      <c r="I336" s="3" t="s">
        <v>1428</v>
      </c>
      <c r="J336" s="4" t="s">
        <v>262</v>
      </c>
      <c r="K336" s="4" t="s">
        <v>365</v>
      </c>
      <c r="L336" s="4" t="s">
        <v>1818</v>
      </c>
      <c r="M336" s="43" t="s">
        <v>2275</v>
      </c>
      <c r="N336" s="255">
        <v>160800</v>
      </c>
      <c r="O336" s="265">
        <v>100</v>
      </c>
      <c r="P336" s="270">
        <v>1</v>
      </c>
      <c r="Q336" s="255">
        <v>160800</v>
      </c>
      <c r="R336" s="283">
        <v>160800</v>
      </c>
      <c r="S336" s="283">
        <v>46002</v>
      </c>
      <c r="T336" s="287">
        <v>0</v>
      </c>
      <c r="U336" s="287">
        <v>1</v>
      </c>
      <c r="V336" s="287">
        <v>0</v>
      </c>
      <c r="W336" s="283">
        <v>16080</v>
      </c>
      <c r="X336" s="283">
        <v>0</v>
      </c>
      <c r="Y336" s="199" t="s">
        <v>1392</v>
      </c>
      <c r="Z336" s="517" t="s">
        <v>5166</v>
      </c>
      <c r="AA336" s="493" t="s">
        <v>1485</v>
      </c>
      <c r="AB336" s="507"/>
    </row>
    <row r="337" spans="2:28" x14ac:dyDescent="0.15">
      <c r="B337" s="330" t="s">
        <v>3173</v>
      </c>
      <c r="C337" s="528">
        <v>42948</v>
      </c>
      <c r="D337" s="198" t="s">
        <v>2278</v>
      </c>
      <c r="E337" s="53" t="s">
        <v>1396</v>
      </c>
      <c r="F337" s="198" t="s">
        <v>3799</v>
      </c>
      <c r="G337" s="3" t="s">
        <v>1110</v>
      </c>
      <c r="H337" s="53" t="s">
        <v>801</v>
      </c>
      <c r="I337" s="3" t="s">
        <v>1920</v>
      </c>
      <c r="J337" s="4" t="s">
        <v>270</v>
      </c>
      <c r="K337" s="4" t="s">
        <v>539</v>
      </c>
      <c r="L337" s="4" t="s">
        <v>2279</v>
      </c>
      <c r="M337" s="43" t="s">
        <v>2280</v>
      </c>
      <c r="N337" s="255">
        <v>166800</v>
      </c>
      <c r="O337" s="265">
        <v>100</v>
      </c>
      <c r="P337" s="270">
        <v>1</v>
      </c>
      <c r="Q337" s="255">
        <v>166800</v>
      </c>
      <c r="R337" s="283">
        <v>166800</v>
      </c>
      <c r="S337" s="283">
        <v>25819</v>
      </c>
      <c r="T337" s="287">
        <v>0</v>
      </c>
      <c r="U337" s="287">
        <v>1</v>
      </c>
      <c r="V337" s="287">
        <v>0</v>
      </c>
      <c r="W337" s="283">
        <v>16680</v>
      </c>
      <c r="X337" s="283">
        <v>0</v>
      </c>
      <c r="Y337" s="199" t="s">
        <v>1392</v>
      </c>
      <c r="Z337" s="517" t="s">
        <v>5533</v>
      </c>
      <c r="AA337" s="493" t="s">
        <v>1485</v>
      </c>
      <c r="AB337" s="507"/>
    </row>
    <row r="338" spans="2:28" x14ac:dyDescent="0.15">
      <c r="B338" s="330" t="s">
        <v>3174</v>
      </c>
      <c r="C338" s="528">
        <v>42948</v>
      </c>
      <c r="D338" s="198" t="s">
        <v>2281</v>
      </c>
      <c r="E338" s="53" t="s">
        <v>1396</v>
      </c>
      <c r="F338" s="198" t="s">
        <v>3799</v>
      </c>
      <c r="G338" s="3" t="s">
        <v>1110</v>
      </c>
      <c r="H338" s="53" t="s">
        <v>801</v>
      </c>
      <c r="I338" s="3" t="s">
        <v>1920</v>
      </c>
      <c r="J338" s="4" t="s">
        <v>270</v>
      </c>
      <c r="K338" s="4" t="s">
        <v>539</v>
      </c>
      <c r="L338" s="4" t="s">
        <v>2282</v>
      </c>
      <c r="M338" s="43" t="s">
        <v>1978</v>
      </c>
      <c r="N338" s="255">
        <v>181800</v>
      </c>
      <c r="O338" s="265">
        <v>100</v>
      </c>
      <c r="P338" s="270">
        <v>1</v>
      </c>
      <c r="Q338" s="255">
        <v>181800</v>
      </c>
      <c r="R338" s="283">
        <v>181800</v>
      </c>
      <c r="S338" s="283">
        <v>45819</v>
      </c>
      <c r="T338" s="287">
        <v>0</v>
      </c>
      <c r="U338" s="287">
        <v>1</v>
      </c>
      <c r="V338" s="287">
        <v>0</v>
      </c>
      <c r="W338" s="283">
        <v>18180</v>
      </c>
      <c r="X338" s="283">
        <v>0</v>
      </c>
      <c r="Y338" s="199" t="s">
        <v>1392</v>
      </c>
      <c r="Z338" s="517" t="s">
        <v>5546</v>
      </c>
      <c r="AA338" s="493" t="s">
        <v>1485</v>
      </c>
      <c r="AB338" s="507"/>
    </row>
    <row r="339" spans="2:28" x14ac:dyDescent="0.15">
      <c r="B339" s="330" t="s">
        <v>3175</v>
      </c>
      <c r="C339" s="528">
        <v>42948</v>
      </c>
      <c r="D339" s="198" t="s">
        <v>2286</v>
      </c>
      <c r="E339" s="53" t="s">
        <v>1396</v>
      </c>
      <c r="F339" s="198" t="s">
        <v>3799</v>
      </c>
      <c r="G339" s="3" t="s">
        <v>1110</v>
      </c>
      <c r="H339" s="53" t="s">
        <v>796</v>
      </c>
      <c r="I339" s="3" t="s">
        <v>1428</v>
      </c>
      <c r="J339" s="4" t="s">
        <v>268</v>
      </c>
      <c r="K339" s="4" t="s">
        <v>1158</v>
      </c>
      <c r="L339" s="4" t="s">
        <v>1949</v>
      </c>
      <c r="M339" s="43" t="s">
        <v>2287</v>
      </c>
      <c r="N339" s="255">
        <v>144000</v>
      </c>
      <c r="O339" s="265">
        <v>100</v>
      </c>
      <c r="P339" s="270">
        <v>1</v>
      </c>
      <c r="Q339" s="255">
        <v>144000</v>
      </c>
      <c r="R339" s="283">
        <v>144000</v>
      </c>
      <c r="S339" s="283">
        <v>35592</v>
      </c>
      <c r="T339" s="287">
        <v>0</v>
      </c>
      <c r="U339" s="287">
        <v>1</v>
      </c>
      <c r="V339" s="287">
        <v>0</v>
      </c>
      <c r="W339" s="283">
        <v>14400</v>
      </c>
      <c r="X339" s="283">
        <v>0</v>
      </c>
      <c r="Y339" s="199" t="s">
        <v>1392</v>
      </c>
      <c r="Z339" s="517" t="s">
        <v>5543</v>
      </c>
      <c r="AA339" s="493" t="s">
        <v>1485</v>
      </c>
      <c r="AB339" s="507"/>
    </row>
    <row r="340" spans="2:28" x14ac:dyDescent="0.15">
      <c r="B340" s="330" t="s">
        <v>3176</v>
      </c>
      <c r="C340" s="528">
        <v>42948</v>
      </c>
      <c r="D340" s="198" t="s">
        <v>2288</v>
      </c>
      <c r="E340" s="53" t="s">
        <v>1396</v>
      </c>
      <c r="F340" s="198" t="s">
        <v>3799</v>
      </c>
      <c r="G340" s="3" t="s">
        <v>1110</v>
      </c>
      <c r="H340" s="53" t="s">
        <v>801</v>
      </c>
      <c r="I340" s="3" t="s">
        <v>1920</v>
      </c>
      <c r="J340" s="4" t="s">
        <v>262</v>
      </c>
      <c r="K340" s="4" t="s">
        <v>365</v>
      </c>
      <c r="L340" s="4" t="s">
        <v>2289</v>
      </c>
      <c r="M340" s="191" t="s">
        <v>2290</v>
      </c>
      <c r="N340" s="255">
        <v>148800</v>
      </c>
      <c r="O340" s="265">
        <v>100</v>
      </c>
      <c r="P340" s="270">
        <v>1</v>
      </c>
      <c r="Q340" s="255">
        <v>148800</v>
      </c>
      <c r="R340" s="283">
        <v>148800</v>
      </c>
      <c r="S340" s="283">
        <v>39102</v>
      </c>
      <c r="T340" s="287">
        <v>0</v>
      </c>
      <c r="U340" s="287">
        <v>1</v>
      </c>
      <c r="V340" s="287">
        <v>0</v>
      </c>
      <c r="W340" s="283">
        <v>14880</v>
      </c>
      <c r="X340" s="283">
        <v>0</v>
      </c>
      <c r="Y340" s="199" t="s">
        <v>1392</v>
      </c>
      <c r="Z340" s="517" t="s">
        <v>5449</v>
      </c>
      <c r="AA340" s="493" t="s">
        <v>1485</v>
      </c>
      <c r="AB340" s="507"/>
    </row>
    <row r="341" spans="2:28" x14ac:dyDescent="0.15">
      <c r="B341" s="330" t="s">
        <v>3177</v>
      </c>
      <c r="C341" s="528">
        <v>42948</v>
      </c>
      <c r="D341" s="198" t="s">
        <v>2293</v>
      </c>
      <c r="E341" s="53" t="s">
        <v>1396</v>
      </c>
      <c r="F341" s="198" t="s">
        <v>3799</v>
      </c>
      <c r="G341" s="3" t="s">
        <v>1110</v>
      </c>
      <c r="H341" s="53" t="s">
        <v>796</v>
      </c>
      <c r="I341" s="3" t="s">
        <v>1428</v>
      </c>
      <c r="J341" s="4" t="s">
        <v>268</v>
      </c>
      <c r="K341" s="4" t="s">
        <v>1158</v>
      </c>
      <c r="L341" s="4" t="s">
        <v>2084</v>
      </c>
      <c r="M341" s="43" t="s">
        <v>2294</v>
      </c>
      <c r="N341" s="255">
        <v>144000</v>
      </c>
      <c r="O341" s="265">
        <v>100</v>
      </c>
      <c r="P341" s="270">
        <v>1</v>
      </c>
      <c r="Q341" s="255">
        <v>144000</v>
      </c>
      <c r="R341" s="283">
        <v>144000</v>
      </c>
      <c r="S341" s="283">
        <v>35592</v>
      </c>
      <c r="T341" s="287">
        <v>0</v>
      </c>
      <c r="U341" s="287">
        <v>1</v>
      </c>
      <c r="V341" s="287">
        <v>0</v>
      </c>
      <c r="W341" s="283">
        <v>14400</v>
      </c>
      <c r="X341" s="283">
        <v>0</v>
      </c>
      <c r="Y341" s="199" t="s">
        <v>1392</v>
      </c>
      <c r="Z341" s="517" t="s">
        <v>5166</v>
      </c>
      <c r="AA341" s="493" t="s">
        <v>1485</v>
      </c>
      <c r="AB341" s="507"/>
    </row>
    <row r="342" spans="2:28" x14ac:dyDescent="0.15">
      <c r="B342" s="330" t="s">
        <v>3178</v>
      </c>
      <c r="C342" s="528">
        <v>42948</v>
      </c>
      <c r="D342" s="198" t="s">
        <v>2295</v>
      </c>
      <c r="E342" s="53" t="s">
        <v>1391</v>
      </c>
      <c r="F342" s="198" t="s">
        <v>3794</v>
      </c>
      <c r="G342" s="3" t="s">
        <v>364</v>
      </c>
      <c r="H342" s="53" t="s">
        <v>444</v>
      </c>
      <c r="I342" s="3" t="s">
        <v>1440</v>
      </c>
      <c r="J342" s="4" t="s">
        <v>268</v>
      </c>
      <c r="K342" s="4" t="s">
        <v>1158</v>
      </c>
      <c r="L342" s="4" t="s">
        <v>2296</v>
      </c>
      <c r="M342" s="43" t="s">
        <v>2297</v>
      </c>
      <c r="N342" s="255">
        <v>260000</v>
      </c>
      <c r="O342" s="265">
        <v>60</v>
      </c>
      <c r="P342" s="270">
        <v>1</v>
      </c>
      <c r="Q342" s="255">
        <v>156000</v>
      </c>
      <c r="R342" s="283">
        <v>156000</v>
      </c>
      <c r="S342" s="283">
        <v>47892</v>
      </c>
      <c r="T342" s="287">
        <v>0</v>
      </c>
      <c r="U342" s="287">
        <v>1</v>
      </c>
      <c r="V342" s="287">
        <v>0</v>
      </c>
      <c r="W342" s="283">
        <v>15600</v>
      </c>
      <c r="X342" s="283">
        <v>0</v>
      </c>
      <c r="Y342" s="199" t="s">
        <v>1392</v>
      </c>
      <c r="Z342" s="517" t="s">
        <v>5166</v>
      </c>
      <c r="AA342" s="493" t="s">
        <v>1485</v>
      </c>
      <c r="AB342" s="507"/>
    </row>
    <row r="343" spans="2:28" x14ac:dyDescent="0.15">
      <c r="B343" s="330" t="s">
        <v>3179</v>
      </c>
      <c r="C343" s="528">
        <v>42948</v>
      </c>
      <c r="D343" s="198" t="s">
        <v>2300</v>
      </c>
      <c r="E343" s="53" t="s">
        <v>1396</v>
      </c>
      <c r="F343" s="198" t="s">
        <v>3800</v>
      </c>
      <c r="G343" s="3" t="s">
        <v>50</v>
      </c>
      <c r="H343" s="53" t="s">
        <v>381</v>
      </c>
      <c r="I343" s="3" t="s">
        <v>1408</v>
      </c>
      <c r="J343" s="4" t="s">
        <v>271</v>
      </c>
      <c r="K343" s="4" t="s">
        <v>1160</v>
      </c>
      <c r="L343" s="4" t="s">
        <v>2301</v>
      </c>
      <c r="M343" s="43" t="s">
        <v>2302</v>
      </c>
      <c r="N343" s="255">
        <v>257000</v>
      </c>
      <c r="O343" s="265">
        <v>100</v>
      </c>
      <c r="P343" s="270">
        <v>1</v>
      </c>
      <c r="Q343" s="255">
        <v>257000</v>
      </c>
      <c r="R343" s="283">
        <v>257000</v>
      </c>
      <c r="S343" s="283">
        <v>91732</v>
      </c>
      <c r="T343" s="287">
        <v>0</v>
      </c>
      <c r="U343" s="287">
        <v>1</v>
      </c>
      <c r="V343" s="287">
        <v>0</v>
      </c>
      <c r="W343" s="283">
        <v>29653</v>
      </c>
      <c r="X343" s="283">
        <v>0</v>
      </c>
      <c r="Y343" s="199" t="s">
        <v>1392</v>
      </c>
      <c r="Z343" s="517" t="s">
        <v>5532</v>
      </c>
      <c r="AA343" s="493" t="s">
        <v>1485</v>
      </c>
      <c r="AB343" s="507"/>
    </row>
    <row r="344" spans="2:28" x14ac:dyDescent="0.15">
      <c r="B344" s="330" t="s">
        <v>3180</v>
      </c>
      <c r="C344" s="528">
        <v>42951</v>
      </c>
      <c r="D344" s="198" t="s">
        <v>2311</v>
      </c>
      <c r="E344" s="53" t="s">
        <v>1391</v>
      </c>
      <c r="F344" s="198" t="s">
        <v>3798</v>
      </c>
      <c r="G344" s="3" t="s">
        <v>370</v>
      </c>
      <c r="H344" s="53" t="s">
        <v>1134</v>
      </c>
      <c r="I344" s="3" t="s">
        <v>1393</v>
      </c>
      <c r="J344" s="4" t="s">
        <v>271</v>
      </c>
      <c r="K344" s="4" t="s">
        <v>1160</v>
      </c>
      <c r="L344" s="4" t="s">
        <v>2312</v>
      </c>
      <c r="M344" s="43" t="s">
        <v>2313</v>
      </c>
      <c r="N344" s="255">
        <v>376000</v>
      </c>
      <c r="O344" s="265">
        <v>65</v>
      </c>
      <c r="P344" s="270">
        <v>1</v>
      </c>
      <c r="Q344" s="255">
        <v>244400</v>
      </c>
      <c r="R344" s="283">
        <v>244400</v>
      </c>
      <c r="S344" s="283">
        <v>81586</v>
      </c>
      <c r="T344" s="287">
        <v>0</v>
      </c>
      <c r="U344" s="287">
        <v>1</v>
      </c>
      <c r="V344" s="287">
        <v>0</v>
      </c>
      <c r="W344" s="283">
        <v>28200</v>
      </c>
      <c r="X344" s="283">
        <v>0</v>
      </c>
      <c r="Y344" s="199" t="s">
        <v>1392</v>
      </c>
      <c r="Z344" s="517" t="s">
        <v>5535</v>
      </c>
      <c r="AA344" s="493" t="s">
        <v>1485</v>
      </c>
      <c r="AB344" s="507"/>
    </row>
    <row r="345" spans="2:28" x14ac:dyDescent="0.15">
      <c r="B345" s="330" t="s">
        <v>3181</v>
      </c>
      <c r="C345" s="528">
        <v>42957</v>
      </c>
      <c r="D345" s="198" t="s">
        <v>2320</v>
      </c>
      <c r="E345" s="53" t="s">
        <v>1391</v>
      </c>
      <c r="F345" s="198" t="s">
        <v>3794</v>
      </c>
      <c r="G345" s="3" t="s">
        <v>364</v>
      </c>
      <c r="H345" s="53" t="s">
        <v>444</v>
      </c>
      <c r="I345" s="3" t="s">
        <v>1440</v>
      </c>
      <c r="J345" s="4" t="s">
        <v>262</v>
      </c>
      <c r="K345" s="4" t="s">
        <v>365</v>
      </c>
      <c r="L345" s="4" t="s">
        <v>1818</v>
      </c>
      <c r="M345" s="43" t="s">
        <v>2321</v>
      </c>
      <c r="N345" s="255">
        <v>290000</v>
      </c>
      <c r="O345" s="265">
        <v>60</v>
      </c>
      <c r="P345" s="270">
        <v>1</v>
      </c>
      <c r="Q345" s="255">
        <v>174000</v>
      </c>
      <c r="R345" s="283">
        <v>174000</v>
      </c>
      <c r="S345" s="283">
        <v>48082</v>
      </c>
      <c r="T345" s="287">
        <v>0</v>
      </c>
      <c r="U345" s="287">
        <v>1</v>
      </c>
      <c r="V345" s="287">
        <v>0</v>
      </c>
      <c r="W345" s="283">
        <v>17400</v>
      </c>
      <c r="X345" s="283">
        <v>0</v>
      </c>
      <c r="Y345" s="199" t="s">
        <v>1392</v>
      </c>
      <c r="Z345" s="517" t="s">
        <v>5542</v>
      </c>
      <c r="AA345" s="493" t="s">
        <v>1485</v>
      </c>
      <c r="AB345" s="507"/>
    </row>
    <row r="346" spans="2:28" x14ac:dyDescent="0.15">
      <c r="B346" s="330" t="s">
        <v>3182</v>
      </c>
      <c r="C346" s="528">
        <v>42957</v>
      </c>
      <c r="D346" s="198" t="s">
        <v>2322</v>
      </c>
      <c r="E346" s="53" t="s">
        <v>1391</v>
      </c>
      <c r="F346" s="198" t="s">
        <v>3794</v>
      </c>
      <c r="G346" s="3" t="s">
        <v>364</v>
      </c>
      <c r="H346" s="53" t="s">
        <v>444</v>
      </c>
      <c r="I346" s="3" t="s">
        <v>1440</v>
      </c>
      <c r="J346" s="4" t="s">
        <v>268</v>
      </c>
      <c r="K346" s="4" t="s">
        <v>1158</v>
      </c>
      <c r="L346" s="4" t="s">
        <v>1949</v>
      </c>
      <c r="M346" s="43" t="s">
        <v>2323</v>
      </c>
      <c r="N346" s="255">
        <v>285000</v>
      </c>
      <c r="O346" s="265">
        <v>60</v>
      </c>
      <c r="P346" s="270">
        <v>1</v>
      </c>
      <c r="Q346" s="255">
        <v>171000</v>
      </c>
      <c r="R346" s="283">
        <v>171000</v>
      </c>
      <c r="S346" s="283">
        <v>59892</v>
      </c>
      <c r="T346" s="287">
        <v>0</v>
      </c>
      <c r="U346" s="287">
        <v>1</v>
      </c>
      <c r="V346" s="287">
        <v>0</v>
      </c>
      <c r="W346" s="283">
        <v>17100</v>
      </c>
      <c r="X346" s="283">
        <v>0</v>
      </c>
      <c r="Y346" s="199" t="s">
        <v>1392</v>
      </c>
      <c r="Z346" s="517" t="s">
        <v>5166</v>
      </c>
      <c r="AA346" s="493" t="s">
        <v>1485</v>
      </c>
      <c r="AB346" s="507"/>
    </row>
    <row r="347" spans="2:28" x14ac:dyDescent="0.15">
      <c r="B347" s="330" t="s">
        <v>3183</v>
      </c>
      <c r="C347" s="528">
        <v>42957</v>
      </c>
      <c r="D347" s="198" t="s">
        <v>2324</v>
      </c>
      <c r="E347" s="53" t="s">
        <v>1391</v>
      </c>
      <c r="F347" s="198" t="s">
        <v>3803</v>
      </c>
      <c r="G347" s="3" t="s">
        <v>371</v>
      </c>
      <c r="H347" s="53" t="s">
        <v>2325</v>
      </c>
      <c r="I347" s="3" t="s">
        <v>2326</v>
      </c>
      <c r="J347" s="4" t="s">
        <v>271</v>
      </c>
      <c r="K347" s="4" t="s">
        <v>1160</v>
      </c>
      <c r="L347" s="4" t="s">
        <v>1503</v>
      </c>
      <c r="M347" s="43" t="s">
        <v>2321</v>
      </c>
      <c r="N347" s="255">
        <v>234000</v>
      </c>
      <c r="O347" s="265">
        <v>100</v>
      </c>
      <c r="P347" s="270">
        <v>1</v>
      </c>
      <c r="Q347" s="255">
        <v>234000</v>
      </c>
      <c r="R347" s="283">
        <v>234000</v>
      </c>
      <c r="S347" s="283">
        <v>56536</v>
      </c>
      <c r="T347" s="287">
        <v>0</v>
      </c>
      <c r="U347" s="287">
        <v>1</v>
      </c>
      <c r="V347" s="287">
        <v>0</v>
      </c>
      <c r="W347" s="283">
        <v>27000</v>
      </c>
      <c r="X347" s="283">
        <v>0</v>
      </c>
      <c r="Y347" s="199" t="s">
        <v>1392</v>
      </c>
      <c r="Z347" s="517" t="s">
        <v>5542</v>
      </c>
      <c r="AA347" s="493" t="s">
        <v>1485</v>
      </c>
      <c r="AB347" s="507"/>
    </row>
    <row r="348" spans="2:28" x14ac:dyDescent="0.15">
      <c r="B348" s="330" t="s">
        <v>3184</v>
      </c>
      <c r="C348" s="528">
        <v>42957</v>
      </c>
      <c r="D348" s="198" t="s">
        <v>2328</v>
      </c>
      <c r="E348" s="53" t="s">
        <v>1391</v>
      </c>
      <c r="F348" s="198" t="s">
        <v>3797</v>
      </c>
      <c r="G348" s="3" t="s">
        <v>362</v>
      </c>
      <c r="H348" s="53" t="s">
        <v>689</v>
      </c>
      <c r="I348" s="3" t="s">
        <v>1394</v>
      </c>
      <c r="J348" s="4" t="s">
        <v>272</v>
      </c>
      <c r="K348" s="4" t="s">
        <v>363</v>
      </c>
      <c r="L348" s="4" t="s">
        <v>2043</v>
      </c>
      <c r="M348" s="43" t="s">
        <v>2329</v>
      </c>
      <c r="N348" s="255">
        <v>186000</v>
      </c>
      <c r="O348" s="265">
        <v>100</v>
      </c>
      <c r="P348" s="270">
        <v>1</v>
      </c>
      <c r="Q348" s="255">
        <v>186000</v>
      </c>
      <c r="R348" s="283">
        <v>186000</v>
      </c>
      <c r="S348" s="283">
        <v>30257</v>
      </c>
      <c r="T348" s="287">
        <v>1</v>
      </c>
      <c r="U348" s="287">
        <v>0</v>
      </c>
      <c r="V348" s="287">
        <v>0</v>
      </c>
      <c r="W348" s="283">
        <v>0</v>
      </c>
      <c r="X348" s="283">
        <v>0</v>
      </c>
      <c r="Y348" s="199" t="s">
        <v>1395</v>
      </c>
      <c r="Z348" s="517" t="s">
        <v>5543</v>
      </c>
      <c r="AA348" s="493" t="s">
        <v>1485</v>
      </c>
      <c r="AB348" s="507"/>
    </row>
    <row r="349" spans="2:28" x14ac:dyDescent="0.15">
      <c r="B349" s="330" t="s">
        <v>3185</v>
      </c>
      <c r="C349" s="528">
        <v>42957</v>
      </c>
      <c r="D349" s="198" t="s">
        <v>2331</v>
      </c>
      <c r="E349" s="53" t="s">
        <v>1396</v>
      </c>
      <c r="F349" s="198" t="s">
        <v>3795</v>
      </c>
      <c r="G349" s="3" t="s">
        <v>1321</v>
      </c>
      <c r="H349" s="53"/>
      <c r="I349" s="3"/>
      <c r="J349" s="4" t="s">
        <v>299</v>
      </c>
      <c r="K349" s="4" t="s">
        <v>373</v>
      </c>
      <c r="L349" s="4" t="s">
        <v>2332</v>
      </c>
      <c r="M349" s="43"/>
      <c r="N349" s="255">
        <v>800</v>
      </c>
      <c r="O349" s="265">
        <v>100</v>
      </c>
      <c r="P349" s="270">
        <v>-1</v>
      </c>
      <c r="Q349" s="255">
        <v>800</v>
      </c>
      <c r="R349" s="283">
        <v>-800</v>
      </c>
      <c r="S349" s="283">
        <v>-800</v>
      </c>
      <c r="T349" s="287">
        <v>0</v>
      </c>
      <c r="U349" s="287">
        <v>0</v>
      </c>
      <c r="V349" s="287">
        <v>0</v>
      </c>
      <c r="W349" s="283">
        <v>800</v>
      </c>
      <c r="X349" s="283">
        <v>0</v>
      </c>
      <c r="Y349" s="199" t="s">
        <v>1392</v>
      </c>
      <c r="Z349" s="517" t="s">
        <v>5449</v>
      </c>
      <c r="AA349" s="493"/>
      <c r="AB349" s="507"/>
    </row>
    <row r="350" spans="2:28" x14ac:dyDescent="0.15">
      <c r="B350" s="330" t="s">
        <v>3186</v>
      </c>
      <c r="C350" s="528">
        <v>42965</v>
      </c>
      <c r="D350" s="198" t="s">
        <v>2342</v>
      </c>
      <c r="E350" s="53" t="s">
        <v>1391</v>
      </c>
      <c r="F350" s="198" t="s">
        <v>3817</v>
      </c>
      <c r="G350" s="3" t="s">
        <v>2315</v>
      </c>
      <c r="H350" s="53" t="s">
        <v>2338</v>
      </c>
      <c r="I350" s="3" t="s">
        <v>2340</v>
      </c>
      <c r="J350" s="4" t="s">
        <v>270</v>
      </c>
      <c r="K350" s="4" t="s">
        <v>539</v>
      </c>
      <c r="L350" s="4" t="s">
        <v>2343</v>
      </c>
      <c r="M350" s="43" t="s">
        <v>2344</v>
      </c>
      <c r="N350" s="255">
        <v>338000</v>
      </c>
      <c r="O350" s="265">
        <v>65</v>
      </c>
      <c r="P350" s="270">
        <v>1</v>
      </c>
      <c r="Q350" s="255">
        <v>219700</v>
      </c>
      <c r="R350" s="283">
        <v>219700</v>
      </c>
      <c r="S350" s="283">
        <v>64549</v>
      </c>
      <c r="T350" s="287">
        <v>0</v>
      </c>
      <c r="U350" s="287">
        <v>1</v>
      </c>
      <c r="V350" s="287">
        <v>0</v>
      </c>
      <c r="W350" s="283">
        <v>25350</v>
      </c>
      <c r="X350" s="283">
        <v>0</v>
      </c>
      <c r="Y350" s="199" t="s">
        <v>1392</v>
      </c>
      <c r="Z350" s="517" t="s">
        <v>5449</v>
      </c>
      <c r="AA350" s="493" t="s">
        <v>1485</v>
      </c>
      <c r="AB350" s="507"/>
    </row>
    <row r="351" spans="2:28" x14ac:dyDescent="0.15">
      <c r="B351" s="330" t="s">
        <v>3187</v>
      </c>
      <c r="C351" s="527">
        <v>42965</v>
      </c>
      <c r="D351" s="191" t="s">
        <v>2346</v>
      </c>
      <c r="E351" s="43" t="s">
        <v>1396</v>
      </c>
      <c r="F351" s="191" t="s">
        <v>3799</v>
      </c>
      <c r="G351" s="4" t="s">
        <v>1110</v>
      </c>
      <c r="H351" s="43" t="s">
        <v>803</v>
      </c>
      <c r="I351" s="4" t="s">
        <v>1542</v>
      </c>
      <c r="J351" s="4" t="s">
        <v>262</v>
      </c>
      <c r="K351" s="4" t="s">
        <v>365</v>
      </c>
      <c r="L351" s="4" t="s">
        <v>1728</v>
      </c>
      <c r="M351" s="43" t="s">
        <v>2347</v>
      </c>
      <c r="N351" s="255">
        <v>298000</v>
      </c>
      <c r="O351" s="265">
        <v>60</v>
      </c>
      <c r="P351" s="270">
        <v>1</v>
      </c>
      <c r="Q351" s="255">
        <v>178800</v>
      </c>
      <c r="R351" s="283">
        <v>178800</v>
      </c>
      <c r="S351" s="283">
        <v>64222</v>
      </c>
      <c r="T351" s="287">
        <v>1</v>
      </c>
      <c r="U351" s="287">
        <v>0</v>
      </c>
      <c r="V351" s="287">
        <v>0</v>
      </c>
      <c r="W351" s="283">
        <v>0</v>
      </c>
      <c r="X351" s="283">
        <v>0</v>
      </c>
      <c r="Y351" s="199" t="s">
        <v>1395</v>
      </c>
      <c r="Z351" s="517" t="s">
        <v>5449</v>
      </c>
      <c r="AA351" s="493" t="s">
        <v>1485</v>
      </c>
      <c r="AB351" s="507"/>
    </row>
    <row r="352" spans="2:28" x14ac:dyDescent="0.15">
      <c r="B352" s="330" t="s">
        <v>3188</v>
      </c>
      <c r="C352" s="527">
        <v>42965</v>
      </c>
      <c r="D352" s="191" t="s">
        <v>2352</v>
      </c>
      <c r="E352" s="43" t="s">
        <v>1391</v>
      </c>
      <c r="F352" s="191" t="s">
        <v>3794</v>
      </c>
      <c r="G352" s="4" t="s">
        <v>364</v>
      </c>
      <c r="H352" s="43" t="s">
        <v>458</v>
      </c>
      <c r="I352" s="4" t="s">
        <v>1546</v>
      </c>
      <c r="J352" s="4" t="s">
        <v>262</v>
      </c>
      <c r="K352" s="4" t="s">
        <v>365</v>
      </c>
      <c r="L352" s="4" t="s">
        <v>2353</v>
      </c>
      <c r="M352" s="43" t="s">
        <v>2354</v>
      </c>
      <c r="N352" s="255">
        <v>325000</v>
      </c>
      <c r="O352" s="265">
        <v>65</v>
      </c>
      <c r="P352" s="270">
        <v>1</v>
      </c>
      <c r="Q352" s="255">
        <v>211250</v>
      </c>
      <c r="R352" s="283">
        <v>211250</v>
      </c>
      <c r="S352" s="283">
        <v>96532</v>
      </c>
      <c r="T352" s="287">
        <v>1</v>
      </c>
      <c r="U352" s="287">
        <v>0</v>
      </c>
      <c r="V352" s="287">
        <v>0</v>
      </c>
      <c r="W352" s="283">
        <v>0</v>
      </c>
      <c r="X352" s="283">
        <v>0</v>
      </c>
      <c r="Y352" s="199" t="s">
        <v>1395</v>
      </c>
      <c r="Z352" s="517" t="s">
        <v>5542</v>
      </c>
      <c r="AA352" s="493" t="s">
        <v>1485</v>
      </c>
      <c r="AB352" s="507"/>
    </row>
    <row r="353" spans="2:28" x14ac:dyDescent="0.15">
      <c r="B353" s="330" t="s">
        <v>3189</v>
      </c>
      <c r="C353" s="527">
        <v>42967</v>
      </c>
      <c r="D353" s="191" t="s">
        <v>2337</v>
      </c>
      <c r="E353" s="43" t="s">
        <v>1391</v>
      </c>
      <c r="F353" s="191" t="s">
        <v>3794</v>
      </c>
      <c r="G353" s="4" t="s">
        <v>364</v>
      </c>
      <c r="H353" s="43" t="s">
        <v>432</v>
      </c>
      <c r="I353" s="4" t="s">
        <v>375</v>
      </c>
      <c r="J353" s="4" t="s">
        <v>297</v>
      </c>
      <c r="K353" s="4" t="s">
        <v>369</v>
      </c>
      <c r="L353" s="4" t="s">
        <v>1509</v>
      </c>
      <c r="M353" s="43"/>
      <c r="N353" s="255">
        <v>200</v>
      </c>
      <c r="O353" s="265">
        <v>50</v>
      </c>
      <c r="P353" s="270">
        <v>100</v>
      </c>
      <c r="Q353" s="255">
        <v>100</v>
      </c>
      <c r="R353" s="283">
        <v>10000</v>
      </c>
      <c r="S353" s="283">
        <v>5700</v>
      </c>
      <c r="T353" s="287">
        <v>0</v>
      </c>
      <c r="U353" s="287">
        <v>0</v>
      </c>
      <c r="V353" s="287">
        <v>0</v>
      </c>
      <c r="W353" s="283">
        <v>1500</v>
      </c>
      <c r="X353" s="283">
        <v>0</v>
      </c>
      <c r="Y353" s="199" t="s">
        <v>1392</v>
      </c>
      <c r="Z353" s="517" t="s">
        <v>5166</v>
      </c>
      <c r="AA353" s="493" t="s">
        <v>1485</v>
      </c>
      <c r="AB353" s="507"/>
    </row>
    <row r="354" spans="2:28" x14ac:dyDescent="0.15">
      <c r="B354" s="330" t="s">
        <v>3190</v>
      </c>
      <c r="C354" s="527">
        <v>42967</v>
      </c>
      <c r="D354" s="191" t="s">
        <v>2342</v>
      </c>
      <c r="E354" s="43" t="s">
        <v>1391</v>
      </c>
      <c r="F354" s="191" t="s">
        <v>3794</v>
      </c>
      <c r="G354" s="4" t="s">
        <v>364</v>
      </c>
      <c r="H354" s="43" t="s">
        <v>433</v>
      </c>
      <c r="I354" s="4" t="s">
        <v>1508</v>
      </c>
      <c r="J354" s="4" t="s">
        <v>299</v>
      </c>
      <c r="K354" s="4" t="s">
        <v>373</v>
      </c>
      <c r="L354" s="4" t="s">
        <v>2355</v>
      </c>
      <c r="M354" s="43"/>
      <c r="N354" s="255">
        <v>10000</v>
      </c>
      <c r="O354" s="265">
        <v>100</v>
      </c>
      <c r="P354" s="270">
        <v>1</v>
      </c>
      <c r="Q354" s="255">
        <v>10000</v>
      </c>
      <c r="R354" s="283">
        <v>10000</v>
      </c>
      <c r="S354" s="283">
        <v>2694</v>
      </c>
      <c r="T354" s="287">
        <v>0</v>
      </c>
      <c r="U354" s="287">
        <v>0</v>
      </c>
      <c r="V354" s="287">
        <v>0</v>
      </c>
      <c r="W354" s="283">
        <v>7306</v>
      </c>
      <c r="X354" s="283">
        <v>0</v>
      </c>
      <c r="Y354" s="199" t="s">
        <v>1392</v>
      </c>
      <c r="Z354" s="517" t="s">
        <v>5166</v>
      </c>
      <c r="AA354" s="493" t="s">
        <v>1485</v>
      </c>
      <c r="AB354" s="507"/>
    </row>
    <row r="355" spans="2:28" x14ac:dyDescent="0.15">
      <c r="B355" s="330" t="s">
        <v>3191</v>
      </c>
      <c r="C355" s="527">
        <v>42967</v>
      </c>
      <c r="D355" s="191" t="s">
        <v>2342</v>
      </c>
      <c r="E355" s="43" t="s">
        <v>1391</v>
      </c>
      <c r="F355" s="191" t="s">
        <v>3794</v>
      </c>
      <c r="G355" s="4" t="s">
        <v>364</v>
      </c>
      <c r="H355" s="43" t="s">
        <v>433</v>
      </c>
      <c r="I355" s="4" t="s">
        <v>1508</v>
      </c>
      <c r="J355" s="4" t="s">
        <v>298</v>
      </c>
      <c r="K355" s="4" t="s">
        <v>1168</v>
      </c>
      <c r="L355" s="4" t="s">
        <v>2356</v>
      </c>
      <c r="M355" s="43"/>
      <c r="N355" s="255">
        <v>2500</v>
      </c>
      <c r="O355" s="265">
        <v>100</v>
      </c>
      <c r="P355" s="270">
        <v>1</v>
      </c>
      <c r="Q355" s="255">
        <v>2500</v>
      </c>
      <c r="R355" s="283">
        <v>2500</v>
      </c>
      <c r="S355" s="283">
        <v>0</v>
      </c>
      <c r="T355" s="287">
        <v>0</v>
      </c>
      <c r="U355" s="287">
        <v>0</v>
      </c>
      <c r="V355" s="287">
        <v>0</v>
      </c>
      <c r="W355" s="283">
        <v>288</v>
      </c>
      <c r="X355" s="283">
        <v>0</v>
      </c>
      <c r="Y355" s="199" t="s">
        <v>1392</v>
      </c>
      <c r="Z355" s="517" t="s">
        <v>5532</v>
      </c>
      <c r="AA355" s="493" t="s">
        <v>1485</v>
      </c>
      <c r="AB355" s="507"/>
    </row>
    <row r="356" spans="2:28" x14ac:dyDescent="0.15">
      <c r="B356" s="330" t="s">
        <v>3192</v>
      </c>
      <c r="C356" s="527">
        <v>42967</v>
      </c>
      <c r="D356" s="191" t="s">
        <v>2346</v>
      </c>
      <c r="E356" s="43" t="s">
        <v>1391</v>
      </c>
      <c r="F356" s="191" t="s">
        <v>3798</v>
      </c>
      <c r="G356" s="4" t="s">
        <v>370</v>
      </c>
      <c r="H356" s="43" t="s">
        <v>1134</v>
      </c>
      <c r="I356" s="4" t="s">
        <v>1393</v>
      </c>
      <c r="J356" s="4" t="s">
        <v>299</v>
      </c>
      <c r="K356" s="4" t="s">
        <v>373</v>
      </c>
      <c r="L356" s="4" t="s">
        <v>2357</v>
      </c>
      <c r="M356" s="43"/>
      <c r="N356" s="255">
        <v>10000</v>
      </c>
      <c r="O356" s="265">
        <v>100</v>
      </c>
      <c r="P356" s="270">
        <v>1</v>
      </c>
      <c r="Q356" s="255">
        <v>10000</v>
      </c>
      <c r="R356" s="283">
        <v>10000</v>
      </c>
      <c r="S356" s="283">
        <v>2694</v>
      </c>
      <c r="T356" s="287">
        <v>0</v>
      </c>
      <c r="U356" s="287">
        <v>0</v>
      </c>
      <c r="V356" s="287">
        <v>0</v>
      </c>
      <c r="W356" s="283">
        <v>7306</v>
      </c>
      <c r="X356" s="283">
        <v>0</v>
      </c>
      <c r="Y356" s="199" t="s">
        <v>1392</v>
      </c>
      <c r="Z356" s="517" t="s">
        <v>5167</v>
      </c>
      <c r="AA356" s="493" t="s">
        <v>1485</v>
      </c>
      <c r="AB356" s="507"/>
    </row>
    <row r="357" spans="2:28" x14ac:dyDescent="0.15">
      <c r="B357" s="330" t="s">
        <v>3193</v>
      </c>
      <c r="C357" s="527">
        <v>42967</v>
      </c>
      <c r="D357" s="191" t="s">
        <v>2346</v>
      </c>
      <c r="E357" s="43" t="s">
        <v>1391</v>
      </c>
      <c r="F357" s="191" t="s">
        <v>3798</v>
      </c>
      <c r="G357" s="4" t="s">
        <v>370</v>
      </c>
      <c r="H357" s="43" t="s">
        <v>1134</v>
      </c>
      <c r="I357" s="4" t="s">
        <v>1393</v>
      </c>
      <c r="J357" s="4" t="s">
        <v>298</v>
      </c>
      <c r="K357" s="4" t="s">
        <v>1168</v>
      </c>
      <c r="L357" s="190" t="s">
        <v>2358</v>
      </c>
      <c r="M357" s="43"/>
      <c r="N357" s="255">
        <v>44000</v>
      </c>
      <c r="O357" s="265">
        <v>65</v>
      </c>
      <c r="P357" s="270">
        <v>1</v>
      </c>
      <c r="Q357" s="255">
        <v>28600</v>
      </c>
      <c r="R357" s="283">
        <v>28600</v>
      </c>
      <c r="S357" s="283">
        <v>9900</v>
      </c>
      <c r="T357" s="287">
        <v>0</v>
      </c>
      <c r="U357" s="287">
        <v>0</v>
      </c>
      <c r="V357" s="287">
        <v>0</v>
      </c>
      <c r="W357" s="283">
        <v>3300</v>
      </c>
      <c r="X357" s="283">
        <v>0</v>
      </c>
      <c r="Y357" s="199" t="s">
        <v>1392</v>
      </c>
      <c r="Z357" s="517" t="s">
        <v>5167</v>
      </c>
      <c r="AA357" s="493" t="s">
        <v>1485</v>
      </c>
      <c r="AB357" s="507"/>
    </row>
    <row r="358" spans="2:28" x14ac:dyDescent="0.15">
      <c r="B358" s="330" t="s">
        <v>3194</v>
      </c>
      <c r="C358" s="527">
        <v>42967</v>
      </c>
      <c r="D358" s="191" t="s">
        <v>2346</v>
      </c>
      <c r="E358" s="43" t="s">
        <v>1391</v>
      </c>
      <c r="F358" s="191" t="s">
        <v>3798</v>
      </c>
      <c r="G358" s="4" t="s">
        <v>370</v>
      </c>
      <c r="H358" s="43" t="s">
        <v>1134</v>
      </c>
      <c r="I358" s="4" t="s">
        <v>1393</v>
      </c>
      <c r="J358" s="4" t="s">
        <v>297</v>
      </c>
      <c r="K358" s="4" t="s">
        <v>369</v>
      </c>
      <c r="L358" s="4" t="s">
        <v>2359</v>
      </c>
      <c r="M358" s="43"/>
      <c r="N358" s="255">
        <v>500</v>
      </c>
      <c r="O358" s="265">
        <v>65</v>
      </c>
      <c r="P358" s="270">
        <v>1</v>
      </c>
      <c r="Q358" s="255">
        <v>325</v>
      </c>
      <c r="R358" s="283">
        <v>325</v>
      </c>
      <c r="S358" s="283">
        <v>138</v>
      </c>
      <c r="T358" s="287">
        <v>0</v>
      </c>
      <c r="U358" s="287">
        <v>0</v>
      </c>
      <c r="V358" s="287">
        <v>0</v>
      </c>
      <c r="W358" s="283">
        <v>37</v>
      </c>
      <c r="X358" s="283">
        <v>0</v>
      </c>
      <c r="Y358" s="199" t="s">
        <v>1392</v>
      </c>
      <c r="Z358" s="517" t="s">
        <v>5167</v>
      </c>
      <c r="AA358" s="493" t="s">
        <v>1485</v>
      </c>
      <c r="AB358" s="507"/>
    </row>
    <row r="359" spans="2:28" x14ac:dyDescent="0.15">
      <c r="B359" s="330" t="s">
        <v>3195</v>
      </c>
      <c r="C359" s="527">
        <v>42967</v>
      </c>
      <c r="D359" s="191" t="s">
        <v>2405</v>
      </c>
      <c r="E359" s="43" t="s">
        <v>1396</v>
      </c>
      <c r="F359" s="191" t="s">
        <v>3795</v>
      </c>
      <c r="G359" s="4" t="s">
        <v>1321</v>
      </c>
      <c r="H359" s="43"/>
      <c r="I359" s="4"/>
      <c r="J359" s="4"/>
      <c r="K359" s="4"/>
      <c r="L359" s="4" t="s">
        <v>2406</v>
      </c>
      <c r="M359" s="43"/>
      <c r="N359" s="255">
        <v>52275</v>
      </c>
      <c r="O359" s="265">
        <v>100</v>
      </c>
      <c r="P359" s="270">
        <v>-1</v>
      </c>
      <c r="Q359" s="255">
        <v>52275</v>
      </c>
      <c r="R359" s="283">
        <v>-52275</v>
      </c>
      <c r="S359" s="283">
        <v>-52275</v>
      </c>
      <c r="T359" s="287">
        <v>0</v>
      </c>
      <c r="U359" s="287">
        <v>0</v>
      </c>
      <c r="V359" s="287">
        <v>0</v>
      </c>
      <c r="W359" s="283">
        <v>52275</v>
      </c>
      <c r="X359" s="283">
        <v>0</v>
      </c>
      <c r="Y359" s="199" t="s">
        <v>1392</v>
      </c>
      <c r="Z359" s="517" t="s">
        <v>5449</v>
      </c>
      <c r="AA359" s="493"/>
      <c r="AB359" s="507"/>
    </row>
    <row r="360" spans="2:28" x14ac:dyDescent="0.15">
      <c r="B360" s="330" t="s">
        <v>3196</v>
      </c>
      <c r="C360" s="528">
        <v>42968</v>
      </c>
      <c r="D360" s="198" t="s">
        <v>2327</v>
      </c>
      <c r="E360" s="53" t="s">
        <v>1396</v>
      </c>
      <c r="F360" s="198" t="s">
        <v>3800</v>
      </c>
      <c r="G360" s="3" t="s">
        <v>50</v>
      </c>
      <c r="H360" s="53" t="s">
        <v>1434</v>
      </c>
      <c r="I360" s="3" t="s">
        <v>1435</v>
      </c>
      <c r="J360" s="4" t="s">
        <v>294</v>
      </c>
      <c r="K360" s="4" t="s">
        <v>1165</v>
      </c>
      <c r="L360" s="4" t="s">
        <v>1165</v>
      </c>
      <c r="M360" s="43"/>
      <c r="N360" s="255">
        <v>42000</v>
      </c>
      <c r="O360" s="265">
        <v>60</v>
      </c>
      <c r="P360" s="270">
        <v>1</v>
      </c>
      <c r="Q360" s="255">
        <v>25200</v>
      </c>
      <c r="R360" s="283">
        <v>25200</v>
      </c>
      <c r="S360" s="283">
        <v>6028</v>
      </c>
      <c r="T360" s="287">
        <v>0</v>
      </c>
      <c r="U360" s="287">
        <v>0</v>
      </c>
      <c r="V360" s="287">
        <v>0</v>
      </c>
      <c r="W360" s="283">
        <v>2520</v>
      </c>
      <c r="X360" s="283">
        <v>0</v>
      </c>
      <c r="Y360" s="199" t="s">
        <v>1392</v>
      </c>
      <c r="Z360" s="517" t="s">
        <v>5535</v>
      </c>
      <c r="AA360" s="493" t="s">
        <v>1485</v>
      </c>
      <c r="AB360" s="507"/>
    </row>
    <row r="361" spans="2:28" x14ac:dyDescent="0.15">
      <c r="B361" s="330" t="s">
        <v>3197</v>
      </c>
      <c r="C361" s="528">
        <v>42968</v>
      </c>
      <c r="D361" s="198" t="s">
        <v>2333</v>
      </c>
      <c r="E361" s="53" t="s">
        <v>1396</v>
      </c>
      <c r="F361" s="198" t="s">
        <v>3800</v>
      </c>
      <c r="G361" s="3" t="s">
        <v>50</v>
      </c>
      <c r="H361" s="53" t="s">
        <v>381</v>
      </c>
      <c r="I361" s="3" t="s">
        <v>1408</v>
      </c>
      <c r="J361" s="4" t="s">
        <v>298</v>
      </c>
      <c r="K361" s="4" t="s">
        <v>1168</v>
      </c>
      <c r="L361" s="4" t="s">
        <v>1412</v>
      </c>
      <c r="M361" s="43"/>
      <c r="N361" s="255">
        <v>2400</v>
      </c>
      <c r="O361" s="265">
        <v>60</v>
      </c>
      <c r="P361" s="270">
        <v>1</v>
      </c>
      <c r="Q361" s="255">
        <v>1440</v>
      </c>
      <c r="R361" s="283">
        <v>1440</v>
      </c>
      <c r="S361" s="283">
        <v>496</v>
      </c>
      <c r="T361" s="287">
        <v>0</v>
      </c>
      <c r="U361" s="287">
        <v>0</v>
      </c>
      <c r="V361" s="287">
        <v>0</v>
      </c>
      <c r="W361" s="283">
        <v>144</v>
      </c>
      <c r="X361" s="283">
        <v>0</v>
      </c>
      <c r="Y361" s="199" t="s">
        <v>1392</v>
      </c>
      <c r="Z361" s="517" t="s">
        <v>5166</v>
      </c>
      <c r="AA361" s="493" t="s">
        <v>1485</v>
      </c>
      <c r="AB361" s="507"/>
    </row>
    <row r="362" spans="2:28" x14ac:dyDescent="0.15">
      <c r="B362" s="330" t="s">
        <v>3198</v>
      </c>
      <c r="C362" s="528">
        <v>42968</v>
      </c>
      <c r="D362" s="198" t="s">
        <v>2337</v>
      </c>
      <c r="E362" s="53" t="s">
        <v>1396</v>
      </c>
      <c r="F362" s="198" t="s">
        <v>3800</v>
      </c>
      <c r="G362" s="3" t="s">
        <v>50</v>
      </c>
      <c r="H362" s="53" t="s">
        <v>380</v>
      </c>
      <c r="I362" s="3" t="s">
        <v>1976</v>
      </c>
      <c r="J362" s="4" t="s">
        <v>268</v>
      </c>
      <c r="K362" s="4" t="s">
        <v>1158</v>
      </c>
      <c r="L362" s="4" t="s">
        <v>2084</v>
      </c>
      <c r="M362" s="191" t="s">
        <v>2345</v>
      </c>
      <c r="N362" s="255">
        <v>144000</v>
      </c>
      <c r="O362" s="265">
        <v>100</v>
      </c>
      <c r="P362" s="270">
        <v>1</v>
      </c>
      <c r="Q362" s="255">
        <v>144000</v>
      </c>
      <c r="R362" s="283">
        <v>144000</v>
      </c>
      <c r="S362" s="283">
        <v>35592</v>
      </c>
      <c r="T362" s="287">
        <v>0</v>
      </c>
      <c r="U362" s="287">
        <v>1</v>
      </c>
      <c r="V362" s="287">
        <v>0</v>
      </c>
      <c r="W362" s="283">
        <v>14400</v>
      </c>
      <c r="X362" s="283">
        <v>0</v>
      </c>
      <c r="Y362" s="199" t="s">
        <v>1392</v>
      </c>
      <c r="Z362" s="517" t="s">
        <v>5166</v>
      </c>
      <c r="AA362" s="493" t="s">
        <v>1485</v>
      </c>
      <c r="AB362" s="507"/>
    </row>
    <row r="363" spans="2:28" x14ac:dyDescent="0.15">
      <c r="B363" s="330" t="s">
        <v>3199</v>
      </c>
      <c r="C363" s="528">
        <v>42968</v>
      </c>
      <c r="D363" s="198" t="s">
        <v>2348</v>
      </c>
      <c r="E363" s="53" t="s">
        <v>1396</v>
      </c>
      <c r="F363" s="198" t="s">
        <v>3800</v>
      </c>
      <c r="G363" s="3" t="s">
        <v>50</v>
      </c>
      <c r="H363" s="53" t="s">
        <v>381</v>
      </c>
      <c r="I363" s="3" t="s">
        <v>1408</v>
      </c>
      <c r="J363" s="4" t="s">
        <v>2350</v>
      </c>
      <c r="K363" s="4" t="s">
        <v>2351</v>
      </c>
      <c r="L363" s="4" t="s">
        <v>1503</v>
      </c>
      <c r="M363" s="43" t="s">
        <v>2349</v>
      </c>
      <c r="N363" s="255">
        <v>234000</v>
      </c>
      <c r="O363" s="265">
        <v>100</v>
      </c>
      <c r="P363" s="270">
        <v>1</v>
      </c>
      <c r="Q363" s="255">
        <v>234000</v>
      </c>
      <c r="R363" s="283">
        <v>234000</v>
      </c>
      <c r="S363" s="283">
        <v>56536</v>
      </c>
      <c r="T363" s="287">
        <v>0</v>
      </c>
      <c r="U363" s="287">
        <v>1</v>
      </c>
      <c r="V363" s="287">
        <v>0</v>
      </c>
      <c r="W363" s="283">
        <v>27000</v>
      </c>
      <c r="X363" s="283">
        <v>0</v>
      </c>
      <c r="Y363" s="199" t="s">
        <v>1392</v>
      </c>
      <c r="Z363" s="517" t="s">
        <v>5166</v>
      </c>
      <c r="AA363" s="493" t="s">
        <v>1485</v>
      </c>
      <c r="AB363" s="507"/>
    </row>
    <row r="364" spans="2:28" x14ac:dyDescent="0.15">
      <c r="B364" s="330" t="s">
        <v>3200</v>
      </c>
      <c r="C364" s="528">
        <v>42976</v>
      </c>
      <c r="D364" s="198" t="s">
        <v>2362</v>
      </c>
      <c r="E364" s="53" t="s">
        <v>1396</v>
      </c>
      <c r="F364" s="198" t="s">
        <v>3800</v>
      </c>
      <c r="G364" s="3" t="s">
        <v>50</v>
      </c>
      <c r="H364" s="53" t="s">
        <v>1434</v>
      </c>
      <c r="I364" s="3" t="s">
        <v>1435</v>
      </c>
      <c r="J364" s="4" t="s">
        <v>268</v>
      </c>
      <c r="K364" s="4" t="s">
        <v>1158</v>
      </c>
      <c r="L364" s="4" t="s">
        <v>2296</v>
      </c>
      <c r="M364" s="43" t="s">
        <v>2363</v>
      </c>
      <c r="N364" s="255">
        <v>138000</v>
      </c>
      <c r="O364" s="265">
        <v>100</v>
      </c>
      <c r="P364" s="270">
        <v>1</v>
      </c>
      <c r="Q364" s="255">
        <v>138000</v>
      </c>
      <c r="R364" s="283">
        <v>138000</v>
      </c>
      <c r="S364" s="283">
        <v>32962</v>
      </c>
      <c r="T364" s="287">
        <v>0</v>
      </c>
      <c r="U364" s="287">
        <v>1</v>
      </c>
      <c r="V364" s="287">
        <v>0</v>
      </c>
      <c r="W364" s="283">
        <v>13800</v>
      </c>
      <c r="X364" s="283">
        <v>0</v>
      </c>
      <c r="Y364" s="199" t="s">
        <v>1392</v>
      </c>
      <c r="Z364" s="517" t="s">
        <v>5535</v>
      </c>
      <c r="AA364" s="493" t="s">
        <v>1485</v>
      </c>
      <c r="AB364" s="507"/>
    </row>
    <row r="365" spans="2:28" x14ac:dyDescent="0.15">
      <c r="B365" s="330" t="s">
        <v>3201</v>
      </c>
      <c r="C365" s="528">
        <v>42976</v>
      </c>
      <c r="D365" s="198" t="s">
        <v>2369</v>
      </c>
      <c r="E365" s="53" t="s">
        <v>1396</v>
      </c>
      <c r="F365" s="198" t="s">
        <v>3799</v>
      </c>
      <c r="G365" s="3" t="s">
        <v>1110</v>
      </c>
      <c r="H365" s="53" t="s">
        <v>801</v>
      </c>
      <c r="I365" s="3" t="s">
        <v>1920</v>
      </c>
      <c r="J365" s="4" t="s">
        <v>268</v>
      </c>
      <c r="K365" s="4" t="s">
        <v>1158</v>
      </c>
      <c r="L365" s="4" t="s">
        <v>2370</v>
      </c>
      <c r="M365" s="43" t="s">
        <v>2371</v>
      </c>
      <c r="N365" s="255">
        <v>270000</v>
      </c>
      <c r="O365" s="265">
        <v>60</v>
      </c>
      <c r="P365" s="270">
        <v>1</v>
      </c>
      <c r="Q365" s="255">
        <v>162000</v>
      </c>
      <c r="R365" s="283">
        <v>162000</v>
      </c>
      <c r="S365" s="283">
        <v>48392</v>
      </c>
      <c r="T365" s="287">
        <v>0</v>
      </c>
      <c r="U365" s="287">
        <v>1</v>
      </c>
      <c r="V365" s="287">
        <v>0</v>
      </c>
      <c r="W365" s="283">
        <v>16200</v>
      </c>
      <c r="X365" s="283">
        <v>0</v>
      </c>
      <c r="Y365" s="199" t="s">
        <v>1392</v>
      </c>
      <c r="Z365" s="517" t="s">
        <v>5449</v>
      </c>
      <c r="AA365" s="493" t="s">
        <v>1485</v>
      </c>
      <c r="AB365" s="507"/>
    </row>
    <row r="366" spans="2:28" x14ac:dyDescent="0.15">
      <c r="B366" s="330" t="s">
        <v>3202</v>
      </c>
      <c r="C366" s="528">
        <v>42976</v>
      </c>
      <c r="D366" s="198" t="s">
        <v>2372</v>
      </c>
      <c r="E366" s="53" t="s">
        <v>1396</v>
      </c>
      <c r="F366" s="198" t="s">
        <v>3800</v>
      </c>
      <c r="G366" s="3" t="s">
        <v>50</v>
      </c>
      <c r="H366" s="53" t="s">
        <v>379</v>
      </c>
      <c r="I366" s="3" t="s">
        <v>1407</v>
      </c>
      <c r="J366" s="4" t="s">
        <v>264</v>
      </c>
      <c r="K366" s="4" t="s">
        <v>538</v>
      </c>
      <c r="L366" s="4" t="s">
        <v>2373</v>
      </c>
      <c r="M366" s="43" t="s">
        <v>2374</v>
      </c>
      <c r="N366" s="255">
        <v>120000</v>
      </c>
      <c r="O366" s="265">
        <v>100</v>
      </c>
      <c r="P366" s="270">
        <v>1</v>
      </c>
      <c r="Q366" s="255">
        <v>120000</v>
      </c>
      <c r="R366" s="283">
        <v>120000</v>
      </c>
      <c r="S366" s="283">
        <v>0</v>
      </c>
      <c r="T366" s="287">
        <v>0</v>
      </c>
      <c r="U366" s="287">
        <v>1</v>
      </c>
      <c r="V366" s="287">
        <v>0</v>
      </c>
      <c r="W366" s="283">
        <v>0</v>
      </c>
      <c r="X366" s="283">
        <v>0</v>
      </c>
      <c r="Y366" s="199" t="s">
        <v>1392</v>
      </c>
      <c r="Z366" s="517" t="s">
        <v>5166</v>
      </c>
      <c r="AA366" s="493" t="s">
        <v>1485</v>
      </c>
      <c r="AB366" s="507"/>
    </row>
    <row r="367" spans="2:28" x14ac:dyDescent="0.15">
      <c r="B367" s="330" t="s">
        <v>3203</v>
      </c>
      <c r="C367" s="528">
        <v>42976</v>
      </c>
      <c r="D367" s="198" t="s">
        <v>2387</v>
      </c>
      <c r="E367" s="53" t="s">
        <v>1396</v>
      </c>
      <c r="F367" s="198" t="s">
        <v>3800</v>
      </c>
      <c r="G367" s="3" t="s">
        <v>50</v>
      </c>
      <c r="H367" s="53" t="s">
        <v>379</v>
      </c>
      <c r="I367" s="3" t="s">
        <v>1407</v>
      </c>
      <c r="J367" s="4" t="s">
        <v>273</v>
      </c>
      <c r="K367" s="4" t="s">
        <v>1161</v>
      </c>
      <c r="L367" s="4" t="s">
        <v>2125</v>
      </c>
      <c r="M367" s="43" t="s">
        <v>2388</v>
      </c>
      <c r="N367" s="255">
        <v>138000</v>
      </c>
      <c r="O367" s="265">
        <v>100</v>
      </c>
      <c r="P367" s="270">
        <v>1</v>
      </c>
      <c r="Q367" s="255">
        <v>138000</v>
      </c>
      <c r="R367" s="283">
        <v>138000</v>
      </c>
      <c r="S367" s="283">
        <v>34185</v>
      </c>
      <c r="T367" s="287">
        <v>0</v>
      </c>
      <c r="U367" s="287">
        <v>1</v>
      </c>
      <c r="V367" s="287">
        <v>0</v>
      </c>
      <c r="W367" s="283">
        <v>13800</v>
      </c>
      <c r="X367" s="283">
        <v>0</v>
      </c>
      <c r="Y367" s="199" t="s">
        <v>1392</v>
      </c>
      <c r="Z367" s="517" t="s">
        <v>5166</v>
      </c>
      <c r="AA367" s="493" t="s">
        <v>1485</v>
      </c>
      <c r="AB367" s="507"/>
    </row>
    <row r="368" spans="2:28" x14ac:dyDescent="0.15">
      <c r="B368" s="330" t="s">
        <v>3204</v>
      </c>
      <c r="C368" s="528">
        <v>42976</v>
      </c>
      <c r="D368" s="198" t="s">
        <v>2389</v>
      </c>
      <c r="E368" s="53" t="s">
        <v>1396</v>
      </c>
      <c r="F368" s="198" t="s">
        <v>3800</v>
      </c>
      <c r="G368" s="3" t="s">
        <v>50</v>
      </c>
      <c r="H368" s="53" t="s">
        <v>379</v>
      </c>
      <c r="I368" s="3" t="s">
        <v>1407</v>
      </c>
      <c r="J368" s="4" t="s">
        <v>268</v>
      </c>
      <c r="K368" s="4" t="s">
        <v>1158</v>
      </c>
      <c r="L368" s="4" t="s">
        <v>1577</v>
      </c>
      <c r="M368" s="43" t="s">
        <v>2390</v>
      </c>
      <c r="N368" s="255">
        <v>138000</v>
      </c>
      <c r="O368" s="265">
        <v>100</v>
      </c>
      <c r="P368" s="270">
        <v>1</v>
      </c>
      <c r="Q368" s="255">
        <v>138000</v>
      </c>
      <c r="R368" s="283">
        <v>138000</v>
      </c>
      <c r="S368" s="283">
        <v>31192</v>
      </c>
      <c r="T368" s="287">
        <v>0</v>
      </c>
      <c r="U368" s="287">
        <v>1</v>
      </c>
      <c r="V368" s="287">
        <v>0</v>
      </c>
      <c r="W368" s="283">
        <v>13800</v>
      </c>
      <c r="X368" s="283">
        <v>0</v>
      </c>
      <c r="Y368" s="199" t="s">
        <v>1392</v>
      </c>
      <c r="Z368" s="517" t="s">
        <v>5166</v>
      </c>
      <c r="AA368" s="493" t="s">
        <v>1485</v>
      </c>
      <c r="AB368" s="507"/>
    </row>
    <row r="369" spans="2:28" x14ac:dyDescent="0.15">
      <c r="B369" s="330" t="s">
        <v>3205</v>
      </c>
      <c r="C369" s="528">
        <v>42976</v>
      </c>
      <c r="D369" s="198" t="s">
        <v>2391</v>
      </c>
      <c r="E369" s="53" t="s">
        <v>1396</v>
      </c>
      <c r="F369" s="198" t="s">
        <v>3800</v>
      </c>
      <c r="G369" s="3" t="s">
        <v>50</v>
      </c>
      <c r="H369" s="53" t="s">
        <v>379</v>
      </c>
      <c r="I369" s="3" t="s">
        <v>1407</v>
      </c>
      <c r="J369" s="4" t="s">
        <v>264</v>
      </c>
      <c r="K369" s="4" t="s">
        <v>538</v>
      </c>
      <c r="L369" s="4" t="s">
        <v>2392</v>
      </c>
      <c r="M369" s="43" t="s">
        <v>2393</v>
      </c>
      <c r="N369" s="255">
        <v>162000</v>
      </c>
      <c r="O369" s="265">
        <v>100</v>
      </c>
      <c r="P369" s="270">
        <v>1</v>
      </c>
      <c r="Q369" s="255">
        <v>162000</v>
      </c>
      <c r="R369" s="283">
        <v>162000</v>
      </c>
      <c r="S369" s="283">
        <v>37998</v>
      </c>
      <c r="T369" s="287">
        <v>0</v>
      </c>
      <c r="U369" s="287">
        <v>1</v>
      </c>
      <c r="V369" s="287">
        <v>0</v>
      </c>
      <c r="W369" s="283">
        <v>16200</v>
      </c>
      <c r="X369" s="283">
        <v>0</v>
      </c>
      <c r="Y369" s="199" t="s">
        <v>1392</v>
      </c>
      <c r="Z369" s="517" t="s">
        <v>5166</v>
      </c>
      <c r="AA369" s="493" t="s">
        <v>1485</v>
      </c>
      <c r="AB369" s="507"/>
    </row>
    <row r="370" spans="2:28" x14ac:dyDescent="0.15">
      <c r="B370" s="330" t="s">
        <v>3206</v>
      </c>
      <c r="C370" s="528">
        <v>42976</v>
      </c>
      <c r="D370" s="198" t="s">
        <v>2394</v>
      </c>
      <c r="E370" s="53" t="s">
        <v>1396</v>
      </c>
      <c r="F370" s="198" t="s">
        <v>3800</v>
      </c>
      <c r="G370" s="3" t="s">
        <v>50</v>
      </c>
      <c r="H370" s="53" t="s">
        <v>379</v>
      </c>
      <c r="I370" s="3" t="s">
        <v>1407</v>
      </c>
      <c r="J370" s="4" t="s">
        <v>270</v>
      </c>
      <c r="K370" s="4" t="s">
        <v>539</v>
      </c>
      <c r="L370" s="4" t="s">
        <v>2395</v>
      </c>
      <c r="M370" s="43" t="s">
        <v>2396</v>
      </c>
      <c r="N370" s="255">
        <v>160800</v>
      </c>
      <c r="O370" s="265">
        <v>100</v>
      </c>
      <c r="P370" s="270">
        <v>1</v>
      </c>
      <c r="Q370" s="255">
        <v>160800</v>
      </c>
      <c r="R370" s="283">
        <v>160800</v>
      </c>
      <c r="S370" s="283">
        <v>26919</v>
      </c>
      <c r="T370" s="287">
        <v>0</v>
      </c>
      <c r="U370" s="287">
        <v>1</v>
      </c>
      <c r="V370" s="287">
        <v>0</v>
      </c>
      <c r="W370" s="283">
        <v>16080</v>
      </c>
      <c r="X370" s="283">
        <v>0</v>
      </c>
      <c r="Y370" s="199" t="s">
        <v>1392</v>
      </c>
      <c r="Z370" s="517" t="s">
        <v>5532</v>
      </c>
      <c r="AA370" s="493" t="s">
        <v>1485</v>
      </c>
      <c r="AB370" s="507"/>
    </row>
    <row r="371" spans="2:28" x14ac:dyDescent="0.15">
      <c r="B371" s="330" t="s">
        <v>3207</v>
      </c>
      <c r="C371" s="528">
        <v>42979</v>
      </c>
      <c r="D371" s="198" t="s">
        <v>2303</v>
      </c>
      <c r="E371" s="53" t="s">
        <v>1396</v>
      </c>
      <c r="F371" s="198" t="s">
        <v>3799</v>
      </c>
      <c r="G371" s="3" t="s">
        <v>1110</v>
      </c>
      <c r="H371" s="53" t="s">
        <v>801</v>
      </c>
      <c r="I371" s="3" t="s">
        <v>1920</v>
      </c>
      <c r="J371" s="3" t="s">
        <v>270</v>
      </c>
      <c r="K371" s="4" t="s">
        <v>539</v>
      </c>
      <c r="L371" s="4" t="s">
        <v>2304</v>
      </c>
      <c r="M371" s="43" t="s">
        <v>2305</v>
      </c>
      <c r="N371" s="255">
        <v>166800</v>
      </c>
      <c r="O371" s="265">
        <v>100</v>
      </c>
      <c r="P371" s="270">
        <v>1</v>
      </c>
      <c r="Q371" s="255">
        <v>166800</v>
      </c>
      <c r="R371" s="283">
        <v>166800</v>
      </c>
      <c r="S371" s="283">
        <v>30819</v>
      </c>
      <c r="T371" s="287">
        <v>0</v>
      </c>
      <c r="U371" s="287">
        <v>1</v>
      </c>
      <c r="V371" s="287">
        <v>0</v>
      </c>
      <c r="W371" s="283">
        <v>16680</v>
      </c>
      <c r="X371" s="283">
        <v>0</v>
      </c>
      <c r="Y371" s="199" t="s">
        <v>1392</v>
      </c>
      <c r="Z371" s="517" t="s">
        <v>5449</v>
      </c>
      <c r="AA371" s="493" t="s">
        <v>1485</v>
      </c>
      <c r="AB371" s="507"/>
    </row>
    <row r="372" spans="2:28" x14ac:dyDescent="0.15">
      <c r="B372" s="330" t="s">
        <v>3208</v>
      </c>
      <c r="C372" s="528">
        <v>42979</v>
      </c>
      <c r="D372" s="198" t="s">
        <v>2306</v>
      </c>
      <c r="E372" s="53" t="s">
        <v>1396</v>
      </c>
      <c r="F372" s="198" t="s">
        <v>3799</v>
      </c>
      <c r="G372" s="3" t="s">
        <v>1110</v>
      </c>
      <c r="H372" s="53" t="s">
        <v>801</v>
      </c>
      <c r="I372" s="3" t="s">
        <v>1920</v>
      </c>
      <c r="J372" s="3" t="s">
        <v>271</v>
      </c>
      <c r="K372" s="4" t="s">
        <v>1160</v>
      </c>
      <c r="L372" s="190" t="s">
        <v>2314</v>
      </c>
      <c r="M372" s="43" t="s">
        <v>2307</v>
      </c>
      <c r="N372" s="255">
        <v>184800</v>
      </c>
      <c r="O372" s="265">
        <v>100</v>
      </c>
      <c r="P372" s="270">
        <v>1</v>
      </c>
      <c r="Q372" s="255">
        <v>184800</v>
      </c>
      <c r="R372" s="283">
        <v>184800</v>
      </c>
      <c r="S372" s="283">
        <v>37806</v>
      </c>
      <c r="T372" s="287">
        <v>0</v>
      </c>
      <c r="U372" s="287">
        <v>1</v>
      </c>
      <c r="V372" s="287">
        <v>0</v>
      </c>
      <c r="W372" s="283">
        <v>18480</v>
      </c>
      <c r="X372" s="283">
        <v>0</v>
      </c>
      <c r="Y372" s="199" t="s">
        <v>1392</v>
      </c>
      <c r="Z372" s="517" t="s">
        <v>5533</v>
      </c>
      <c r="AA372" s="493" t="s">
        <v>1485</v>
      </c>
      <c r="AB372" s="507"/>
    </row>
    <row r="373" spans="2:28" x14ac:dyDescent="0.15">
      <c r="B373" s="330" t="s">
        <v>3209</v>
      </c>
      <c r="C373" s="528">
        <v>42979</v>
      </c>
      <c r="D373" s="198" t="s">
        <v>2308</v>
      </c>
      <c r="E373" s="53" t="s">
        <v>1396</v>
      </c>
      <c r="F373" s="198" t="s">
        <v>3799</v>
      </c>
      <c r="G373" s="3" t="s">
        <v>1110</v>
      </c>
      <c r="H373" s="53" t="s">
        <v>801</v>
      </c>
      <c r="I373" s="3" t="s">
        <v>1920</v>
      </c>
      <c r="J373" s="3" t="s">
        <v>271</v>
      </c>
      <c r="K373" s="4" t="s">
        <v>1160</v>
      </c>
      <c r="L373" s="4" t="s">
        <v>2309</v>
      </c>
      <c r="M373" s="43" t="s">
        <v>2310</v>
      </c>
      <c r="N373" s="255">
        <v>184800</v>
      </c>
      <c r="O373" s="265">
        <v>100</v>
      </c>
      <c r="P373" s="270">
        <v>1</v>
      </c>
      <c r="Q373" s="255">
        <v>184800</v>
      </c>
      <c r="R373" s="283">
        <v>184800</v>
      </c>
      <c r="S373" s="283">
        <v>32406</v>
      </c>
      <c r="T373" s="287">
        <v>0</v>
      </c>
      <c r="U373" s="287">
        <v>1</v>
      </c>
      <c r="V373" s="287">
        <v>0</v>
      </c>
      <c r="W373" s="283">
        <v>18480</v>
      </c>
      <c r="X373" s="283">
        <v>0</v>
      </c>
      <c r="Y373" s="199" t="s">
        <v>1392</v>
      </c>
      <c r="Z373" s="517" t="s">
        <v>5449</v>
      </c>
      <c r="AA373" s="493" t="s">
        <v>1485</v>
      </c>
      <c r="AB373" s="507"/>
    </row>
    <row r="374" spans="2:28" x14ac:dyDescent="0.15">
      <c r="B374" s="330" t="s">
        <v>3210</v>
      </c>
      <c r="C374" s="528">
        <v>42979</v>
      </c>
      <c r="D374" s="198" t="s">
        <v>2334</v>
      </c>
      <c r="E374" s="53" t="s">
        <v>1396</v>
      </c>
      <c r="F374" s="198" t="s">
        <v>3799</v>
      </c>
      <c r="G374" s="3" t="s">
        <v>1110</v>
      </c>
      <c r="H374" s="53" t="s">
        <v>801</v>
      </c>
      <c r="I374" s="3" t="s">
        <v>1920</v>
      </c>
      <c r="J374" s="3" t="s">
        <v>271</v>
      </c>
      <c r="K374" s="4" t="s">
        <v>1160</v>
      </c>
      <c r="L374" s="4" t="s">
        <v>2335</v>
      </c>
      <c r="M374" s="191" t="s">
        <v>2336</v>
      </c>
      <c r="N374" s="255">
        <v>184800</v>
      </c>
      <c r="O374" s="265">
        <v>100</v>
      </c>
      <c r="P374" s="270">
        <v>1</v>
      </c>
      <c r="Q374" s="255">
        <v>184800</v>
      </c>
      <c r="R374" s="283">
        <v>184800</v>
      </c>
      <c r="S374" s="283">
        <v>35306</v>
      </c>
      <c r="T374" s="287">
        <v>0</v>
      </c>
      <c r="U374" s="287">
        <v>1</v>
      </c>
      <c r="V374" s="287">
        <v>0</v>
      </c>
      <c r="W374" s="283">
        <v>18480</v>
      </c>
      <c r="X374" s="283">
        <v>0</v>
      </c>
      <c r="Y374" s="199" t="s">
        <v>1392</v>
      </c>
      <c r="Z374" s="517" t="s">
        <v>5545</v>
      </c>
      <c r="AA374" s="493" t="s">
        <v>1485</v>
      </c>
      <c r="AB374" s="507"/>
    </row>
    <row r="375" spans="2:28" x14ac:dyDescent="0.15">
      <c r="B375" s="330" t="s">
        <v>3211</v>
      </c>
      <c r="C375" s="528">
        <v>42979</v>
      </c>
      <c r="D375" s="198" t="s">
        <v>2348</v>
      </c>
      <c r="E375" s="53" t="s">
        <v>1391</v>
      </c>
      <c r="F375" s="198" t="s">
        <v>3797</v>
      </c>
      <c r="G375" s="3" t="s">
        <v>362</v>
      </c>
      <c r="H375" s="53" t="s">
        <v>689</v>
      </c>
      <c r="I375" s="3" t="s">
        <v>1394</v>
      </c>
      <c r="J375" s="3" t="s">
        <v>272</v>
      </c>
      <c r="K375" s="4" t="s">
        <v>363</v>
      </c>
      <c r="L375" s="4" t="s">
        <v>1823</v>
      </c>
      <c r="M375" s="43" t="s">
        <v>2360</v>
      </c>
      <c r="N375" s="255">
        <v>154000</v>
      </c>
      <c r="O375" s="265">
        <v>100</v>
      </c>
      <c r="P375" s="270">
        <v>1</v>
      </c>
      <c r="Q375" s="255">
        <v>154000</v>
      </c>
      <c r="R375" s="283">
        <v>154000</v>
      </c>
      <c r="S375" s="283">
        <v>53310</v>
      </c>
      <c r="T375" s="287">
        <v>1</v>
      </c>
      <c r="U375" s="287">
        <v>0</v>
      </c>
      <c r="V375" s="287">
        <v>0</v>
      </c>
      <c r="W375" s="283">
        <v>0</v>
      </c>
      <c r="X375" s="283">
        <v>0</v>
      </c>
      <c r="Y375" s="199" t="s">
        <v>1395</v>
      </c>
      <c r="Z375" s="517" t="s">
        <v>5542</v>
      </c>
      <c r="AA375" s="493" t="s">
        <v>1485</v>
      </c>
      <c r="AB375" s="507"/>
    </row>
    <row r="376" spans="2:28" x14ac:dyDescent="0.15">
      <c r="B376" s="330" t="s">
        <v>3212</v>
      </c>
      <c r="C376" s="528">
        <v>42979</v>
      </c>
      <c r="D376" s="198" t="s">
        <v>2352</v>
      </c>
      <c r="E376" s="53" t="s">
        <v>1391</v>
      </c>
      <c r="F376" s="198" t="s">
        <v>3797</v>
      </c>
      <c r="G376" s="3" t="s">
        <v>362</v>
      </c>
      <c r="H376" s="53" t="s">
        <v>689</v>
      </c>
      <c r="I376" s="3" t="s">
        <v>1394</v>
      </c>
      <c r="J376" s="3" t="s">
        <v>268</v>
      </c>
      <c r="K376" s="4" t="s">
        <v>1158</v>
      </c>
      <c r="L376" s="4" t="s">
        <v>1836</v>
      </c>
      <c r="M376" s="43" t="s">
        <v>2361</v>
      </c>
      <c r="N376" s="255">
        <v>143000</v>
      </c>
      <c r="O376" s="265">
        <v>100</v>
      </c>
      <c r="P376" s="270">
        <v>1</v>
      </c>
      <c r="Q376" s="255">
        <v>143000</v>
      </c>
      <c r="R376" s="283">
        <v>143000</v>
      </c>
      <c r="S376" s="283">
        <v>53492</v>
      </c>
      <c r="T376" s="287">
        <v>1</v>
      </c>
      <c r="U376" s="287">
        <v>0</v>
      </c>
      <c r="V376" s="287">
        <v>0</v>
      </c>
      <c r="W376" s="283">
        <v>0</v>
      </c>
      <c r="X376" s="283">
        <v>0</v>
      </c>
      <c r="Y376" s="199" t="s">
        <v>1395</v>
      </c>
      <c r="Z376" s="517" t="s">
        <v>5166</v>
      </c>
      <c r="AA376" s="493" t="s">
        <v>1485</v>
      </c>
      <c r="AB376" s="507"/>
    </row>
    <row r="377" spans="2:28" x14ac:dyDescent="0.15">
      <c r="B377" s="330" t="s">
        <v>3213</v>
      </c>
      <c r="C377" s="528">
        <v>42979</v>
      </c>
      <c r="D377" s="198" t="s">
        <v>2364</v>
      </c>
      <c r="E377" s="53" t="s">
        <v>1396</v>
      </c>
      <c r="F377" s="198" t="s">
        <v>3799</v>
      </c>
      <c r="G377" s="3" t="s">
        <v>1110</v>
      </c>
      <c r="H377" s="53" t="s">
        <v>801</v>
      </c>
      <c r="I377" s="3" t="s">
        <v>1920</v>
      </c>
      <c r="J377" s="3" t="s">
        <v>262</v>
      </c>
      <c r="K377" s="4" t="s">
        <v>365</v>
      </c>
      <c r="L377" s="190" t="s">
        <v>2386</v>
      </c>
      <c r="M377" s="43" t="s">
        <v>2365</v>
      </c>
      <c r="N377" s="255">
        <v>156000</v>
      </c>
      <c r="O377" s="265">
        <v>100</v>
      </c>
      <c r="P377" s="270">
        <v>1</v>
      </c>
      <c r="Q377" s="255">
        <v>156000</v>
      </c>
      <c r="R377" s="283">
        <v>156000</v>
      </c>
      <c r="S377" s="283">
        <v>41707</v>
      </c>
      <c r="T377" s="287">
        <v>0</v>
      </c>
      <c r="U377" s="287">
        <v>1</v>
      </c>
      <c r="V377" s="287">
        <v>0</v>
      </c>
      <c r="W377" s="283">
        <v>15600</v>
      </c>
      <c r="X377" s="283">
        <v>0</v>
      </c>
      <c r="Y377" s="199" t="s">
        <v>1392</v>
      </c>
      <c r="Z377" s="517" t="s">
        <v>5449</v>
      </c>
      <c r="AA377" s="493" t="s">
        <v>1485</v>
      </c>
      <c r="AB377" s="507"/>
    </row>
    <row r="378" spans="2:28" x14ac:dyDescent="0.15">
      <c r="B378" s="330" t="s">
        <v>3214</v>
      </c>
      <c r="C378" s="528">
        <v>42979</v>
      </c>
      <c r="D378" s="198" t="s">
        <v>2366</v>
      </c>
      <c r="E378" s="53" t="s">
        <v>1396</v>
      </c>
      <c r="F378" s="198" t="s">
        <v>3799</v>
      </c>
      <c r="G378" s="3" t="s">
        <v>1110</v>
      </c>
      <c r="H378" s="53" t="s">
        <v>801</v>
      </c>
      <c r="I378" s="3" t="s">
        <v>1920</v>
      </c>
      <c r="J378" s="3" t="s">
        <v>268</v>
      </c>
      <c r="K378" s="4" t="s">
        <v>1158</v>
      </c>
      <c r="L378" s="190" t="s">
        <v>2367</v>
      </c>
      <c r="M378" s="43" t="s">
        <v>2368</v>
      </c>
      <c r="N378" s="255">
        <v>156000</v>
      </c>
      <c r="O378" s="265">
        <v>100</v>
      </c>
      <c r="P378" s="270">
        <v>1</v>
      </c>
      <c r="Q378" s="255">
        <v>156000</v>
      </c>
      <c r="R378" s="283">
        <v>156000</v>
      </c>
      <c r="S378" s="283">
        <v>47392</v>
      </c>
      <c r="T378" s="287">
        <v>0</v>
      </c>
      <c r="U378" s="287">
        <v>1</v>
      </c>
      <c r="V378" s="287">
        <v>0</v>
      </c>
      <c r="W378" s="283">
        <v>15600</v>
      </c>
      <c r="X378" s="283">
        <v>0</v>
      </c>
      <c r="Y378" s="199" t="s">
        <v>1392</v>
      </c>
      <c r="Z378" s="517" t="s">
        <v>5449</v>
      </c>
      <c r="AA378" s="493" t="s">
        <v>1485</v>
      </c>
      <c r="AB378" s="507"/>
    </row>
    <row r="379" spans="2:28" x14ac:dyDescent="0.15">
      <c r="B379" s="330" t="s">
        <v>3215</v>
      </c>
      <c r="C379" s="528">
        <v>42979</v>
      </c>
      <c r="D379" s="198" t="s">
        <v>2400</v>
      </c>
      <c r="E379" s="53" t="s">
        <v>1396</v>
      </c>
      <c r="F379" s="198" t="s">
        <v>3799</v>
      </c>
      <c r="G379" s="3" t="s">
        <v>1110</v>
      </c>
      <c r="H379" s="53" t="s">
        <v>803</v>
      </c>
      <c r="I379" s="3" t="s">
        <v>1542</v>
      </c>
      <c r="J379" s="3" t="s">
        <v>1402</v>
      </c>
      <c r="K379" s="4" t="s">
        <v>1403</v>
      </c>
      <c r="L379" s="4" t="s">
        <v>1902</v>
      </c>
      <c r="M379" s="43" t="s">
        <v>2401</v>
      </c>
      <c r="N379" s="255">
        <v>144000</v>
      </c>
      <c r="O379" s="265">
        <v>100</v>
      </c>
      <c r="P379" s="270">
        <v>1</v>
      </c>
      <c r="Q379" s="255">
        <v>144000</v>
      </c>
      <c r="R379" s="283">
        <v>144000</v>
      </c>
      <c r="S379" s="283">
        <v>44163</v>
      </c>
      <c r="T379" s="287">
        <v>1</v>
      </c>
      <c r="U379" s="287">
        <v>0</v>
      </c>
      <c r="V379" s="287">
        <v>0</v>
      </c>
      <c r="W379" s="283">
        <v>0</v>
      </c>
      <c r="X379" s="283">
        <v>0</v>
      </c>
      <c r="Y379" s="199" t="s">
        <v>1395</v>
      </c>
      <c r="Z379" s="517" t="s">
        <v>5449</v>
      </c>
      <c r="AA379" s="493" t="s">
        <v>1485</v>
      </c>
      <c r="AB379" s="507"/>
    </row>
    <row r="380" spans="2:28" x14ac:dyDescent="0.15">
      <c r="B380" s="330" t="s">
        <v>3216</v>
      </c>
      <c r="C380" s="528">
        <v>42979</v>
      </c>
      <c r="D380" s="198" t="s">
        <v>2400</v>
      </c>
      <c r="E380" s="53" t="s">
        <v>1396</v>
      </c>
      <c r="F380" s="198" t="s">
        <v>3799</v>
      </c>
      <c r="G380" s="3" t="s">
        <v>1110</v>
      </c>
      <c r="H380" s="53" t="s">
        <v>796</v>
      </c>
      <c r="I380" s="3" t="s">
        <v>1428</v>
      </c>
      <c r="J380" s="3" t="s">
        <v>263</v>
      </c>
      <c r="K380" s="4" t="s">
        <v>1154</v>
      </c>
      <c r="L380" s="4" t="s">
        <v>2402</v>
      </c>
      <c r="M380" s="43" t="s">
        <v>2403</v>
      </c>
      <c r="N380" s="255">
        <v>250000</v>
      </c>
      <c r="O380" s="265">
        <v>100</v>
      </c>
      <c r="P380" s="270">
        <v>1</v>
      </c>
      <c r="Q380" s="255">
        <v>250000</v>
      </c>
      <c r="R380" s="283">
        <v>250000</v>
      </c>
      <c r="S380" s="283">
        <v>58351</v>
      </c>
      <c r="T380" s="287">
        <v>0</v>
      </c>
      <c r="U380" s="287">
        <v>1</v>
      </c>
      <c r="V380" s="287">
        <v>0</v>
      </c>
      <c r="W380" s="283">
        <v>28846</v>
      </c>
      <c r="X380" s="283">
        <v>0</v>
      </c>
      <c r="Y380" s="199" t="s">
        <v>1392</v>
      </c>
      <c r="Z380" s="517" t="s">
        <v>5166</v>
      </c>
      <c r="AA380" s="493" t="s">
        <v>1485</v>
      </c>
      <c r="AB380" s="507"/>
    </row>
    <row r="381" spans="2:28" x14ac:dyDescent="0.15">
      <c r="B381" s="330" t="s">
        <v>3217</v>
      </c>
      <c r="C381" s="528">
        <v>42982</v>
      </c>
      <c r="D381" s="198" t="s">
        <v>2404</v>
      </c>
      <c r="E381" s="53" t="s">
        <v>1396</v>
      </c>
      <c r="F381" s="198" t="s">
        <v>3800</v>
      </c>
      <c r="G381" s="3" t="s">
        <v>50</v>
      </c>
      <c r="H381" s="53" t="s">
        <v>380</v>
      </c>
      <c r="I381" s="3" t="s">
        <v>1976</v>
      </c>
      <c r="J381" s="3" t="s">
        <v>272</v>
      </c>
      <c r="K381" s="4" t="s">
        <v>363</v>
      </c>
      <c r="L381" s="4" t="s">
        <v>2043</v>
      </c>
      <c r="M381" s="43" t="s">
        <v>2044</v>
      </c>
      <c r="N381" s="255">
        <v>280000</v>
      </c>
      <c r="O381" s="265">
        <v>60</v>
      </c>
      <c r="P381" s="270">
        <v>-1</v>
      </c>
      <c r="Q381" s="255">
        <v>168000</v>
      </c>
      <c r="R381" s="283">
        <v>-168000</v>
      </c>
      <c r="S381" s="283">
        <v>-28690</v>
      </c>
      <c r="T381" s="287">
        <v>0</v>
      </c>
      <c r="U381" s="287">
        <v>-1</v>
      </c>
      <c r="V381" s="287">
        <v>0</v>
      </c>
      <c r="W381" s="283">
        <v>-16800</v>
      </c>
      <c r="X381" s="283">
        <v>0</v>
      </c>
      <c r="Y381" s="199" t="s">
        <v>1392</v>
      </c>
      <c r="Z381" s="517" t="s">
        <v>5166</v>
      </c>
      <c r="AA381" s="493" t="s">
        <v>1485</v>
      </c>
      <c r="AB381" s="507"/>
    </row>
    <row r="382" spans="2:28" x14ac:dyDescent="0.15">
      <c r="B382" s="330" t="s">
        <v>3218</v>
      </c>
      <c r="C382" s="528">
        <v>42983</v>
      </c>
      <c r="D382" s="198" t="s">
        <v>2400</v>
      </c>
      <c r="E382" s="53" t="s">
        <v>1391</v>
      </c>
      <c r="F382" s="198" t="s">
        <v>3794</v>
      </c>
      <c r="G382" s="3" t="s">
        <v>364</v>
      </c>
      <c r="H382" s="53" t="s">
        <v>486</v>
      </c>
      <c r="I382" s="3" t="s">
        <v>1406</v>
      </c>
      <c r="J382" s="3" t="s">
        <v>262</v>
      </c>
      <c r="K382" s="4" t="s">
        <v>365</v>
      </c>
      <c r="L382" s="4" t="s">
        <v>1818</v>
      </c>
      <c r="M382" s="43" t="s">
        <v>2407</v>
      </c>
      <c r="N382" s="255">
        <v>290000</v>
      </c>
      <c r="O382" s="265">
        <v>60</v>
      </c>
      <c r="P382" s="270">
        <v>1</v>
      </c>
      <c r="Q382" s="255">
        <v>174000</v>
      </c>
      <c r="R382" s="283">
        <v>174000</v>
      </c>
      <c r="S382" s="283">
        <v>52907</v>
      </c>
      <c r="T382" s="287">
        <v>0</v>
      </c>
      <c r="U382" s="287">
        <v>1</v>
      </c>
      <c r="V382" s="287">
        <v>0</v>
      </c>
      <c r="W382" s="283">
        <v>17400</v>
      </c>
      <c r="X382" s="283">
        <v>0</v>
      </c>
      <c r="Y382" s="199" t="s">
        <v>1392</v>
      </c>
      <c r="Z382" s="517" t="s">
        <v>5167</v>
      </c>
      <c r="AA382" s="493" t="s">
        <v>1485</v>
      </c>
      <c r="AB382" s="507"/>
    </row>
    <row r="383" spans="2:28" x14ac:dyDescent="0.15">
      <c r="B383" s="330" t="s">
        <v>3219</v>
      </c>
      <c r="C383" s="528">
        <v>42983</v>
      </c>
      <c r="D383" s="198" t="s">
        <v>2404</v>
      </c>
      <c r="E383" s="53" t="s">
        <v>1391</v>
      </c>
      <c r="F383" s="198" t="s">
        <v>3794</v>
      </c>
      <c r="G383" s="3" t="s">
        <v>364</v>
      </c>
      <c r="H383" s="53" t="s">
        <v>2410</v>
      </c>
      <c r="I383" s="3" t="s">
        <v>2408</v>
      </c>
      <c r="J383" s="3" t="s">
        <v>273</v>
      </c>
      <c r="K383" s="4" t="s">
        <v>1161</v>
      </c>
      <c r="L383" s="4" t="s">
        <v>2142</v>
      </c>
      <c r="M383" s="43" t="s">
        <v>2411</v>
      </c>
      <c r="N383" s="255">
        <v>270000</v>
      </c>
      <c r="O383" s="265">
        <v>65</v>
      </c>
      <c r="P383" s="270">
        <v>1</v>
      </c>
      <c r="Q383" s="255">
        <v>175500</v>
      </c>
      <c r="R383" s="283">
        <v>175500</v>
      </c>
      <c r="S383" s="283">
        <v>65735</v>
      </c>
      <c r="T383" s="287">
        <v>0</v>
      </c>
      <c r="U383" s="287">
        <v>1</v>
      </c>
      <c r="V383" s="287">
        <v>0</v>
      </c>
      <c r="W383" s="283">
        <v>20250</v>
      </c>
      <c r="X383" s="283">
        <v>0</v>
      </c>
      <c r="Y383" s="199" t="s">
        <v>1392</v>
      </c>
      <c r="Z383" s="517" t="s">
        <v>5167</v>
      </c>
      <c r="AA383" s="493" t="s">
        <v>1485</v>
      </c>
      <c r="AB383" s="507"/>
    </row>
    <row r="384" spans="2:28" x14ac:dyDescent="0.15">
      <c r="B384" s="330" t="s">
        <v>3220</v>
      </c>
      <c r="C384" s="528">
        <v>42983</v>
      </c>
      <c r="D384" s="198" t="s">
        <v>2405</v>
      </c>
      <c r="E384" s="53" t="s">
        <v>1391</v>
      </c>
      <c r="F384" s="198" t="s">
        <v>3794</v>
      </c>
      <c r="G384" s="3" t="s">
        <v>364</v>
      </c>
      <c r="H384" s="53" t="s">
        <v>443</v>
      </c>
      <c r="I384" s="3" t="s">
        <v>2412</v>
      </c>
      <c r="J384" s="3" t="s">
        <v>297</v>
      </c>
      <c r="K384" s="4" t="s">
        <v>369</v>
      </c>
      <c r="L384" s="4" t="s">
        <v>1509</v>
      </c>
      <c r="M384" s="43"/>
      <c r="N384" s="255">
        <v>200</v>
      </c>
      <c r="O384" s="265">
        <v>50</v>
      </c>
      <c r="P384" s="270">
        <v>100</v>
      </c>
      <c r="Q384" s="255">
        <v>100</v>
      </c>
      <c r="R384" s="283">
        <v>10000</v>
      </c>
      <c r="S384" s="283">
        <v>5700</v>
      </c>
      <c r="T384" s="287">
        <v>0</v>
      </c>
      <c r="U384" s="287">
        <v>0</v>
      </c>
      <c r="V384" s="287">
        <v>0</v>
      </c>
      <c r="W384" s="283">
        <v>1500</v>
      </c>
      <c r="X384" s="283">
        <v>0</v>
      </c>
      <c r="Y384" s="199" t="s">
        <v>1392</v>
      </c>
      <c r="Z384" s="517" t="s">
        <v>5166</v>
      </c>
      <c r="AA384" s="493" t="s">
        <v>1485</v>
      </c>
      <c r="AB384" s="507"/>
    </row>
    <row r="385" spans="2:28" x14ac:dyDescent="0.15">
      <c r="B385" s="330" t="s">
        <v>3221</v>
      </c>
      <c r="C385" s="528">
        <v>42983</v>
      </c>
      <c r="D385" s="198" t="s">
        <v>2413</v>
      </c>
      <c r="E385" s="53" t="s">
        <v>1391</v>
      </c>
      <c r="F385" s="198" t="s">
        <v>3794</v>
      </c>
      <c r="G385" s="3" t="s">
        <v>364</v>
      </c>
      <c r="H385" s="53" t="s">
        <v>514</v>
      </c>
      <c r="I385" s="3" t="s">
        <v>2182</v>
      </c>
      <c r="J385" s="3" t="s">
        <v>262</v>
      </c>
      <c r="K385" s="4" t="s">
        <v>365</v>
      </c>
      <c r="L385" s="4" t="s">
        <v>1690</v>
      </c>
      <c r="M385" s="43" t="s">
        <v>2414</v>
      </c>
      <c r="N385" s="255">
        <v>260000</v>
      </c>
      <c r="O385" s="265">
        <v>65</v>
      </c>
      <c r="P385" s="270">
        <v>1</v>
      </c>
      <c r="Q385" s="255">
        <v>169000</v>
      </c>
      <c r="R385" s="283">
        <v>169000</v>
      </c>
      <c r="S385" s="283">
        <v>70417</v>
      </c>
      <c r="T385" s="287">
        <v>1</v>
      </c>
      <c r="U385" s="287">
        <v>0</v>
      </c>
      <c r="V385" s="287">
        <v>0</v>
      </c>
      <c r="W385" s="283">
        <v>0</v>
      </c>
      <c r="X385" s="283">
        <v>0</v>
      </c>
      <c r="Y385" s="199" t="s">
        <v>1395</v>
      </c>
      <c r="Z385" s="517" t="s">
        <v>5170</v>
      </c>
      <c r="AA385" s="493" t="s">
        <v>1485</v>
      </c>
      <c r="AB385" s="507"/>
    </row>
    <row r="386" spans="2:28" x14ac:dyDescent="0.15">
      <c r="B386" s="330" t="s">
        <v>3222</v>
      </c>
      <c r="C386" s="528">
        <v>42983</v>
      </c>
      <c r="D386" s="198" t="s">
        <v>2415</v>
      </c>
      <c r="E386" s="53" t="s">
        <v>1391</v>
      </c>
      <c r="F386" s="198" t="s">
        <v>3794</v>
      </c>
      <c r="G386" s="3" t="s">
        <v>364</v>
      </c>
      <c r="H386" s="53" t="s">
        <v>444</v>
      </c>
      <c r="I386" s="3" t="s">
        <v>1440</v>
      </c>
      <c r="J386" s="3" t="s">
        <v>1402</v>
      </c>
      <c r="K386" s="4" t="s">
        <v>1403</v>
      </c>
      <c r="L386" s="4" t="s">
        <v>2416</v>
      </c>
      <c r="M386" s="43" t="s">
        <v>2417</v>
      </c>
      <c r="N386" s="255">
        <v>260000</v>
      </c>
      <c r="O386" s="265">
        <v>60</v>
      </c>
      <c r="P386" s="270">
        <v>1</v>
      </c>
      <c r="Q386" s="255">
        <v>156000</v>
      </c>
      <c r="R386" s="283">
        <v>156000</v>
      </c>
      <c r="S386" s="283">
        <v>37507</v>
      </c>
      <c r="T386" s="287">
        <v>0</v>
      </c>
      <c r="U386" s="287">
        <v>1</v>
      </c>
      <c r="V386" s="287">
        <v>0</v>
      </c>
      <c r="W386" s="283">
        <v>15600</v>
      </c>
      <c r="X386" s="283">
        <v>0</v>
      </c>
      <c r="Y386" s="199" t="s">
        <v>1392</v>
      </c>
      <c r="Z386" s="517" t="s">
        <v>5543</v>
      </c>
      <c r="AA386" s="493" t="s">
        <v>1485</v>
      </c>
      <c r="AB386" s="507"/>
    </row>
    <row r="387" spans="2:28" x14ac:dyDescent="0.15">
      <c r="B387" s="330" t="s">
        <v>3223</v>
      </c>
      <c r="C387" s="528">
        <v>42984</v>
      </c>
      <c r="D387" s="198" t="s">
        <v>2418</v>
      </c>
      <c r="E387" s="53" t="s">
        <v>1396</v>
      </c>
      <c r="F387" s="198" t="s">
        <v>3799</v>
      </c>
      <c r="G387" s="3" t="s">
        <v>1110</v>
      </c>
      <c r="H387" s="53" t="s">
        <v>803</v>
      </c>
      <c r="I387" s="3" t="s">
        <v>1542</v>
      </c>
      <c r="J387" s="3" t="s">
        <v>262</v>
      </c>
      <c r="K387" s="4" t="s">
        <v>365</v>
      </c>
      <c r="L387" s="4" t="s">
        <v>1738</v>
      </c>
      <c r="M387" s="43" t="s">
        <v>2419</v>
      </c>
      <c r="N387" s="255">
        <v>142800</v>
      </c>
      <c r="O387" s="265">
        <v>100</v>
      </c>
      <c r="P387" s="270">
        <v>1</v>
      </c>
      <c r="Q387" s="255">
        <v>142800</v>
      </c>
      <c r="R387" s="283">
        <v>142800</v>
      </c>
      <c r="S387" s="283">
        <v>45207</v>
      </c>
      <c r="T387" s="287">
        <v>1</v>
      </c>
      <c r="U387" s="287">
        <v>0</v>
      </c>
      <c r="V387" s="287">
        <v>0</v>
      </c>
      <c r="W387" s="283">
        <v>0</v>
      </c>
      <c r="X387" s="283">
        <v>0</v>
      </c>
      <c r="Y387" s="199" t="s">
        <v>1395</v>
      </c>
      <c r="Z387" s="517" t="s">
        <v>5449</v>
      </c>
      <c r="AA387" s="493" t="s">
        <v>1485</v>
      </c>
      <c r="AB387" s="507"/>
    </row>
    <row r="388" spans="2:28" x14ac:dyDescent="0.15">
      <c r="B388" s="330" t="s">
        <v>3224</v>
      </c>
      <c r="C388" s="528">
        <v>42984</v>
      </c>
      <c r="D388" s="198" t="s">
        <v>2420</v>
      </c>
      <c r="E388" s="53" t="s">
        <v>1391</v>
      </c>
      <c r="F388" s="198" t="s">
        <v>3797</v>
      </c>
      <c r="G388" s="3" t="s">
        <v>362</v>
      </c>
      <c r="H388" s="53" t="s">
        <v>689</v>
      </c>
      <c r="I388" s="3" t="s">
        <v>1394</v>
      </c>
      <c r="J388" s="3" t="s">
        <v>272</v>
      </c>
      <c r="K388" s="4" t="s">
        <v>363</v>
      </c>
      <c r="L388" s="4" t="s">
        <v>1698</v>
      </c>
      <c r="M388" s="43" t="s">
        <v>2421</v>
      </c>
      <c r="N388" s="255">
        <v>154000</v>
      </c>
      <c r="O388" s="265">
        <v>100</v>
      </c>
      <c r="P388" s="270">
        <v>1</v>
      </c>
      <c r="Q388" s="255">
        <v>154000</v>
      </c>
      <c r="R388" s="283">
        <v>154000</v>
      </c>
      <c r="S388" s="283">
        <v>53492</v>
      </c>
      <c r="T388" s="287">
        <v>1</v>
      </c>
      <c r="U388" s="287">
        <v>0</v>
      </c>
      <c r="V388" s="287">
        <v>0</v>
      </c>
      <c r="W388" s="283">
        <v>0</v>
      </c>
      <c r="X388" s="283">
        <v>0</v>
      </c>
      <c r="Y388" s="199" t="s">
        <v>1395</v>
      </c>
      <c r="Z388" s="517" t="s">
        <v>5166</v>
      </c>
      <c r="AA388" s="493" t="s">
        <v>1485</v>
      </c>
      <c r="AB388" s="507"/>
    </row>
    <row r="389" spans="2:28" x14ac:dyDescent="0.15">
      <c r="B389" s="330" t="s">
        <v>3225</v>
      </c>
      <c r="C389" s="528">
        <v>42985</v>
      </c>
      <c r="D389" s="198" t="s">
        <v>2423</v>
      </c>
      <c r="E389" s="53" t="s">
        <v>1396</v>
      </c>
      <c r="F389" s="198" t="s">
        <v>3799</v>
      </c>
      <c r="G389" s="3" t="s">
        <v>1110</v>
      </c>
      <c r="H389" s="53" t="s">
        <v>796</v>
      </c>
      <c r="I389" s="3" t="s">
        <v>1428</v>
      </c>
      <c r="J389" s="3" t="s">
        <v>263</v>
      </c>
      <c r="K389" s="4" t="s">
        <v>1154</v>
      </c>
      <c r="L389" s="4" t="s">
        <v>2424</v>
      </c>
      <c r="M389" s="43" t="s">
        <v>2425</v>
      </c>
      <c r="N389" s="255">
        <v>250000</v>
      </c>
      <c r="O389" s="265">
        <v>100</v>
      </c>
      <c r="P389" s="270">
        <v>1</v>
      </c>
      <c r="Q389" s="255">
        <v>250000</v>
      </c>
      <c r="R389" s="283">
        <v>250000</v>
      </c>
      <c r="S389" s="283">
        <v>58351</v>
      </c>
      <c r="T389" s="287">
        <v>0</v>
      </c>
      <c r="U389" s="287">
        <v>1</v>
      </c>
      <c r="V389" s="287">
        <v>0</v>
      </c>
      <c r="W389" s="283">
        <v>28846</v>
      </c>
      <c r="X389" s="283">
        <v>0</v>
      </c>
      <c r="Y389" s="199" t="s">
        <v>1392</v>
      </c>
      <c r="Z389" s="517" t="s">
        <v>5542</v>
      </c>
      <c r="AA389" s="493" t="s">
        <v>1485</v>
      </c>
      <c r="AB389" s="507"/>
    </row>
    <row r="390" spans="2:28" x14ac:dyDescent="0.15">
      <c r="B390" s="330" t="s">
        <v>3226</v>
      </c>
      <c r="C390" s="528">
        <v>42986</v>
      </c>
      <c r="D390" s="198" t="s">
        <v>2397</v>
      </c>
      <c r="E390" s="53" t="s">
        <v>1391</v>
      </c>
      <c r="F390" s="198" t="s">
        <v>3797</v>
      </c>
      <c r="G390" s="3" t="s">
        <v>362</v>
      </c>
      <c r="H390" s="53" t="s">
        <v>689</v>
      </c>
      <c r="I390" s="3" t="s">
        <v>1394</v>
      </c>
      <c r="J390" s="3" t="s">
        <v>268</v>
      </c>
      <c r="K390" s="4" t="s">
        <v>1158</v>
      </c>
      <c r="L390" s="4" t="s">
        <v>2398</v>
      </c>
      <c r="M390" s="43" t="s">
        <v>2399</v>
      </c>
      <c r="N390" s="255">
        <v>143000</v>
      </c>
      <c r="O390" s="265">
        <v>100</v>
      </c>
      <c r="P390" s="270">
        <v>1</v>
      </c>
      <c r="Q390" s="255">
        <v>143000</v>
      </c>
      <c r="R390" s="283">
        <v>143000</v>
      </c>
      <c r="S390" s="283">
        <v>44367</v>
      </c>
      <c r="T390" s="287">
        <v>1</v>
      </c>
      <c r="U390" s="287">
        <v>0</v>
      </c>
      <c r="V390" s="287">
        <v>0</v>
      </c>
      <c r="W390" s="283">
        <v>0</v>
      </c>
      <c r="X390" s="283">
        <v>0</v>
      </c>
      <c r="Y390" s="199" t="s">
        <v>1395</v>
      </c>
      <c r="Z390" s="517" t="s">
        <v>5166</v>
      </c>
      <c r="AA390" s="493" t="s">
        <v>1485</v>
      </c>
      <c r="AB390" s="507"/>
    </row>
    <row r="391" spans="2:28" x14ac:dyDescent="0.15">
      <c r="B391" s="330" t="s">
        <v>3227</v>
      </c>
      <c r="C391" s="528">
        <v>42990</v>
      </c>
      <c r="D391" s="198" t="s">
        <v>2426</v>
      </c>
      <c r="E391" s="53" t="s">
        <v>1396</v>
      </c>
      <c r="F391" s="198" t="s">
        <v>3799</v>
      </c>
      <c r="G391" s="3" t="s">
        <v>1110</v>
      </c>
      <c r="H391" s="53" t="s">
        <v>796</v>
      </c>
      <c r="I391" s="3" t="s">
        <v>1428</v>
      </c>
      <c r="J391" s="3" t="s">
        <v>263</v>
      </c>
      <c r="K391" s="4" t="s">
        <v>1154</v>
      </c>
      <c r="L391" s="4" t="s">
        <v>2427</v>
      </c>
      <c r="M391" s="43" t="s">
        <v>2428</v>
      </c>
      <c r="N391" s="255">
        <v>250000</v>
      </c>
      <c r="O391" s="265">
        <v>100</v>
      </c>
      <c r="P391" s="270">
        <v>1</v>
      </c>
      <c r="Q391" s="255">
        <v>250000</v>
      </c>
      <c r="R391" s="283">
        <v>250000</v>
      </c>
      <c r="S391" s="283">
        <v>58351</v>
      </c>
      <c r="T391" s="287">
        <v>0</v>
      </c>
      <c r="U391" s="287">
        <v>1</v>
      </c>
      <c r="V391" s="287">
        <v>0</v>
      </c>
      <c r="W391" s="283">
        <v>28846</v>
      </c>
      <c r="X391" s="283">
        <v>0</v>
      </c>
      <c r="Y391" s="199" t="s">
        <v>1392</v>
      </c>
      <c r="Z391" s="517" t="s">
        <v>5166</v>
      </c>
      <c r="AA391" s="493" t="s">
        <v>1485</v>
      </c>
      <c r="AB391" s="507"/>
    </row>
    <row r="392" spans="2:28" x14ac:dyDescent="0.15">
      <c r="B392" s="330" t="s">
        <v>3228</v>
      </c>
      <c r="C392" s="528">
        <v>42990</v>
      </c>
      <c r="D392" s="198" t="s">
        <v>2431</v>
      </c>
      <c r="E392" s="53" t="s">
        <v>1396</v>
      </c>
      <c r="F392" s="198" t="s">
        <v>3793</v>
      </c>
      <c r="G392" s="3" t="s">
        <v>1111</v>
      </c>
      <c r="H392" s="53" t="s">
        <v>1425</v>
      </c>
      <c r="I392" s="3" t="s">
        <v>2432</v>
      </c>
      <c r="J392" s="3" t="s">
        <v>310</v>
      </c>
      <c r="K392" s="4" t="s">
        <v>1539</v>
      </c>
      <c r="L392" s="4" t="s">
        <v>2433</v>
      </c>
      <c r="M392" s="43" t="s">
        <v>2434</v>
      </c>
      <c r="N392" s="255">
        <v>430000</v>
      </c>
      <c r="O392" s="265">
        <v>60</v>
      </c>
      <c r="P392" s="270">
        <v>1</v>
      </c>
      <c r="Q392" s="255">
        <v>258000</v>
      </c>
      <c r="R392" s="283">
        <v>258000</v>
      </c>
      <c r="S392" s="283">
        <v>51120</v>
      </c>
      <c r="T392" s="287">
        <v>0</v>
      </c>
      <c r="U392" s="287">
        <v>1</v>
      </c>
      <c r="V392" s="287">
        <v>0</v>
      </c>
      <c r="W392" s="283">
        <v>25800</v>
      </c>
      <c r="X392" s="283">
        <v>0</v>
      </c>
      <c r="Y392" s="199" t="s">
        <v>1392</v>
      </c>
      <c r="Z392" s="517" t="s">
        <v>5166</v>
      </c>
      <c r="AA392" s="493" t="s">
        <v>1485</v>
      </c>
      <c r="AB392" s="507"/>
    </row>
    <row r="393" spans="2:28" x14ac:dyDescent="0.15">
      <c r="B393" s="330" t="s">
        <v>3229</v>
      </c>
      <c r="C393" s="528">
        <v>42991</v>
      </c>
      <c r="D393" s="198" t="s">
        <v>2429</v>
      </c>
      <c r="E393" s="53" t="s">
        <v>1391</v>
      </c>
      <c r="F393" s="198" t="s">
        <v>3794</v>
      </c>
      <c r="G393" s="3" t="s">
        <v>364</v>
      </c>
      <c r="H393" s="53" t="s">
        <v>444</v>
      </c>
      <c r="I393" s="3" t="s">
        <v>1440</v>
      </c>
      <c r="J393" s="3" t="s">
        <v>262</v>
      </c>
      <c r="K393" s="4" t="s">
        <v>365</v>
      </c>
      <c r="L393" s="4" t="s">
        <v>1728</v>
      </c>
      <c r="M393" s="43" t="s">
        <v>2430</v>
      </c>
      <c r="N393" s="255">
        <v>270000</v>
      </c>
      <c r="O393" s="265">
        <v>60</v>
      </c>
      <c r="P393" s="270">
        <v>1</v>
      </c>
      <c r="Q393" s="255">
        <v>162000</v>
      </c>
      <c r="R393" s="283">
        <v>162000</v>
      </c>
      <c r="S393" s="283">
        <v>47107</v>
      </c>
      <c r="T393" s="287">
        <v>0</v>
      </c>
      <c r="U393" s="287">
        <v>1</v>
      </c>
      <c r="V393" s="287">
        <v>0</v>
      </c>
      <c r="W393" s="283">
        <v>16200</v>
      </c>
      <c r="X393" s="283">
        <v>0</v>
      </c>
      <c r="Y393" s="199" t="s">
        <v>1392</v>
      </c>
      <c r="Z393" s="517" t="s">
        <v>5166</v>
      </c>
      <c r="AA393" s="493" t="s">
        <v>1485</v>
      </c>
      <c r="AB393" s="507"/>
    </row>
    <row r="394" spans="2:28" x14ac:dyDescent="0.15">
      <c r="B394" s="330" t="s">
        <v>3230</v>
      </c>
      <c r="C394" s="528">
        <v>42991</v>
      </c>
      <c r="D394" s="198" t="s">
        <v>2435</v>
      </c>
      <c r="E394" s="53" t="s">
        <v>1396</v>
      </c>
      <c r="F394" s="198" t="s">
        <v>3799</v>
      </c>
      <c r="G394" s="3" t="s">
        <v>1110</v>
      </c>
      <c r="H394" s="53" t="s">
        <v>802</v>
      </c>
      <c r="I394" s="3" t="s">
        <v>1417</v>
      </c>
      <c r="J394" s="3" t="s">
        <v>295</v>
      </c>
      <c r="K394" s="4" t="s">
        <v>1166</v>
      </c>
      <c r="L394" s="4" t="s">
        <v>2436</v>
      </c>
      <c r="M394" s="43"/>
      <c r="N394" s="255">
        <v>33000</v>
      </c>
      <c r="O394" s="265">
        <v>60</v>
      </c>
      <c r="P394" s="270">
        <v>2</v>
      </c>
      <c r="Q394" s="255">
        <v>19800</v>
      </c>
      <c r="R394" s="283">
        <v>39600</v>
      </c>
      <c r="S394" s="283">
        <v>9140</v>
      </c>
      <c r="T394" s="287">
        <v>0</v>
      </c>
      <c r="U394" s="287">
        <v>0</v>
      </c>
      <c r="V394" s="287">
        <v>0</v>
      </c>
      <c r="W394" s="283">
        <v>3960</v>
      </c>
      <c r="X394" s="283">
        <v>0</v>
      </c>
      <c r="Y394" s="199" t="s">
        <v>1392</v>
      </c>
      <c r="Z394" s="517" t="s">
        <v>5167</v>
      </c>
      <c r="AA394" s="493" t="s">
        <v>1485</v>
      </c>
      <c r="AB394" s="507"/>
    </row>
    <row r="395" spans="2:28" x14ac:dyDescent="0.15">
      <c r="B395" s="330" t="s">
        <v>3231</v>
      </c>
      <c r="C395" s="528">
        <v>42991</v>
      </c>
      <c r="D395" s="198" t="s">
        <v>2437</v>
      </c>
      <c r="E395" s="53" t="s">
        <v>1391</v>
      </c>
      <c r="F395" s="198" t="s">
        <v>3797</v>
      </c>
      <c r="G395" s="3" t="s">
        <v>362</v>
      </c>
      <c r="H395" s="53" t="s">
        <v>689</v>
      </c>
      <c r="I395" s="3" t="s">
        <v>1394</v>
      </c>
      <c r="J395" s="3" t="s">
        <v>310</v>
      </c>
      <c r="K395" s="4" t="s">
        <v>1539</v>
      </c>
      <c r="L395" s="4" t="s">
        <v>2438</v>
      </c>
      <c r="M395" s="43" t="s">
        <v>2439</v>
      </c>
      <c r="N395" s="255">
        <v>430000</v>
      </c>
      <c r="O395" s="265">
        <v>55</v>
      </c>
      <c r="P395" s="270">
        <v>1</v>
      </c>
      <c r="Q395" s="255">
        <v>236500</v>
      </c>
      <c r="R395" s="283">
        <v>236500</v>
      </c>
      <c r="S395" s="283">
        <v>68420</v>
      </c>
      <c r="T395" s="287">
        <v>1</v>
      </c>
      <c r="U395" s="287">
        <v>0</v>
      </c>
      <c r="V395" s="287">
        <v>0</v>
      </c>
      <c r="W395" s="283">
        <v>0</v>
      </c>
      <c r="X395" s="283">
        <v>0</v>
      </c>
      <c r="Y395" s="199" t="s">
        <v>1395</v>
      </c>
      <c r="Z395" s="517" t="s">
        <v>5166</v>
      </c>
      <c r="AA395" s="493" t="s">
        <v>1485</v>
      </c>
      <c r="AB395" s="507"/>
    </row>
    <row r="396" spans="2:28" x14ac:dyDescent="0.15">
      <c r="B396" s="330" t="s">
        <v>3232</v>
      </c>
      <c r="C396" s="527">
        <v>42998</v>
      </c>
      <c r="D396" s="191" t="s">
        <v>2447</v>
      </c>
      <c r="E396" s="43" t="s">
        <v>1391</v>
      </c>
      <c r="F396" s="191" t="s">
        <v>3798</v>
      </c>
      <c r="G396" s="4" t="s">
        <v>370</v>
      </c>
      <c r="H396" s="43" t="s">
        <v>1491</v>
      </c>
      <c r="I396" s="4" t="s">
        <v>1492</v>
      </c>
      <c r="J396" s="4" t="s">
        <v>311</v>
      </c>
      <c r="K396" s="4" t="s">
        <v>2445</v>
      </c>
      <c r="L396" s="4" t="s">
        <v>2448</v>
      </c>
      <c r="M396" s="43" t="s">
        <v>2449</v>
      </c>
      <c r="N396" s="255">
        <v>260000</v>
      </c>
      <c r="O396" s="265">
        <v>100</v>
      </c>
      <c r="P396" s="270">
        <v>1</v>
      </c>
      <c r="Q396" s="255">
        <v>260000</v>
      </c>
      <c r="R396" s="283">
        <v>260000</v>
      </c>
      <c r="S396" s="283">
        <v>53960</v>
      </c>
      <c r="T396" s="287">
        <v>0</v>
      </c>
      <c r="U396" s="287">
        <v>1</v>
      </c>
      <c r="V396" s="287">
        <v>0</v>
      </c>
      <c r="W396" s="283">
        <v>20160</v>
      </c>
      <c r="X396" s="283">
        <v>0</v>
      </c>
      <c r="Y396" s="199" t="s">
        <v>1392</v>
      </c>
      <c r="Z396" s="517" t="s">
        <v>5540</v>
      </c>
      <c r="AA396" s="493" t="s">
        <v>1485</v>
      </c>
      <c r="AB396" s="507"/>
    </row>
    <row r="397" spans="2:28" x14ac:dyDescent="0.15">
      <c r="B397" s="330" t="s">
        <v>3233</v>
      </c>
      <c r="C397" s="527">
        <v>42998</v>
      </c>
      <c r="D397" s="191" t="s">
        <v>2447</v>
      </c>
      <c r="E397" s="43" t="s">
        <v>1391</v>
      </c>
      <c r="F397" s="191" t="s">
        <v>3794</v>
      </c>
      <c r="G397" s="4" t="s">
        <v>364</v>
      </c>
      <c r="H397" s="43" t="s">
        <v>450</v>
      </c>
      <c r="I397" s="4" t="s">
        <v>2379</v>
      </c>
      <c r="J397" s="4" t="s">
        <v>1402</v>
      </c>
      <c r="K397" s="4" t="s">
        <v>1403</v>
      </c>
      <c r="L397" s="4" t="s">
        <v>2466</v>
      </c>
      <c r="M397" s="43" t="s">
        <v>2467</v>
      </c>
      <c r="N397" s="255">
        <v>285600</v>
      </c>
      <c r="O397" s="265">
        <v>100</v>
      </c>
      <c r="P397" s="270">
        <v>1</v>
      </c>
      <c r="Q397" s="255">
        <v>285600</v>
      </c>
      <c r="R397" s="283">
        <v>285600</v>
      </c>
      <c r="S397" s="283">
        <v>87432</v>
      </c>
      <c r="T397" s="287">
        <v>0</v>
      </c>
      <c r="U397" s="287">
        <v>1</v>
      </c>
      <c r="V397" s="287">
        <v>0</v>
      </c>
      <c r="W397" s="283">
        <v>28560</v>
      </c>
      <c r="X397" s="283">
        <v>0</v>
      </c>
      <c r="Y397" s="199" t="s">
        <v>1392</v>
      </c>
      <c r="Z397" s="517" t="s">
        <v>5166</v>
      </c>
      <c r="AA397" s="493" t="s">
        <v>1485</v>
      </c>
      <c r="AB397" s="507"/>
    </row>
    <row r="398" spans="2:28" x14ac:dyDescent="0.15">
      <c r="B398" s="330" t="s">
        <v>3234</v>
      </c>
      <c r="C398" s="527">
        <v>42998</v>
      </c>
      <c r="D398" s="191" t="s">
        <v>2450</v>
      </c>
      <c r="E398" s="43" t="s">
        <v>1391</v>
      </c>
      <c r="F398" s="191" t="s">
        <v>3794</v>
      </c>
      <c r="G398" s="4" t="s">
        <v>364</v>
      </c>
      <c r="H398" s="43" t="s">
        <v>456</v>
      </c>
      <c r="I398" s="4" t="s">
        <v>1721</v>
      </c>
      <c r="J398" s="4" t="s">
        <v>1402</v>
      </c>
      <c r="K398" s="4" t="s">
        <v>1403</v>
      </c>
      <c r="L398" s="4" t="s">
        <v>2468</v>
      </c>
      <c r="M398" s="43" t="s">
        <v>2469</v>
      </c>
      <c r="N398" s="255">
        <v>260000</v>
      </c>
      <c r="O398" s="265">
        <v>65</v>
      </c>
      <c r="P398" s="270">
        <v>1</v>
      </c>
      <c r="Q398" s="255">
        <v>169000</v>
      </c>
      <c r="R398" s="283">
        <v>169000</v>
      </c>
      <c r="S398" s="283">
        <v>46613</v>
      </c>
      <c r="T398" s="287">
        <v>0</v>
      </c>
      <c r="U398" s="287">
        <v>1</v>
      </c>
      <c r="V398" s="287">
        <v>0</v>
      </c>
      <c r="W398" s="283">
        <v>19500</v>
      </c>
      <c r="X398" s="283">
        <v>0</v>
      </c>
      <c r="Y398" s="199" t="s">
        <v>1392</v>
      </c>
      <c r="Z398" s="517" t="s">
        <v>5166</v>
      </c>
      <c r="AA398" s="493" t="s">
        <v>1485</v>
      </c>
      <c r="AB398" s="507"/>
    </row>
    <row r="399" spans="2:28" x14ac:dyDescent="0.15">
      <c r="B399" s="330" t="s">
        <v>3235</v>
      </c>
      <c r="C399" s="527">
        <v>42998</v>
      </c>
      <c r="D399" s="191" t="s">
        <v>2452</v>
      </c>
      <c r="E399" s="43" t="s">
        <v>1391</v>
      </c>
      <c r="F399" s="191" t="s">
        <v>3794</v>
      </c>
      <c r="G399" s="4" t="s">
        <v>364</v>
      </c>
      <c r="H399" s="43" t="s">
        <v>492</v>
      </c>
      <c r="I399" s="4" t="s">
        <v>1431</v>
      </c>
      <c r="J399" s="4" t="s">
        <v>297</v>
      </c>
      <c r="K399" s="4" t="s">
        <v>369</v>
      </c>
      <c r="L399" s="4" t="s">
        <v>2470</v>
      </c>
      <c r="M399" s="43"/>
      <c r="N399" s="255">
        <v>100</v>
      </c>
      <c r="O399" s="265">
        <v>50</v>
      </c>
      <c r="P399" s="270">
        <v>100</v>
      </c>
      <c r="Q399" s="255">
        <v>50</v>
      </c>
      <c r="R399" s="283">
        <v>5000</v>
      </c>
      <c r="S399" s="283">
        <v>2250</v>
      </c>
      <c r="T399" s="287">
        <v>0</v>
      </c>
      <c r="U399" s="287">
        <v>0</v>
      </c>
      <c r="V399" s="287">
        <v>0</v>
      </c>
      <c r="W399" s="283">
        <v>750</v>
      </c>
      <c r="X399" s="283">
        <v>0</v>
      </c>
      <c r="Y399" s="199" t="s">
        <v>1392</v>
      </c>
      <c r="Z399" s="517" t="s">
        <v>5167</v>
      </c>
      <c r="AA399" s="493" t="s">
        <v>1485</v>
      </c>
      <c r="AB399" s="507"/>
    </row>
    <row r="400" spans="2:28" x14ac:dyDescent="0.15">
      <c r="B400" s="330" t="s">
        <v>3236</v>
      </c>
      <c r="C400" s="527">
        <v>42998</v>
      </c>
      <c r="D400" s="191" t="s">
        <v>2460</v>
      </c>
      <c r="E400" s="43" t="s">
        <v>1391</v>
      </c>
      <c r="F400" s="191" t="s">
        <v>3797</v>
      </c>
      <c r="G400" s="4" t="s">
        <v>362</v>
      </c>
      <c r="H400" s="43" t="s">
        <v>689</v>
      </c>
      <c r="I400" s="4" t="s">
        <v>1394</v>
      </c>
      <c r="J400" s="4" t="s">
        <v>297</v>
      </c>
      <c r="K400" s="4" t="s">
        <v>369</v>
      </c>
      <c r="L400" s="4" t="s">
        <v>2461</v>
      </c>
      <c r="M400" s="43"/>
      <c r="N400" s="255">
        <v>100</v>
      </c>
      <c r="O400" s="265">
        <v>50</v>
      </c>
      <c r="P400" s="270">
        <v>10</v>
      </c>
      <c r="Q400" s="255">
        <v>50</v>
      </c>
      <c r="R400" s="283">
        <v>500</v>
      </c>
      <c r="S400" s="283">
        <v>280</v>
      </c>
      <c r="T400" s="287">
        <v>0</v>
      </c>
      <c r="U400" s="287">
        <v>0</v>
      </c>
      <c r="V400" s="287">
        <v>0</v>
      </c>
      <c r="W400" s="283">
        <v>0</v>
      </c>
      <c r="X400" s="283">
        <v>0</v>
      </c>
      <c r="Y400" s="199" t="s">
        <v>1395</v>
      </c>
      <c r="Z400" s="517" t="s">
        <v>5543</v>
      </c>
      <c r="AA400" s="493" t="s">
        <v>1485</v>
      </c>
      <c r="AB400" s="507"/>
    </row>
    <row r="401" spans="2:28" x14ac:dyDescent="0.15">
      <c r="B401" s="330" t="s">
        <v>3237</v>
      </c>
      <c r="C401" s="527">
        <v>42998</v>
      </c>
      <c r="D401" s="191" t="s">
        <v>2460</v>
      </c>
      <c r="E401" s="43" t="s">
        <v>1391</v>
      </c>
      <c r="F401" s="191" t="s">
        <v>3794</v>
      </c>
      <c r="G401" s="4" t="s">
        <v>364</v>
      </c>
      <c r="H401" s="43" t="s">
        <v>444</v>
      </c>
      <c r="I401" s="4" t="s">
        <v>1440</v>
      </c>
      <c r="J401" s="4" t="s">
        <v>268</v>
      </c>
      <c r="K401" s="4" t="s">
        <v>1158</v>
      </c>
      <c r="L401" s="4" t="s">
        <v>2476</v>
      </c>
      <c r="M401" s="43" t="s">
        <v>2477</v>
      </c>
      <c r="N401" s="255">
        <v>285000</v>
      </c>
      <c r="O401" s="265">
        <v>65</v>
      </c>
      <c r="P401" s="270">
        <v>1</v>
      </c>
      <c r="Q401" s="255">
        <v>185250</v>
      </c>
      <c r="R401" s="283">
        <v>185250</v>
      </c>
      <c r="S401" s="283">
        <v>65367</v>
      </c>
      <c r="T401" s="287">
        <v>0</v>
      </c>
      <c r="U401" s="287">
        <v>1</v>
      </c>
      <c r="V401" s="287">
        <v>0</v>
      </c>
      <c r="W401" s="283">
        <v>21375</v>
      </c>
      <c r="X401" s="283">
        <v>0</v>
      </c>
      <c r="Y401" s="199" t="s">
        <v>1392</v>
      </c>
      <c r="Z401" s="517" t="s">
        <v>5166</v>
      </c>
      <c r="AA401" s="493" t="s">
        <v>1485</v>
      </c>
      <c r="AB401" s="507"/>
    </row>
    <row r="402" spans="2:28" x14ac:dyDescent="0.15">
      <c r="B402" s="330" t="s">
        <v>3238</v>
      </c>
      <c r="C402" s="527">
        <v>42998</v>
      </c>
      <c r="D402" s="191" t="s">
        <v>2462</v>
      </c>
      <c r="E402" s="43" t="s">
        <v>1391</v>
      </c>
      <c r="F402" s="191" t="s">
        <v>3794</v>
      </c>
      <c r="G402" s="4" t="s">
        <v>364</v>
      </c>
      <c r="H402" s="43" t="s">
        <v>444</v>
      </c>
      <c r="I402" s="4" t="s">
        <v>1440</v>
      </c>
      <c r="J402" s="4" t="s">
        <v>310</v>
      </c>
      <c r="K402" s="4" t="s">
        <v>1539</v>
      </c>
      <c r="L402" s="4" t="s">
        <v>2433</v>
      </c>
      <c r="M402" s="43" t="s">
        <v>2463</v>
      </c>
      <c r="N402" s="255">
        <v>430000</v>
      </c>
      <c r="O402" s="265">
        <v>60</v>
      </c>
      <c r="P402" s="270">
        <v>1</v>
      </c>
      <c r="Q402" s="255">
        <v>258000</v>
      </c>
      <c r="R402" s="283">
        <v>258000</v>
      </c>
      <c r="S402" s="283">
        <v>51120</v>
      </c>
      <c r="T402" s="287">
        <v>0</v>
      </c>
      <c r="U402" s="287">
        <v>1</v>
      </c>
      <c r="V402" s="287">
        <v>0</v>
      </c>
      <c r="W402" s="283">
        <v>25800</v>
      </c>
      <c r="X402" s="283">
        <v>0</v>
      </c>
      <c r="Y402" s="199" t="s">
        <v>1392</v>
      </c>
      <c r="Z402" s="517" t="s">
        <v>5166</v>
      </c>
      <c r="AA402" s="493" t="s">
        <v>1485</v>
      </c>
      <c r="AB402" s="507"/>
    </row>
    <row r="403" spans="2:28" x14ac:dyDescent="0.15">
      <c r="B403" s="330" t="s">
        <v>3239</v>
      </c>
      <c r="C403" s="527">
        <v>42998</v>
      </c>
      <c r="D403" s="191" t="s">
        <v>2462</v>
      </c>
      <c r="E403" s="43" t="s">
        <v>1391</v>
      </c>
      <c r="F403" s="191" t="s">
        <v>3794</v>
      </c>
      <c r="G403" s="4" t="s">
        <v>364</v>
      </c>
      <c r="H403" s="43" t="s">
        <v>444</v>
      </c>
      <c r="I403" s="4" t="s">
        <v>1440</v>
      </c>
      <c r="J403" s="4" t="s">
        <v>273</v>
      </c>
      <c r="K403" s="4" t="s">
        <v>1161</v>
      </c>
      <c r="L403" s="4" t="s">
        <v>2142</v>
      </c>
      <c r="M403" s="43" t="s">
        <v>2478</v>
      </c>
      <c r="N403" s="255">
        <v>260000</v>
      </c>
      <c r="O403" s="265">
        <v>60</v>
      </c>
      <c r="P403" s="270">
        <v>1</v>
      </c>
      <c r="Q403" s="255">
        <v>156000</v>
      </c>
      <c r="R403" s="283">
        <v>156000</v>
      </c>
      <c r="S403" s="283">
        <v>50885</v>
      </c>
      <c r="T403" s="287">
        <v>0</v>
      </c>
      <c r="U403" s="287">
        <v>1</v>
      </c>
      <c r="V403" s="287">
        <v>0</v>
      </c>
      <c r="W403" s="283">
        <v>15600</v>
      </c>
      <c r="X403" s="283">
        <v>0</v>
      </c>
      <c r="Y403" s="199" t="s">
        <v>1392</v>
      </c>
      <c r="Z403" s="517" t="s">
        <v>5166</v>
      </c>
      <c r="AA403" s="493" t="s">
        <v>1485</v>
      </c>
      <c r="AB403" s="507"/>
    </row>
    <row r="404" spans="2:28" x14ac:dyDescent="0.15">
      <c r="B404" s="330" t="s">
        <v>3240</v>
      </c>
      <c r="C404" s="527">
        <v>42998</v>
      </c>
      <c r="D404" s="191" t="s">
        <v>2464</v>
      </c>
      <c r="E404" s="43" t="s">
        <v>1391</v>
      </c>
      <c r="F404" s="191" t="s">
        <v>3794</v>
      </c>
      <c r="G404" s="4" t="s">
        <v>364</v>
      </c>
      <c r="H404" s="43" t="s">
        <v>444</v>
      </c>
      <c r="I404" s="4" t="s">
        <v>1440</v>
      </c>
      <c r="J404" s="4" t="s">
        <v>310</v>
      </c>
      <c r="K404" s="4" t="s">
        <v>1539</v>
      </c>
      <c r="L404" s="4" t="s">
        <v>2438</v>
      </c>
      <c r="M404" s="43" t="s">
        <v>2465</v>
      </c>
      <c r="N404" s="255">
        <v>430000</v>
      </c>
      <c r="O404" s="265">
        <v>60</v>
      </c>
      <c r="P404" s="270">
        <v>1</v>
      </c>
      <c r="Q404" s="255">
        <v>258000</v>
      </c>
      <c r="R404" s="283">
        <v>258000</v>
      </c>
      <c r="S404" s="283">
        <v>64120</v>
      </c>
      <c r="T404" s="287">
        <v>0</v>
      </c>
      <c r="U404" s="287">
        <v>1</v>
      </c>
      <c r="V404" s="287">
        <v>0</v>
      </c>
      <c r="W404" s="283">
        <v>25800</v>
      </c>
      <c r="X404" s="283">
        <v>0</v>
      </c>
      <c r="Y404" s="199" t="s">
        <v>1392</v>
      </c>
      <c r="Z404" s="517" t="s">
        <v>5166</v>
      </c>
      <c r="AA404" s="493" t="s">
        <v>1485</v>
      </c>
      <c r="AB404" s="507"/>
    </row>
    <row r="405" spans="2:28" x14ac:dyDescent="0.15">
      <c r="B405" s="330" t="s">
        <v>3241</v>
      </c>
      <c r="C405" s="527">
        <v>42998</v>
      </c>
      <c r="D405" s="191" t="s">
        <v>2493</v>
      </c>
      <c r="E405" s="43" t="s">
        <v>1396</v>
      </c>
      <c r="F405" s="191" t="s">
        <v>3795</v>
      </c>
      <c r="G405" s="4" t="s">
        <v>1321</v>
      </c>
      <c r="H405" s="43"/>
      <c r="I405" s="4"/>
      <c r="J405" s="4" t="s">
        <v>299</v>
      </c>
      <c r="K405" s="4" t="s">
        <v>373</v>
      </c>
      <c r="L405" s="4" t="s">
        <v>2494</v>
      </c>
      <c r="M405" s="43"/>
      <c r="N405" s="255">
        <v>800</v>
      </c>
      <c r="O405" s="265">
        <v>100</v>
      </c>
      <c r="P405" s="270">
        <v>-1</v>
      </c>
      <c r="Q405" s="255">
        <v>800</v>
      </c>
      <c r="R405" s="283">
        <v>-800</v>
      </c>
      <c r="S405" s="283">
        <v>-800</v>
      </c>
      <c r="T405" s="287">
        <v>0</v>
      </c>
      <c r="U405" s="287">
        <v>0</v>
      </c>
      <c r="V405" s="287">
        <v>0</v>
      </c>
      <c r="W405" s="283">
        <v>800</v>
      </c>
      <c r="X405" s="283">
        <v>0</v>
      </c>
      <c r="Y405" s="199" t="s">
        <v>1392</v>
      </c>
      <c r="Z405" s="517" t="s">
        <v>5449</v>
      </c>
      <c r="AA405" s="493"/>
      <c r="AB405" s="507"/>
    </row>
    <row r="406" spans="2:28" x14ac:dyDescent="0.15">
      <c r="B406" s="330" t="s">
        <v>3242</v>
      </c>
      <c r="C406" s="527">
        <v>42998</v>
      </c>
      <c r="D406" s="191" t="s">
        <v>2500</v>
      </c>
      <c r="E406" s="43" t="s">
        <v>1391</v>
      </c>
      <c r="F406" s="191" t="s">
        <v>3794</v>
      </c>
      <c r="G406" s="4" t="s">
        <v>364</v>
      </c>
      <c r="H406" s="43" t="s">
        <v>504</v>
      </c>
      <c r="I406" s="4" t="s">
        <v>1436</v>
      </c>
      <c r="J406" s="4" t="s">
        <v>299</v>
      </c>
      <c r="K406" s="4" t="s">
        <v>373</v>
      </c>
      <c r="L406" s="4" t="s">
        <v>2378</v>
      </c>
      <c r="M406" s="43"/>
      <c r="N406" s="255">
        <v>5000</v>
      </c>
      <c r="O406" s="265">
        <v>100</v>
      </c>
      <c r="P406" s="270">
        <v>1</v>
      </c>
      <c r="Q406" s="255">
        <v>5000</v>
      </c>
      <c r="R406" s="283">
        <v>5000</v>
      </c>
      <c r="S406" s="283">
        <v>1924</v>
      </c>
      <c r="T406" s="287">
        <v>0</v>
      </c>
      <c r="U406" s="287">
        <v>0</v>
      </c>
      <c r="V406" s="287">
        <v>0</v>
      </c>
      <c r="W406" s="283">
        <v>3076</v>
      </c>
      <c r="X406" s="283">
        <v>0</v>
      </c>
      <c r="Y406" s="199" t="s">
        <v>1392</v>
      </c>
      <c r="Z406" s="517" t="s">
        <v>5534</v>
      </c>
      <c r="AA406" s="493" t="s">
        <v>1485</v>
      </c>
      <c r="AB406" s="507"/>
    </row>
    <row r="407" spans="2:28" x14ac:dyDescent="0.15">
      <c r="B407" s="330" t="s">
        <v>3243</v>
      </c>
      <c r="C407" s="527">
        <v>42998</v>
      </c>
      <c r="D407" s="191" t="s">
        <v>2506</v>
      </c>
      <c r="E407" s="43" t="s">
        <v>1396</v>
      </c>
      <c r="F407" s="191" t="s">
        <v>3795</v>
      </c>
      <c r="G407" s="4" t="s">
        <v>1321</v>
      </c>
      <c r="H407" s="43"/>
      <c r="I407" s="4"/>
      <c r="J407" s="4"/>
      <c r="K407" s="4"/>
      <c r="L407" s="4" t="s">
        <v>2406</v>
      </c>
      <c r="M407" s="43"/>
      <c r="N407" s="255">
        <v>7100</v>
      </c>
      <c r="O407" s="265">
        <v>100</v>
      </c>
      <c r="P407" s="270">
        <v>-1</v>
      </c>
      <c r="Q407" s="255">
        <v>7100</v>
      </c>
      <c r="R407" s="283">
        <v>-7100</v>
      </c>
      <c r="S407" s="283">
        <v>-7100</v>
      </c>
      <c r="T407" s="287">
        <v>0</v>
      </c>
      <c r="U407" s="287">
        <v>0</v>
      </c>
      <c r="V407" s="287">
        <v>0</v>
      </c>
      <c r="W407" s="283">
        <v>7100</v>
      </c>
      <c r="X407" s="283">
        <v>0</v>
      </c>
      <c r="Y407" s="199" t="s">
        <v>1392</v>
      </c>
      <c r="Z407" s="517" t="s">
        <v>5449</v>
      </c>
      <c r="AA407" s="493"/>
      <c r="AB407" s="507"/>
    </row>
    <row r="408" spans="2:28" x14ac:dyDescent="0.15">
      <c r="B408" s="330" t="s">
        <v>3244</v>
      </c>
      <c r="C408" s="528">
        <v>42999</v>
      </c>
      <c r="D408" s="198" t="s">
        <v>2440</v>
      </c>
      <c r="E408" s="53" t="s">
        <v>1396</v>
      </c>
      <c r="F408" s="198" t="s">
        <v>3800</v>
      </c>
      <c r="G408" s="3" t="s">
        <v>50</v>
      </c>
      <c r="H408" s="53" t="s">
        <v>379</v>
      </c>
      <c r="I408" s="197" t="s">
        <v>2604</v>
      </c>
      <c r="J408" s="4" t="s">
        <v>310</v>
      </c>
      <c r="K408" s="4" t="s">
        <v>1539</v>
      </c>
      <c r="L408" s="4" t="s">
        <v>1540</v>
      </c>
      <c r="M408" s="43" t="s">
        <v>2441</v>
      </c>
      <c r="N408" s="255">
        <v>430000</v>
      </c>
      <c r="O408" s="265">
        <v>60</v>
      </c>
      <c r="P408" s="270">
        <v>1</v>
      </c>
      <c r="Q408" s="255">
        <v>258000</v>
      </c>
      <c r="R408" s="283">
        <v>258000</v>
      </c>
      <c r="S408" s="283">
        <v>76920</v>
      </c>
      <c r="T408" s="287">
        <v>0</v>
      </c>
      <c r="U408" s="287">
        <v>1</v>
      </c>
      <c r="V408" s="287">
        <v>0</v>
      </c>
      <c r="W408" s="283">
        <v>25800</v>
      </c>
      <c r="X408" s="283">
        <v>0</v>
      </c>
      <c r="Y408" s="199" t="s">
        <v>1392</v>
      </c>
      <c r="Z408" s="517" t="s">
        <v>5166</v>
      </c>
      <c r="AA408" s="493" t="s">
        <v>1485</v>
      </c>
      <c r="AB408" s="507"/>
    </row>
    <row r="409" spans="2:28" x14ac:dyDescent="0.15">
      <c r="B409" s="330" t="s">
        <v>3245</v>
      </c>
      <c r="C409" s="528">
        <v>42999</v>
      </c>
      <c r="D409" s="198" t="s">
        <v>2450</v>
      </c>
      <c r="E409" s="53" t="s">
        <v>1396</v>
      </c>
      <c r="F409" s="198" t="s">
        <v>3800</v>
      </c>
      <c r="G409" s="3" t="s">
        <v>50</v>
      </c>
      <c r="H409" s="53" t="s">
        <v>1434</v>
      </c>
      <c r="I409" s="3" t="s">
        <v>1435</v>
      </c>
      <c r="J409" s="4" t="s">
        <v>311</v>
      </c>
      <c r="K409" s="4" t="s">
        <v>2445</v>
      </c>
      <c r="L409" s="4" t="s">
        <v>2448</v>
      </c>
      <c r="M409" s="43" t="s">
        <v>2451</v>
      </c>
      <c r="N409" s="255">
        <v>260000</v>
      </c>
      <c r="O409" s="265">
        <v>100</v>
      </c>
      <c r="P409" s="270">
        <v>1</v>
      </c>
      <c r="Q409" s="255">
        <v>260000</v>
      </c>
      <c r="R409" s="283">
        <v>260000</v>
      </c>
      <c r="S409" s="283">
        <v>53960</v>
      </c>
      <c r="T409" s="287">
        <v>0</v>
      </c>
      <c r="U409" s="287">
        <v>1</v>
      </c>
      <c r="V409" s="287">
        <v>0</v>
      </c>
      <c r="W409" s="283">
        <v>20160</v>
      </c>
      <c r="X409" s="283">
        <v>0</v>
      </c>
      <c r="Y409" s="199" t="s">
        <v>1392</v>
      </c>
      <c r="Z409" s="517" t="s">
        <v>5167</v>
      </c>
      <c r="AA409" s="493" t="s">
        <v>1485</v>
      </c>
      <c r="AB409" s="507"/>
    </row>
    <row r="410" spans="2:28" x14ac:dyDescent="0.15">
      <c r="B410" s="330" t="s">
        <v>3246</v>
      </c>
      <c r="C410" s="528">
        <v>42999</v>
      </c>
      <c r="D410" s="198" t="s">
        <v>2454</v>
      </c>
      <c r="E410" s="53" t="s">
        <v>1396</v>
      </c>
      <c r="F410" s="198" t="s">
        <v>3799</v>
      </c>
      <c r="G410" s="3" t="s">
        <v>1110</v>
      </c>
      <c r="H410" s="53" t="s">
        <v>796</v>
      </c>
      <c r="I410" s="3" t="s">
        <v>1428</v>
      </c>
      <c r="J410" s="4" t="s">
        <v>263</v>
      </c>
      <c r="K410" s="4" t="s">
        <v>1154</v>
      </c>
      <c r="L410" s="4" t="s">
        <v>2455</v>
      </c>
      <c r="M410" s="43" t="s">
        <v>2456</v>
      </c>
      <c r="N410" s="255">
        <v>250000</v>
      </c>
      <c r="O410" s="265">
        <v>100</v>
      </c>
      <c r="P410" s="270">
        <v>1</v>
      </c>
      <c r="Q410" s="255">
        <v>250000</v>
      </c>
      <c r="R410" s="283">
        <v>250000</v>
      </c>
      <c r="S410" s="283">
        <v>58351</v>
      </c>
      <c r="T410" s="287">
        <v>0</v>
      </c>
      <c r="U410" s="287">
        <v>1</v>
      </c>
      <c r="V410" s="287">
        <v>0</v>
      </c>
      <c r="W410" s="283">
        <v>28846</v>
      </c>
      <c r="X410" s="283">
        <v>0</v>
      </c>
      <c r="Y410" s="199" t="s">
        <v>1392</v>
      </c>
      <c r="Z410" s="517" t="s">
        <v>5532</v>
      </c>
      <c r="AA410" s="493" t="s">
        <v>1485</v>
      </c>
      <c r="AB410" s="507"/>
    </row>
    <row r="411" spans="2:28" x14ac:dyDescent="0.15">
      <c r="B411" s="330" t="s">
        <v>3247</v>
      </c>
      <c r="C411" s="528">
        <v>42999</v>
      </c>
      <c r="D411" s="198" t="s">
        <v>2457</v>
      </c>
      <c r="E411" s="53" t="s">
        <v>1396</v>
      </c>
      <c r="F411" s="198" t="s">
        <v>3800</v>
      </c>
      <c r="G411" s="3" t="s">
        <v>50</v>
      </c>
      <c r="H411" s="53" t="s">
        <v>381</v>
      </c>
      <c r="I411" s="3" t="s">
        <v>1408</v>
      </c>
      <c r="J411" s="4" t="s">
        <v>293</v>
      </c>
      <c r="K411" s="4" t="s">
        <v>1164</v>
      </c>
      <c r="L411" s="4" t="s">
        <v>2458</v>
      </c>
      <c r="M411" s="43" t="s">
        <v>2414</v>
      </c>
      <c r="N411" s="255">
        <v>470000</v>
      </c>
      <c r="O411" s="265">
        <v>65</v>
      </c>
      <c r="P411" s="270">
        <v>1</v>
      </c>
      <c r="Q411" s="255">
        <v>305500</v>
      </c>
      <c r="R411" s="283">
        <v>305500</v>
      </c>
      <c r="S411" s="283">
        <v>99060</v>
      </c>
      <c r="T411" s="287">
        <v>0</v>
      </c>
      <c r="U411" s="287">
        <v>1</v>
      </c>
      <c r="V411" s="287">
        <v>0</v>
      </c>
      <c r="W411" s="283">
        <v>35250</v>
      </c>
      <c r="X411" s="283">
        <v>0</v>
      </c>
      <c r="Y411" s="199" t="s">
        <v>1392</v>
      </c>
      <c r="Z411" s="517" t="s">
        <v>5543</v>
      </c>
      <c r="AA411" s="493" t="s">
        <v>1485</v>
      </c>
      <c r="AB411" s="507"/>
    </row>
    <row r="412" spans="2:28" x14ac:dyDescent="0.15">
      <c r="B412" s="330" t="s">
        <v>3248</v>
      </c>
      <c r="C412" s="528">
        <v>43000</v>
      </c>
      <c r="D412" s="198" t="s">
        <v>2459</v>
      </c>
      <c r="E412" s="53" t="s">
        <v>1396</v>
      </c>
      <c r="F412" s="198" t="s">
        <v>3801</v>
      </c>
      <c r="G412" s="3" t="s">
        <v>374</v>
      </c>
      <c r="H412" s="53"/>
      <c r="I412" s="3"/>
      <c r="J412" s="4" t="s">
        <v>298</v>
      </c>
      <c r="K412" s="4" t="s">
        <v>1168</v>
      </c>
      <c r="L412" s="4" t="s">
        <v>1412</v>
      </c>
      <c r="M412" s="43"/>
      <c r="N412" s="255">
        <v>2400</v>
      </c>
      <c r="O412" s="265">
        <v>60</v>
      </c>
      <c r="P412" s="270">
        <v>2</v>
      </c>
      <c r="Q412" s="255">
        <v>1440</v>
      </c>
      <c r="R412" s="283">
        <v>2880</v>
      </c>
      <c r="S412" s="283">
        <v>1280</v>
      </c>
      <c r="T412" s="287">
        <v>0</v>
      </c>
      <c r="U412" s="287">
        <v>0</v>
      </c>
      <c r="V412" s="287">
        <v>0</v>
      </c>
      <c r="W412" s="283">
        <v>0</v>
      </c>
      <c r="X412" s="283">
        <v>0</v>
      </c>
      <c r="Y412" s="199" t="s">
        <v>1395</v>
      </c>
      <c r="Z412" s="517" t="s">
        <v>5168</v>
      </c>
      <c r="AA412" s="493" t="s">
        <v>1485</v>
      </c>
      <c r="AB412" s="507"/>
    </row>
    <row r="413" spans="2:28" x14ac:dyDescent="0.15">
      <c r="B413" s="330" t="s">
        <v>3249</v>
      </c>
      <c r="C413" s="528">
        <v>43004</v>
      </c>
      <c r="D413" s="198" t="s">
        <v>2454</v>
      </c>
      <c r="E413" s="53" t="s">
        <v>1396</v>
      </c>
      <c r="F413" s="198" t="s">
        <v>3800</v>
      </c>
      <c r="G413" s="3" t="s">
        <v>50</v>
      </c>
      <c r="H413" s="53" t="s">
        <v>379</v>
      </c>
      <c r="I413" s="197" t="s">
        <v>2604</v>
      </c>
      <c r="J413" s="3" t="s">
        <v>270</v>
      </c>
      <c r="K413" s="3" t="s">
        <v>539</v>
      </c>
      <c r="L413" s="3" t="s">
        <v>2471</v>
      </c>
      <c r="M413" s="53" t="s">
        <v>2472</v>
      </c>
      <c r="N413" s="258">
        <v>283000</v>
      </c>
      <c r="O413" s="266">
        <v>60</v>
      </c>
      <c r="P413" s="272">
        <v>1</v>
      </c>
      <c r="Q413" s="258">
        <v>169800</v>
      </c>
      <c r="R413" s="286">
        <v>169800</v>
      </c>
      <c r="S413" s="286">
        <v>45971</v>
      </c>
      <c r="T413" s="288">
        <v>0</v>
      </c>
      <c r="U413" s="288">
        <v>1</v>
      </c>
      <c r="V413" s="288">
        <v>0</v>
      </c>
      <c r="W413" s="286">
        <v>16980</v>
      </c>
      <c r="X413" s="286">
        <v>0</v>
      </c>
      <c r="Y413" s="200" t="s">
        <v>1392</v>
      </c>
      <c r="Z413" s="517" t="s">
        <v>5542</v>
      </c>
      <c r="AA413" s="499" t="s">
        <v>1485</v>
      </c>
      <c r="AB413" s="508"/>
    </row>
    <row r="414" spans="2:28" x14ac:dyDescent="0.15">
      <c r="B414" s="330" t="s">
        <v>3250</v>
      </c>
      <c r="C414" s="528">
        <v>43004</v>
      </c>
      <c r="D414" s="198" t="s">
        <v>2457</v>
      </c>
      <c r="E414" s="53" t="s">
        <v>1396</v>
      </c>
      <c r="F414" s="198" t="s">
        <v>3800</v>
      </c>
      <c r="G414" s="3" t="s">
        <v>50</v>
      </c>
      <c r="H414" s="53" t="s">
        <v>379</v>
      </c>
      <c r="I414" s="197" t="s">
        <v>2604</v>
      </c>
      <c r="J414" s="4" t="s">
        <v>268</v>
      </c>
      <c r="K414" s="4" t="s">
        <v>1158</v>
      </c>
      <c r="L414" s="4" t="s">
        <v>1791</v>
      </c>
      <c r="M414" s="43" t="s">
        <v>2473</v>
      </c>
      <c r="N414" s="255">
        <v>138000</v>
      </c>
      <c r="O414" s="265">
        <v>100</v>
      </c>
      <c r="P414" s="270">
        <v>1</v>
      </c>
      <c r="Q414" s="255">
        <v>138000</v>
      </c>
      <c r="R414" s="283">
        <v>138000</v>
      </c>
      <c r="S414" s="283">
        <v>34692</v>
      </c>
      <c r="T414" s="287">
        <v>0</v>
      </c>
      <c r="U414" s="287">
        <v>1</v>
      </c>
      <c r="V414" s="287">
        <v>0</v>
      </c>
      <c r="W414" s="283">
        <v>13800</v>
      </c>
      <c r="X414" s="283">
        <v>0</v>
      </c>
      <c r="Y414" s="199" t="s">
        <v>1392</v>
      </c>
      <c r="Z414" s="517" t="s">
        <v>5166</v>
      </c>
      <c r="AA414" s="493" t="s">
        <v>1485</v>
      </c>
      <c r="AB414" s="507"/>
    </row>
    <row r="415" spans="2:28" x14ac:dyDescent="0.15">
      <c r="B415" s="330" t="s">
        <v>3251</v>
      </c>
      <c r="C415" s="528">
        <v>43004</v>
      </c>
      <c r="D415" s="198" t="s">
        <v>2459</v>
      </c>
      <c r="E415" s="53" t="s">
        <v>1396</v>
      </c>
      <c r="F415" s="198" t="s">
        <v>3800</v>
      </c>
      <c r="G415" s="3" t="s">
        <v>50</v>
      </c>
      <c r="H415" s="53" t="s">
        <v>379</v>
      </c>
      <c r="I415" s="197" t="s">
        <v>2604</v>
      </c>
      <c r="J415" s="4" t="s">
        <v>273</v>
      </c>
      <c r="K415" s="4" t="s">
        <v>1161</v>
      </c>
      <c r="L415" s="4" t="s">
        <v>2474</v>
      </c>
      <c r="M415" s="43" t="s">
        <v>2475</v>
      </c>
      <c r="N415" s="255">
        <v>138000</v>
      </c>
      <c r="O415" s="265">
        <v>100</v>
      </c>
      <c r="P415" s="270">
        <v>1</v>
      </c>
      <c r="Q415" s="255">
        <v>138000</v>
      </c>
      <c r="R415" s="283">
        <v>138000</v>
      </c>
      <c r="S415" s="283">
        <v>38185</v>
      </c>
      <c r="T415" s="287">
        <v>0</v>
      </c>
      <c r="U415" s="287">
        <v>1</v>
      </c>
      <c r="V415" s="287">
        <v>0</v>
      </c>
      <c r="W415" s="283">
        <v>13800</v>
      </c>
      <c r="X415" s="283">
        <v>0</v>
      </c>
      <c r="Y415" s="199" t="s">
        <v>1392</v>
      </c>
      <c r="Z415" s="517" t="s">
        <v>5166</v>
      </c>
      <c r="AA415" s="493" t="s">
        <v>1485</v>
      </c>
      <c r="AB415" s="507"/>
    </row>
    <row r="416" spans="2:28" x14ac:dyDescent="0.15">
      <c r="B416" s="330" t="s">
        <v>3252</v>
      </c>
      <c r="C416" s="528">
        <v>43005</v>
      </c>
      <c r="D416" s="198" t="s">
        <v>2490</v>
      </c>
      <c r="E416" s="53" t="s">
        <v>1396</v>
      </c>
      <c r="F416" s="198" t="s">
        <v>3799</v>
      </c>
      <c r="G416" s="3" t="s">
        <v>1110</v>
      </c>
      <c r="H416" s="53" t="s">
        <v>796</v>
      </c>
      <c r="I416" s="3" t="s">
        <v>1428</v>
      </c>
      <c r="J416" s="4" t="s">
        <v>1402</v>
      </c>
      <c r="K416" s="4" t="s">
        <v>1403</v>
      </c>
      <c r="L416" s="190" t="s">
        <v>2492</v>
      </c>
      <c r="M416" s="43" t="s">
        <v>2491</v>
      </c>
      <c r="N416" s="255">
        <v>420000</v>
      </c>
      <c r="O416" s="265">
        <v>65</v>
      </c>
      <c r="P416" s="270">
        <v>1</v>
      </c>
      <c r="Q416" s="255">
        <v>273000</v>
      </c>
      <c r="R416" s="283">
        <v>273000</v>
      </c>
      <c r="S416" s="283">
        <v>72492</v>
      </c>
      <c r="T416" s="287">
        <v>0</v>
      </c>
      <c r="U416" s="287">
        <v>1</v>
      </c>
      <c r="V416" s="287">
        <v>0</v>
      </c>
      <c r="W416" s="283">
        <v>31500</v>
      </c>
      <c r="X416" s="283">
        <v>0</v>
      </c>
      <c r="Y416" s="199" t="s">
        <v>1392</v>
      </c>
      <c r="Z416" s="517" t="s">
        <v>5542</v>
      </c>
      <c r="AA416" s="493" t="s">
        <v>1485</v>
      </c>
      <c r="AB416" s="507"/>
    </row>
    <row r="417" spans="2:28" x14ac:dyDescent="0.15">
      <c r="B417" s="330" t="s">
        <v>3253</v>
      </c>
      <c r="C417" s="528">
        <v>43009</v>
      </c>
      <c r="D417" s="198" t="s">
        <v>2442</v>
      </c>
      <c r="E417" s="53" t="s">
        <v>1396</v>
      </c>
      <c r="F417" s="198" t="s">
        <v>3799</v>
      </c>
      <c r="G417" s="3" t="s">
        <v>1110</v>
      </c>
      <c r="H417" s="53" t="s">
        <v>801</v>
      </c>
      <c r="I417" s="3" t="s">
        <v>1920</v>
      </c>
      <c r="J417" s="4" t="s">
        <v>261</v>
      </c>
      <c r="K417" s="4" t="s">
        <v>1153</v>
      </c>
      <c r="L417" s="4" t="s">
        <v>2443</v>
      </c>
      <c r="M417" s="43" t="s">
        <v>2444</v>
      </c>
      <c r="N417" s="255">
        <v>156000</v>
      </c>
      <c r="O417" s="265">
        <v>100</v>
      </c>
      <c r="P417" s="270">
        <v>1</v>
      </c>
      <c r="Q417" s="255">
        <v>156000</v>
      </c>
      <c r="R417" s="283">
        <v>156000</v>
      </c>
      <c r="S417" s="283">
        <v>23294</v>
      </c>
      <c r="T417" s="287">
        <v>0</v>
      </c>
      <c r="U417" s="287">
        <v>1</v>
      </c>
      <c r="V417" s="287">
        <v>0</v>
      </c>
      <c r="W417" s="283">
        <v>15600</v>
      </c>
      <c r="X417" s="283">
        <v>0</v>
      </c>
      <c r="Y417" s="199" t="s">
        <v>1392</v>
      </c>
      <c r="Z417" s="517" t="s">
        <v>5449</v>
      </c>
      <c r="AA417" s="493" t="s">
        <v>1485</v>
      </c>
      <c r="AB417" s="507"/>
    </row>
    <row r="418" spans="2:28" x14ac:dyDescent="0.15">
      <c r="B418" s="330" t="s">
        <v>3254</v>
      </c>
      <c r="C418" s="528">
        <v>43009</v>
      </c>
      <c r="D418" s="198" t="s">
        <v>2464</v>
      </c>
      <c r="E418" s="53" t="s">
        <v>1396</v>
      </c>
      <c r="F418" s="198" t="s">
        <v>3799</v>
      </c>
      <c r="G418" s="3" t="s">
        <v>1110</v>
      </c>
      <c r="H418" s="53" t="s">
        <v>801</v>
      </c>
      <c r="I418" s="3" t="s">
        <v>1920</v>
      </c>
      <c r="J418" s="4" t="s">
        <v>1402</v>
      </c>
      <c r="K418" s="4" t="s">
        <v>1403</v>
      </c>
      <c r="L418" s="4" t="s">
        <v>2479</v>
      </c>
      <c r="M418" s="43" t="s">
        <v>2480</v>
      </c>
      <c r="N418" s="255">
        <v>156000</v>
      </c>
      <c r="O418" s="265">
        <v>100</v>
      </c>
      <c r="P418" s="270">
        <v>1</v>
      </c>
      <c r="Q418" s="255">
        <v>156000</v>
      </c>
      <c r="R418" s="283">
        <v>156000</v>
      </c>
      <c r="S418" s="283">
        <v>35813</v>
      </c>
      <c r="T418" s="287">
        <v>0</v>
      </c>
      <c r="U418" s="287">
        <v>1</v>
      </c>
      <c r="V418" s="287">
        <v>0</v>
      </c>
      <c r="W418" s="283">
        <v>15600</v>
      </c>
      <c r="X418" s="283">
        <v>0</v>
      </c>
      <c r="Y418" s="199" t="s">
        <v>1392</v>
      </c>
      <c r="Z418" s="517" t="s">
        <v>5449</v>
      </c>
      <c r="AA418" s="493" t="s">
        <v>1485</v>
      </c>
      <c r="AB418" s="507"/>
    </row>
    <row r="419" spans="2:28" x14ac:dyDescent="0.15">
      <c r="B419" s="330" t="s">
        <v>3255</v>
      </c>
      <c r="C419" s="528">
        <v>43009</v>
      </c>
      <c r="D419" s="198" t="s">
        <v>2481</v>
      </c>
      <c r="E419" s="53" t="s">
        <v>1396</v>
      </c>
      <c r="F419" s="198" t="s">
        <v>3799</v>
      </c>
      <c r="G419" s="3" t="s">
        <v>1110</v>
      </c>
      <c r="H419" s="53" t="s">
        <v>801</v>
      </c>
      <c r="I419" s="3" t="s">
        <v>1920</v>
      </c>
      <c r="J419" s="4" t="s">
        <v>262</v>
      </c>
      <c r="K419" s="4" t="s">
        <v>365</v>
      </c>
      <c r="L419" s="4" t="s">
        <v>2482</v>
      </c>
      <c r="M419" s="43" t="s">
        <v>2483</v>
      </c>
      <c r="N419" s="255">
        <v>156000</v>
      </c>
      <c r="O419" s="265">
        <v>100</v>
      </c>
      <c r="P419" s="270">
        <v>1</v>
      </c>
      <c r="Q419" s="255">
        <v>156000</v>
      </c>
      <c r="R419" s="283">
        <v>156000</v>
      </c>
      <c r="S419" s="283">
        <v>39582</v>
      </c>
      <c r="T419" s="287">
        <v>0</v>
      </c>
      <c r="U419" s="287">
        <v>1</v>
      </c>
      <c r="V419" s="287">
        <v>0</v>
      </c>
      <c r="W419" s="283">
        <v>15600</v>
      </c>
      <c r="X419" s="283">
        <v>0</v>
      </c>
      <c r="Y419" s="199" t="s">
        <v>1392</v>
      </c>
      <c r="Z419" s="517" t="s">
        <v>5449</v>
      </c>
      <c r="AA419" s="493" t="s">
        <v>1485</v>
      </c>
      <c r="AB419" s="507"/>
    </row>
    <row r="420" spans="2:28" x14ac:dyDescent="0.15">
      <c r="B420" s="330" t="s">
        <v>3256</v>
      </c>
      <c r="C420" s="528">
        <v>43009</v>
      </c>
      <c r="D420" s="198" t="s">
        <v>2484</v>
      </c>
      <c r="E420" s="53" t="s">
        <v>1396</v>
      </c>
      <c r="F420" s="198" t="s">
        <v>3799</v>
      </c>
      <c r="G420" s="3" t="s">
        <v>1110</v>
      </c>
      <c r="H420" s="53" t="s">
        <v>801</v>
      </c>
      <c r="I420" s="3" t="s">
        <v>1920</v>
      </c>
      <c r="J420" s="4" t="s">
        <v>261</v>
      </c>
      <c r="K420" s="4" t="s">
        <v>1153</v>
      </c>
      <c r="L420" s="190" t="s">
        <v>2486</v>
      </c>
      <c r="M420" s="43" t="s">
        <v>2485</v>
      </c>
      <c r="N420" s="255">
        <v>162000</v>
      </c>
      <c r="O420" s="265">
        <v>100</v>
      </c>
      <c r="P420" s="270">
        <v>1</v>
      </c>
      <c r="Q420" s="255">
        <v>162000</v>
      </c>
      <c r="R420" s="283">
        <v>162000</v>
      </c>
      <c r="S420" s="283">
        <v>35582</v>
      </c>
      <c r="T420" s="287">
        <v>0</v>
      </c>
      <c r="U420" s="287">
        <v>1</v>
      </c>
      <c r="V420" s="287">
        <v>0</v>
      </c>
      <c r="W420" s="283">
        <v>16200</v>
      </c>
      <c r="X420" s="283">
        <v>0</v>
      </c>
      <c r="Y420" s="199" t="s">
        <v>1392</v>
      </c>
      <c r="Z420" s="517" t="s">
        <v>5449</v>
      </c>
      <c r="AA420" s="493" t="s">
        <v>1485</v>
      </c>
      <c r="AB420" s="507"/>
    </row>
    <row r="421" spans="2:28" x14ac:dyDescent="0.15">
      <c r="B421" s="330" t="s">
        <v>3257</v>
      </c>
      <c r="C421" s="528">
        <v>43009</v>
      </c>
      <c r="D421" s="198" t="s">
        <v>2487</v>
      </c>
      <c r="E421" s="53" t="s">
        <v>1396</v>
      </c>
      <c r="F421" s="198" t="s">
        <v>3799</v>
      </c>
      <c r="G421" s="3" t="s">
        <v>1110</v>
      </c>
      <c r="H421" s="53" t="s">
        <v>801</v>
      </c>
      <c r="I421" s="3" t="s">
        <v>1920</v>
      </c>
      <c r="J421" s="4" t="s">
        <v>1402</v>
      </c>
      <c r="K421" s="4" t="s">
        <v>1403</v>
      </c>
      <c r="L421" s="4" t="s">
        <v>2488</v>
      </c>
      <c r="M421" s="191" t="s">
        <v>2489</v>
      </c>
      <c r="N421" s="255">
        <v>162000</v>
      </c>
      <c r="O421" s="265">
        <v>100</v>
      </c>
      <c r="P421" s="270">
        <v>1</v>
      </c>
      <c r="Q421" s="255">
        <v>162000</v>
      </c>
      <c r="R421" s="283">
        <v>162000</v>
      </c>
      <c r="S421" s="283">
        <v>41375</v>
      </c>
      <c r="T421" s="287">
        <v>0</v>
      </c>
      <c r="U421" s="287">
        <v>1</v>
      </c>
      <c r="V421" s="287">
        <v>0</v>
      </c>
      <c r="W421" s="283">
        <v>16200</v>
      </c>
      <c r="X421" s="283">
        <v>0</v>
      </c>
      <c r="Y421" s="199" t="s">
        <v>1392</v>
      </c>
      <c r="Z421" s="517" t="s">
        <v>5449</v>
      </c>
      <c r="AA421" s="493" t="s">
        <v>1485</v>
      </c>
      <c r="AB421" s="507"/>
    </row>
    <row r="422" spans="2:28" x14ac:dyDescent="0.15">
      <c r="B422" s="330" t="s">
        <v>3258</v>
      </c>
      <c r="C422" s="528">
        <v>43011</v>
      </c>
      <c r="D422" s="198" t="s">
        <v>2490</v>
      </c>
      <c r="E422" s="53" t="s">
        <v>1396</v>
      </c>
      <c r="F422" s="198" t="s">
        <v>3796</v>
      </c>
      <c r="G422" s="3" t="s">
        <v>368</v>
      </c>
      <c r="H422" s="53" t="s">
        <v>792</v>
      </c>
      <c r="I422" s="3" t="s">
        <v>1413</v>
      </c>
      <c r="J422" s="4" t="s">
        <v>262</v>
      </c>
      <c r="K422" s="4" t="s">
        <v>365</v>
      </c>
      <c r="L422" s="190" t="s">
        <v>2502</v>
      </c>
      <c r="M422" s="43" t="s">
        <v>2501</v>
      </c>
      <c r="N422" s="255">
        <v>260000</v>
      </c>
      <c r="O422" s="265">
        <v>60</v>
      </c>
      <c r="P422" s="270">
        <v>1</v>
      </c>
      <c r="Q422" s="255">
        <v>156000</v>
      </c>
      <c r="R422" s="283">
        <v>156000</v>
      </c>
      <c r="S422" s="283">
        <v>45182</v>
      </c>
      <c r="T422" s="287">
        <v>0</v>
      </c>
      <c r="U422" s="287">
        <v>1</v>
      </c>
      <c r="V422" s="287">
        <v>0</v>
      </c>
      <c r="W422" s="283">
        <v>15600</v>
      </c>
      <c r="X422" s="283">
        <v>0</v>
      </c>
      <c r="Y422" s="199" t="s">
        <v>1392</v>
      </c>
      <c r="Z422" s="517" t="s">
        <v>5166</v>
      </c>
      <c r="AA422" s="493" t="s">
        <v>1485</v>
      </c>
      <c r="AB422" s="507"/>
    </row>
    <row r="423" spans="2:28" x14ac:dyDescent="0.15">
      <c r="B423" s="330" t="s">
        <v>3259</v>
      </c>
      <c r="C423" s="528">
        <v>43011</v>
      </c>
      <c r="D423" s="198" t="s">
        <v>2493</v>
      </c>
      <c r="E423" s="53" t="s">
        <v>1396</v>
      </c>
      <c r="F423" s="198" t="s">
        <v>3800</v>
      </c>
      <c r="G423" s="3" t="s">
        <v>50</v>
      </c>
      <c r="H423" s="53" t="s">
        <v>381</v>
      </c>
      <c r="I423" s="3" t="s">
        <v>1408</v>
      </c>
      <c r="J423" s="4" t="s">
        <v>271</v>
      </c>
      <c r="K423" s="4" t="s">
        <v>1160</v>
      </c>
      <c r="L423" s="4" t="s">
        <v>2503</v>
      </c>
      <c r="M423" s="43" t="s">
        <v>2504</v>
      </c>
      <c r="N423" s="255">
        <v>213000</v>
      </c>
      <c r="O423" s="265">
        <v>100</v>
      </c>
      <c r="P423" s="270">
        <v>1</v>
      </c>
      <c r="Q423" s="255">
        <v>213000</v>
      </c>
      <c r="R423" s="283">
        <v>213000</v>
      </c>
      <c r="S423" s="283">
        <v>63595</v>
      </c>
      <c r="T423" s="287">
        <v>0</v>
      </c>
      <c r="U423" s="287">
        <v>1</v>
      </c>
      <c r="V423" s="287">
        <v>0</v>
      </c>
      <c r="W423" s="283">
        <v>24576</v>
      </c>
      <c r="X423" s="283">
        <v>0</v>
      </c>
      <c r="Y423" s="199" t="s">
        <v>1392</v>
      </c>
      <c r="Z423" s="517" t="s">
        <v>5166</v>
      </c>
      <c r="AA423" s="493" t="s">
        <v>1485</v>
      </c>
      <c r="AB423" s="507"/>
    </row>
    <row r="424" spans="2:28" x14ac:dyDescent="0.15">
      <c r="B424" s="330" t="s">
        <v>3260</v>
      </c>
      <c r="C424" s="528">
        <v>43014</v>
      </c>
      <c r="D424" s="198" t="s">
        <v>2500</v>
      </c>
      <c r="E424" s="53" t="s">
        <v>1391</v>
      </c>
      <c r="F424" s="198" t="s">
        <v>3809</v>
      </c>
      <c r="G424" s="3" t="s">
        <v>1560</v>
      </c>
      <c r="H424" s="53" t="s">
        <v>780</v>
      </c>
      <c r="I424" s="3" t="s">
        <v>1438</v>
      </c>
      <c r="J424" s="4" t="s">
        <v>295</v>
      </c>
      <c r="K424" s="4" t="s">
        <v>1166</v>
      </c>
      <c r="L424" s="4" t="s">
        <v>1512</v>
      </c>
      <c r="M424" s="43"/>
      <c r="N424" s="255">
        <v>34000</v>
      </c>
      <c r="O424" s="265">
        <v>65</v>
      </c>
      <c r="P424" s="270">
        <v>1</v>
      </c>
      <c r="Q424" s="255">
        <v>22100</v>
      </c>
      <c r="R424" s="283">
        <v>22100</v>
      </c>
      <c r="S424" s="283">
        <v>4950</v>
      </c>
      <c r="T424" s="287">
        <v>0</v>
      </c>
      <c r="U424" s="287">
        <v>0</v>
      </c>
      <c r="V424" s="287">
        <v>0</v>
      </c>
      <c r="W424" s="283">
        <v>2550</v>
      </c>
      <c r="X424" s="283">
        <v>0</v>
      </c>
      <c r="Y424" s="199" t="s">
        <v>1392</v>
      </c>
      <c r="Z424" s="517" t="s">
        <v>5166</v>
      </c>
      <c r="AA424" s="493" t="s">
        <v>1485</v>
      </c>
      <c r="AB424" s="507"/>
    </row>
    <row r="425" spans="2:28" x14ac:dyDescent="0.15">
      <c r="B425" s="330" t="s">
        <v>3261</v>
      </c>
      <c r="C425" s="528">
        <v>43014</v>
      </c>
      <c r="D425" s="198" t="s">
        <v>2505</v>
      </c>
      <c r="E425" s="53" t="s">
        <v>1391</v>
      </c>
      <c r="F425" s="198" t="s">
        <v>3794</v>
      </c>
      <c r="G425" s="3" t="s">
        <v>364</v>
      </c>
      <c r="H425" s="53" t="s">
        <v>486</v>
      </c>
      <c r="I425" s="3" t="s">
        <v>1406</v>
      </c>
      <c r="J425" s="4" t="s">
        <v>297</v>
      </c>
      <c r="K425" s="4" t="s">
        <v>369</v>
      </c>
      <c r="L425" s="4" t="s">
        <v>1484</v>
      </c>
      <c r="M425" s="43"/>
      <c r="N425" s="255">
        <v>200</v>
      </c>
      <c r="O425" s="265">
        <v>50</v>
      </c>
      <c r="P425" s="270">
        <v>100</v>
      </c>
      <c r="Q425" s="255">
        <v>100</v>
      </c>
      <c r="R425" s="283">
        <v>10000</v>
      </c>
      <c r="S425" s="283">
        <v>5700</v>
      </c>
      <c r="T425" s="287">
        <v>0</v>
      </c>
      <c r="U425" s="287">
        <v>0</v>
      </c>
      <c r="V425" s="287">
        <v>0</v>
      </c>
      <c r="W425" s="283">
        <v>1500</v>
      </c>
      <c r="X425" s="283">
        <v>0</v>
      </c>
      <c r="Y425" s="199" t="s">
        <v>1392</v>
      </c>
      <c r="Z425" s="517" t="s">
        <v>5535</v>
      </c>
      <c r="AA425" s="493" t="s">
        <v>1485</v>
      </c>
      <c r="AB425" s="507"/>
    </row>
    <row r="426" spans="2:28" x14ac:dyDescent="0.15">
      <c r="B426" s="330" t="s">
        <v>3262</v>
      </c>
      <c r="C426" s="528">
        <v>43014</v>
      </c>
      <c r="D426" s="198" t="s">
        <v>2506</v>
      </c>
      <c r="E426" s="53" t="s">
        <v>1396</v>
      </c>
      <c r="F426" s="198" t="s">
        <v>3800</v>
      </c>
      <c r="G426" s="3" t="s">
        <v>50</v>
      </c>
      <c r="H426" s="53" t="s">
        <v>381</v>
      </c>
      <c r="I426" s="3" t="s">
        <v>1408</v>
      </c>
      <c r="J426" s="4" t="s">
        <v>265</v>
      </c>
      <c r="K426" s="4" t="s">
        <v>1155</v>
      </c>
      <c r="L426" s="4" t="s">
        <v>1798</v>
      </c>
      <c r="M426" s="43" t="s">
        <v>2507</v>
      </c>
      <c r="N426" s="255">
        <v>390000</v>
      </c>
      <c r="O426" s="265">
        <v>60</v>
      </c>
      <c r="P426" s="270">
        <v>1</v>
      </c>
      <c r="Q426" s="255">
        <v>234000</v>
      </c>
      <c r="R426" s="283">
        <v>234000</v>
      </c>
      <c r="S426" s="283">
        <v>82968</v>
      </c>
      <c r="T426" s="287">
        <v>0</v>
      </c>
      <c r="U426" s="287">
        <v>1</v>
      </c>
      <c r="V426" s="287">
        <v>0</v>
      </c>
      <c r="W426" s="283">
        <v>23400</v>
      </c>
      <c r="X426" s="283">
        <v>0</v>
      </c>
      <c r="Y426" s="199" t="s">
        <v>1392</v>
      </c>
      <c r="Z426" s="517" t="s">
        <v>5166</v>
      </c>
      <c r="AA426" s="493" t="s">
        <v>1485</v>
      </c>
      <c r="AB426" s="507"/>
    </row>
    <row r="427" spans="2:28" x14ac:dyDescent="0.15">
      <c r="B427" s="330" t="s">
        <v>3263</v>
      </c>
      <c r="C427" s="528">
        <v>43014</v>
      </c>
      <c r="D427" s="198" t="s">
        <v>2508</v>
      </c>
      <c r="E427" s="53" t="s">
        <v>1396</v>
      </c>
      <c r="F427" s="198" t="s">
        <v>3799</v>
      </c>
      <c r="G427" s="3" t="s">
        <v>1110</v>
      </c>
      <c r="H427" s="53" t="s">
        <v>802</v>
      </c>
      <c r="I427" s="3" t="s">
        <v>1417</v>
      </c>
      <c r="J427" s="4" t="s">
        <v>271</v>
      </c>
      <c r="K427" s="4" t="s">
        <v>1160</v>
      </c>
      <c r="L427" s="4" t="s">
        <v>2509</v>
      </c>
      <c r="M427" s="43" t="s">
        <v>2510</v>
      </c>
      <c r="N427" s="255">
        <v>177000</v>
      </c>
      <c r="O427" s="265">
        <v>100</v>
      </c>
      <c r="P427" s="270">
        <v>1</v>
      </c>
      <c r="Q427" s="255">
        <v>177000</v>
      </c>
      <c r="R427" s="283">
        <v>177000</v>
      </c>
      <c r="S427" s="283">
        <v>24406</v>
      </c>
      <c r="T427" s="287">
        <v>0</v>
      </c>
      <c r="U427" s="287">
        <v>1</v>
      </c>
      <c r="V427" s="287">
        <v>0</v>
      </c>
      <c r="W427" s="283">
        <v>17700</v>
      </c>
      <c r="X427" s="283">
        <v>0</v>
      </c>
      <c r="Y427" s="199" t="s">
        <v>1392</v>
      </c>
      <c r="Z427" s="517" t="s">
        <v>5167</v>
      </c>
      <c r="AA427" s="493" t="s">
        <v>1485</v>
      </c>
      <c r="AB427" s="507"/>
    </row>
    <row r="428" spans="2:28" x14ac:dyDescent="0.15">
      <c r="B428" s="330" t="s">
        <v>3264</v>
      </c>
      <c r="C428" s="528">
        <v>43014</v>
      </c>
      <c r="D428" s="198" t="s">
        <v>2511</v>
      </c>
      <c r="E428" s="53" t="s">
        <v>1396</v>
      </c>
      <c r="F428" s="198" t="s">
        <v>3799</v>
      </c>
      <c r="G428" s="3" t="s">
        <v>1110</v>
      </c>
      <c r="H428" s="53" t="s">
        <v>802</v>
      </c>
      <c r="I428" s="3" t="s">
        <v>1417</v>
      </c>
      <c r="J428" s="4" t="s">
        <v>268</v>
      </c>
      <c r="K428" s="4" t="s">
        <v>1158</v>
      </c>
      <c r="L428" s="4" t="s">
        <v>2512</v>
      </c>
      <c r="M428" s="43" t="s">
        <v>2513</v>
      </c>
      <c r="N428" s="255">
        <v>153000</v>
      </c>
      <c r="O428" s="265">
        <v>100</v>
      </c>
      <c r="P428" s="270">
        <v>1</v>
      </c>
      <c r="Q428" s="255">
        <v>153000</v>
      </c>
      <c r="R428" s="283">
        <v>153000</v>
      </c>
      <c r="S428" s="283">
        <v>29740</v>
      </c>
      <c r="T428" s="287">
        <v>0</v>
      </c>
      <c r="U428" s="287">
        <v>1</v>
      </c>
      <c r="V428" s="287">
        <v>0</v>
      </c>
      <c r="W428" s="283">
        <v>15300</v>
      </c>
      <c r="X428" s="283">
        <v>0</v>
      </c>
      <c r="Y428" s="199" t="s">
        <v>1392</v>
      </c>
      <c r="Z428" s="517" t="s">
        <v>5540</v>
      </c>
      <c r="AA428" s="493" t="s">
        <v>1485</v>
      </c>
      <c r="AB428" s="507"/>
    </row>
    <row r="429" spans="2:28" x14ac:dyDescent="0.15">
      <c r="B429" s="330" t="s">
        <v>3265</v>
      </c>
      <c r="C429" s="528">
        <v>43014</v>
      </c>
      <c r="D429" s="198" t="s">
        <v>2514</v>
      </c>
      <c r="E429" s="53" t="s">
        <v>1396</v>
      </c>
      <c r="F429" s="198" t="s">
        <v>3800</v>
      </c>
      <c r="G429" s="3" t="s">
        <v>50</v>
      </c>
      <c r="H429" s="53" t="s">
        <v>381</v>
      </c>
      <c r="I429" s="3" t="s">
        <v>1408</v>
      </c>
      <c r="J429" s="4" t="s">
        <v>264</v>
      </c>
      <c r="K429" s="4" t="s">
        <v>538</v>
      </c>
      <c r="L429" s="4" t="s">
        <v>2515</v>
      </c>
      <c r="M429" s="43" t="s">
        <v>2516</v>
      </c>
      <c r="N429" s="255">
        <v>340000</v>
      </c>
      <c r="O429" s="265">
        <v>60</v>
      </c>
      <c r="P429" s="270">
        <v>1</v>
      </c>
      <c r="Q429" s="255">
        <v>204000</v>
      </c>
      <c r="R429" s="283">
        <v>204000</v>
      </c>
      <c r="S429" s="283">
        <v>49590</v>
      </c>
      <c r="T429" s="287">
        <v>0</v>
      </c>
      <c r="U429" s="287">
        <v>1</v>
      </c>
      <c r="V429" s="287">
        <v>0</v>
      </c>
      <c r="W429" s="283">
        <v>20400</v>
      </c>
      <c r="X429" s="283">
        <v>0</v>
      </c>
      <c r="Y429" s="199" t="s">
        <v>1392</v>
      </c>
      <c r="Z429" s="517" t="s">
        <v>5166</v>
      </c>
      <c r="AA429" s="493" t="s">
        <v>1485</v>
      </c>
      <c r="AB429" s="507"/>
    </row>
    <row r="430" spans="2:28" x14ac:dyDescent="0.15">
      <c r="B430" s="330" t="s">
        <v>3266</v>
      </c>
      <c r="C430" s="528">
        <v>43014</v>
      </c>
      <c r="D430" s="198" t="s">
        <v>2517</v>
      </c>
      <c r="E430" s="53" t="s">
        <v>1396</v>
      </c>
      <c r="F430" s="198" t="s">
        <v>3799</v>
      </c>
      <c r="G430" s="3" t="s">
        <v>1110</v>
      </c>
      <c r="H430" s="53" t="s">
        <v>801</v>
      </c>
      <c r="I430" s="3" t="s">
        <v>1920</v>
      </c>
      <c r="J430" s="4" t="s">
        <v>271</v>
      </c>
      <c r="K430" s="4" t="s">
        <v>1160</v>
      </c>
      <c r="L430" s="190" t="s">
        <v>2528</v>
      </c>
      <c r="M430" s="43" t="s">
        <v>2518</v>
      </c>
      <c r="N430" s="255">
        <v>348000</v>
      </c>
      <c r="O430" s="265">
        <v>60</v>
      </c>
      <c r="P430" s="270">
        <v>1</v>
      </c>
      <c r="Q430" s="255">
        <v>208800</v>
      </c>
      <c r="R430" s="283">
        <v>208800</v>
      </c>
      <c r="S430" s="283">
        <v>54884</v>
      </c>
      <c r="T430" s="287">
        <v>0</v>
      </c>
      <c r="U430" s="287">
        <v>1</v>
      </c>
      <c r="V430" s="287">
        <v>0</v>
      </c>
      <c r="W430" s="283">
        <v>20880</v>
      </c>
      <c r="X430" s="283">
        <v>0</v>
      </c>
      <c r="Y430" s="199" t="s">
        <v>1392</v>
      </c>
      <c r="Z430" s="517" t="s">
        <v>5449</v>
      </c>
      <c r="AA430" s="493" t="s">
        <v>1485</v>
      </c>
      <c r="AB430" s="507"/>
    </row>
    <row r="431" spans="2:28" x14ac:dyDescent="0.15">
      <c r="B431" s="330" t="s">
        <v>3267</v>
      </c>
      <c r="C431" s="528">
        <v>43014</v>
      </c>
      <c r="D431" s="198" t="s">
        <v>2521</v>
      </c>
      <c r="E431" s="53" t="s">
        <v>1396</v>
      </c>
      <c r="F431" s="198" t="s">
        <v>3799</v>
      </c>
      <c r="G431" s="3" t="s">
        <v>1110</v>
      </c>
      <c r="H431" s="53" t="s">
        <v>801</v>
      </c>
      <c r="I431" s="3" t="s">
        <v>1920</v>
      </c>
      <c r="J431" s="4" t="s">
        <v>271</v>
      </c>
      <c r="K431" s="4" t="s">
        <v>1160</v>
      </c>
      <c r="L431" s="4" t="s">
        <v>2519</v>
      </c>
      <c r="M431" s="43" t="s">
        <v>2520</v>
      </c>
      <c r="N431" s="255">
        <v>348000</v>
      </c>
      <c r="O431" s="265">
        <v>60</v>
      </c>
      <c r="P431" s="270">
        <v>1</v>
      </c>
      <c r="Q431" s="255">
        <v>208800</v>
      </c>
      <c r="R431" s="283">
        <v>208800</v>
      </c>
      <c r="S431" s="283">
        <v>54884</v>
      </c>
      <c r="T431" s="287">
        <v>0</v>
      </c>
      <c r="U431" s="287">
        <v>1</v>
      </c>
      <c r="V431" s="287">
        <v>0</v>
      </c>
      <c r="W431" s="283">
        <v>20880</v>
      </c>
      <c r="X431" s="283">
        <v>0</v>
      </c>
      <c r="Y431" s="199" t="s">
        <v>1392</v>
      </c>
      <c r="Z431" s="517" t="s">
        <v>5546</v>
      </c>
      <c r="AA431" s="493" t="s">
        <v>1485</v>
      </c>
      <c r="AB431" s="507"/>
    </row>
    <row r="432" spans="2:28" x14ac:dyDescent="0.15">
      <c r="B432" s="330" t="s">
        <v>3268</v>
      </c>
      <c r="C432" s="528">
        <v>43014</v>
      </c>
      <c r="D432" s="198" t="s">
        <v>2521</v>
      </c>
      <c r="E432" s="53" t="s">
        <v>1396</v>
      </c>
      <c r="F432" s="198" t="s">
        <v>3799</v>
      </c>
      <c r="G432" s="3" t="s">
        <v>1110</v>
      </c>
      <c r="H432" s="53" t="s">
        <v>801</v>
      </c>
      <c r="I432" s="3" t="s">
        <v>1920</v>
      </c>
      <c r="J432" s="4" t="s">
        <v>271</v>
      </c>
      <c r="K432" s="4" t="s">
        <v>1160</v>
      </c>
      <c r="L432" s="4" t="s">
        <v>2522</v>
      </c>
      <c r="M432" s="191" t="s">
        <v>2523</v>
      </c>
      <c r="N432" s="255">
        <v>348000</v>
      </c>
      <c r="O432" s="265">
        <v>60</v>
      </c>
      <c r="P432" s="270">
        <v>1</v>
      </c>
      <c r="Q432" s="255">
        <v>208800</v>
      </c>
      <c r="R432" s="283">
        <v>208800</v>
      </c>
      <c r="S432" s="283">
        <v>54884</v>
      </c>
      <c r="T432" s="287">
        <v>0</v>
      </c>
      <c r="U432" s="287">
        <v>1</v>
      </c>
      <c r="V432" s="287">
        <v>0</v>
      </c>
      <c r="W432" s="283">
        <v>20880</v>
      </c>
      <c r="X432" s="283">
        <v>0</v>
      </c>
      <c r="Y432" s="199" t="s">
        <v>1392</v>
      </c>
      <c r="Z432" s="517" t="s">
        <v>5449</v>
      </c>
      <c r="AA432" s="493" t="s">
        <v>1485</v>
      </c>
      <c r="AB432" s="507"/>
    </row>
    <row r="433" spans="2:28" x14ac:dyDescent="0.15">
      <c r="B433" s="330" t="s">
        <v>3269</v>
      </c>
      <c r="C433" s="528">
        <v>43014</v>
      </c>
      <c r="D433" s="198" t="s">
        <v>2521</v>
      </c>
      <c r="E433" s="53" t="s">
        <v>1396</v>
      </c>
      <c r="F433" s="198" t="s">
        <v>3799</v>
      </c>
      <c r="G433" s="3" t="s">
        <v>1110</v>
      </c>
      <c r="H433" s="53" t="s">
        <v>801</v>
      </c>
      <c r="I433" s="3" t="s">
        <v>1920</v>
      </c>
      <c r="J433" s="4" t="s">
        <v>270</v>
      </c>
      <c r="K433" s="4" t="s">
        <v>539</v>
      </c>
      <c r="L433" s="4" t="s">
        <v>2524</v>
      </c>
      <c r="M433" s="43" t="s">
        <v>2525</v>
      </c>
      <c r="N433" s="255">
        <v>166800</v>
      </c>
      <c r="O433" s="265">
        <v>100</v>
      </c>
      <c r="P433" s="270">
        <v>1</v>
      </c>
      <c r="Q433" s="255">
        <v>166800</v>
      </c>
      <c r="R433" s="283">
        <v>166800</v>
      </c>
      <c r="S433" s="283">
        <v>30779</v>
      </c>
      <c r="T433" s="287">
        <v>0</v>
      </c>
      <c r="U433" s="287">
        <v>1</v>
      </c>
      <c r="V433" s="287">
        <v>0</v>
      </c>
      <c r="W433" s="283">
        <v>16680</v>
      </c>
      <c r="X433" s="283">
        <v>0</v>
      </c>
      <c r="Y433" s="199" t="s">
        <v>1392</v>
      </c>
      <c r="Z433" s="517" t="s">
        <v>5449</v>
      </c>
      <c r="AA433" s="493" t="s">
        <v>1485</v>
      </c>
      <c r="AB433" s="507"/>
    </row>
    <row r="434" spans="2:28" x14ac:dyDescent="0.15">
      <c r="B434" s="330" t="s">
        <v>3270</v>
      </c>
      <c r="C434" s="528">
        <v>43014</v>
      </c>
      <c r="D434" s="198" t="s">
        <v>2521</v>
      </c>
      <c r="E434" s="53" t="s">
        <v>1396</v>
      </c>
      <c r="F434" s="198" t="s">
        <v>3799</v>
      </c>
      <c r="G434" s="3" t="s">
        <v>1110</v>
      </c>
      <c r="H434" s="53" t="s">
        <v>801</v>
      </c>
      <c r="I434" s="3" t="s">
        <v>1920</v>
      </c>
      <c r="J434" s="4" t="s">
        <v>270</v>
      </c>
      <c r="K434" s="4" t="s">
        <v>539</v>
      </c>
      <c r="L434" s="4" t="s">
        <v>2526</v>
      </c>
      <c r="M434" s="43" t="s">
        <v>2527</v>
      </c>
      <c r="N434" s="255">
        <v>318000</v>
      </c>
      <c r="O434" s="265">
        <v>60</v>
      </c>
      <c r="P434" s="270">
        <v>1</v>
      </c>
      <c r="Q434" s="255">
        <v>190800</v>
      </c>
      <c r="R434" s="283">
        <v>190800</v>
      </c>
      <c r="S434" s="283">
        <v>50182</v>
      </c>
      <c r="T434" s="287">
        <v>0</v>
      </c>
      <c r="U434" s="287">
        <v>1</v>
      </c>
      <c r="V434" s="287">
        <v>0</v>
      </c>
      <c r="W434" s="283">
        <v>19080</v>
      </c>
      <c r="X434" s="283">
        <v>0</v>
      </c>
      <c r="Y434" s="199" t="s">
        <v>1392</v>
      </c>
      <c r="Z434" s="517" t="s">
        <v>5449</v>
      </c>
      <c r="AA434" s="493" t="s">
        <v>1485</v>
      </c>
      <c r="AB434" s="507"/>
    </row>
    <row r="435" spans="2:28" x14ac:dyDescent="0.15">
      <c r="B435" s="330" t="s">
        <v>3271</v>
      </c>
      <c r="C435" s="528">
        <v>43015</v>
      </c>
      <c r="D435" s="198" t="s">
        <v>2529</v>
      </c>
      <c r="E435" s="53" t="s">
        <v>1396</v>
      </c>
      <c r="F435" s="198" t="s">
        <v>3793</v>
      </c>
      <c r="G435" s="3" t="s">
        <v>1111</v>
      </c>
      <c r="H435" s="53" t="s">
        <v>1425</v>
      </c>
      <c r="I435" s="3" t="s">
        <v>1426</v>
      </c>
      <c r="J435" s="4" t="s">
        <v>271</v>
      </c>
      <c r="K435" s="4" t="s">
        <v>1160</v>
      </c>
      <c r="L435" s="4" t="s">
        <v>1964</v>
      </c>
      <c r="M435" s="43" t="s">
        <v>2530</v>
      </c>
      <c r="N435" s="255">
        <v>225000</v>
      </c>
      <c r="O435" s="265">
        <v>100</v>
      </c>
      <c r="P435" s="270">
        <v>1</v>
      </c>
      <c r="Q435" s="255">
        <v>225000</v>
      </c>
      <c r="R435" s="283">
        <v>225000</v>
      </c>
      <c r="S435" s="283">
        <v>72924</v>
      </c>
      <c r="T435" s="287">
        <v>0</v>
      </c>
      <c r="U435" s="287">
        <v>1</v>
      </c>
      <c r="V435" s="287">
        <v>0</v>
      </c>
      <c r="W435" s="283">
        <v>25961</v>
      </c>
      <c r="X435" s="283">
        <v>0</v>
      </c>
      <c r="Y435" s="199" t="s">
        <v>1392</v>
      </c>
      <c r="Z435" s="517" t="s">
        <v>5532</v>
      </c>
      <c r="AA435" s="493" t="s">
        <v>1485</v>
      </c>
      <c r="AB435" s="507"/>
    </row>
    <row r="436" spans="2:28" x14ac:dyDescent="0.15">
      <c r="B436" s="330" t="s">
        <v>3272</v>
      </c>
      <c r="C436" s="528">
        <v>43015</v>
      </c>
      <c r="D436" s="198" t="s">
        <v>2533</v>
      </c>
      <c r="E436" s="53" t="s">
        <v>1396</v>
      </c>
      <c r="F436" s="198" t="s">
        <v>3793</v>
      </c>
      <c r="G436" s="3" t="s">
        <v>1111</v>
      </c>
      <c r="H436" s="53" t="s">
        <v>1425</v>
      </c>
      <c r="I436" s="3" t="s">
        <v>1426</v>
      </c>
      <c r="J436" s="4" t="s">
        <v>264</v>
      </c>
      <c r="K436" s="4" t="s">
        <v>538</v>
      </c>
      <c r="L436" s="4" t="s">
        <v>2531</v>
      </c>
      <c r="M436" s="43" t="s">
        <v>2532</v>
      </c>
      <c r="N436" s="255">
        <v>340000</v>
      </c>
      <c r="O436" s="265">
        <v>65</v>
      </c>
      <c r="P436" s="270">
        <v>1</v>
      </c>
      <c r="Q436" s="255">
        <v>221000</v>
      </c>
      <c r="R436" s="283">
        <v>221000</v>
      </c>
      <c r="S436" s="283">
        <v>61490</v>
      </c>
      <c r="T436" s="287">
        <v>0</v>
      </c>
      <c r="U436" s="287">
        <v>1</v>
      </c>
      <c r="V436" s="287">
        <v>0</v>
      </c>
      <c r="W436" s="283">
        <v>25500</v>
      </c>
      <c r="X436" s="283">
        <v>0</v>
      </c>
      <c r="Y436" s="199" t="s">
        <v>1392</v>
      </c>
      <c r="Z436" s="517" t="s">
        <v>5543</v>
      </c>
      <c r="AA436" s="493" t="s">
        <v>1485</v>
      </c>
      <c r="AB436" s="507"/>
    </row>
    <row r="437" spans="2:28" x14ac:dyDescent="0.15">
      <c r="B437" s="330" t="s">
        <v>3273</v>
      </c>
      <c r="C437" s="528">
        <v>43015</v>
      </c>
      <c r="D437" s="198" t="s">
        <v>2535</v>
      </c>
      <c r="E437" s="53" t="s">
        <v>1396</v>
      </c>
      <c r="F437" s="198" t="s">
        <v>3799</v>
      </c>
      <c r="G437" s="3" t="s">
        <v>1110</v>
      </c>
      <c r="H437" s="53" t="s">
        <v>801</v>
      </c>
      <c r="I437" s="3" t="s">
        <v>1920</v>
      </c>
      <c r="J437" s="4" t="s">
        <v>264</v>
      </c>
      <c r="K437" s="4" t="s">
        <v>538</v>
      </c>
      <c r="L437" s="4" t="s">
        <v>2536</v>
      </c>
      <c r="M437" s="43" t="s">
        <v>2537</v>
      </c>
      <c r="N437" s="255">
        <v>280000</v>
      </c>
      <c r="O437" s="265">
        <v>60</v>
      </c>
      <c r="P437" s="270">
        <v>1</v>
      </c>
      <c r="Q437" s="255">
        <v>168000</v>
      </c>
      <c r="R437" s="283">
        <v>168000</v>
      </c>
      <c r="S437" s="283">
        <v>39661</v>
      </c>
      <c r="T437" s="287">
        <v>0</v>
      </c>
      <c r="U437" s="287">
        <v>1</v>
      </c>
      <c r="V437" s="287">
        <v>0</v>
      </c>
      <c r="W437" s="283">
        <v>16800</v>
      </c>
      <c r="X437" s="283">
        <v>0</v>
      </c>
      <c r="Y437" s="199" t="s">
        <v>1392</v>
      </c>
      <c r="Z437" s="517" t="s">
        <v>5449</v>
      </c>
      <c r="AA437" s="493" t="s">
        <v>1485</v>
      </c>
      <c r="AB437" s="507"/>
    </row>
    <row r="438" spans="2:28" x14ac:dyDescent="0.15">
      <c r="B438" s="330" t="s">
        <v>3274</v>
      </c>
      <c r="C438" s="528">
        <v>43015</v>
      </c>
      <c r="D438" s="198" t="s">
        <v>2538</v>
      </c>
      <c r="E438" s="53" t="s">
        <v>1396</v>
      </c>
      <c r="F438" s="198" t="s">
        <v>3800</v>
      </c>
      <c r="G438" s="3" t="s">
        <v>50</v>
      </c>
      <c r="H438" s="53" t="s">
        <v>381</v>
      </c>
      <c r="I438" s="3" t="s">
        <v>1408</v>
      </c>
      <c r="J438" s="4" t="s">
        <v>264</v>
      </c>
      <c r="K438" s="4" t="s">
        <v>538</v>
      </c>
      <c r="L438" s="4" t="s">
        <v>2539</v>
      </c>
      <c r="M438" s="43" t="s">
        <v>2540</v>
      </c>
      <c r="N438" s="255">
        <v>320000</v>
      </c>
      <c r="O438" s="265">
        <v>60</v>
      </c>
      <c r="P438" s="270">
        <v>1</v>
      </c>
      <c r="Q438" s="255">
        <v>192000</v>
      </c>
      <c r="R438" s="283">
        <v>192000</v>
      </c>
      <c r="S438" s="283">
        <v>64498</v>
      </c>
      <c r="T438" s="287">
        <v>0</v>
      </c>
      <c r="U438" s="287">
        <v>1</v>
      </c>
      <c r="V438" s="287">
        <v>0</v>
      </c>
      <c r="W438" s="283">
        <v>19200</v>
      </c>
      <c r="X438" s="283">
        <v>0</v>
      </c>
      <c r="Y438" s="199" t="s">
        <v>1392</v>
      </c>
      <c r="Z438" s="517" t="s">
        <v>5166</v>
      </c>
      <c r="AA438" s="493" t="s">
        <v>1485</v>
      </c>
      <c r="AB438" s="507"/>
    </row>
    <row r="439" spans="2:28" x14ac:dyDescent="0.15">
      <c r="B439" s="330" t="s">
        <v>3275</v>
      </c>
      <c r="C439" s="528">
        <v>43015</v>
      </c>
      <c r="D439" s="198" t="s">
        <v>2541</v>
      </c>
      <c r="E439" s="53" t="s">
        <v>1391</v>
      </c>
      <c r="F439" s="198" t="s">
        <v>3794</v>
      </c>
      <c r="G439" s="3" t="s">
        <v>364</v>
      </c>
      <c r="H439" s="53" t="s">
        <v>455</v>
      </c>
      <c r="I439" s="3" t="s">
        <v>1404</v>
      </c>
      <c r="J439" s="3" t="s">
        <v>295</v>
      </c>
      <c r="K439" s="3" t="s">
        <v>1166</v>
      </c>
      <c r="L439" s="197" t="s">
        <v>2544</v>
      </c>
      <c r="M439" s="53"/>
      <c r="N439" s="258">
        <v>23000</v>
      </c>
      <c r="O439" s="266">
        <v>65</v>
      </c>
      <c r="P439" s="272">
        <v>1</v>
      </c>
      <c r="Q439" s="258">
        <v>14950</v>
      </c>
      <c r="R439" s="286">
        <v>14950</v>
      </c>
      <c r="S439" s="286">
        <v>4985</v>
      </c>
      <c r="T439" s="288">
        <v>0</v>
      </c>
      <c r="U439" s="288">
        <v>0</v>
      </c>
      <c r="V439" s="288">
        <v>0</v>
      </c>
      <c r="W439" s="286">
        <v>1725</v>
      </c>
      <c r="X439" s="286">
        <v>0</v>
      </c>
      <c r="Y439" s="200" t="s">
        <v>1392</v>
      </c>
      <c r="Z439" s="517" t="s">
        <v>5543</v>
      </c>
      <c r="AA439" s="499" t="s">
        <v>1485</v>
      </c>
      <c r="AB439" s="508"/>
    </row>
    <row r="440" spans="2:28" x14ac:dyDescent="0.15">
      <c r="B440" s="330" t="s">
        <v>3276</v>
      </c>
      <c r="C440" s="528">
        <v>43015</v>
      </c>
      <c r="D440" s="198" t="s">
        <v>2543</v>
      </c>
      <c r="E440" s="53" t="s">
        <v>1391</v>
      </c>
      <c r="F440" s="198" t="s">
        <v>3794</v>
      </c>
      <c r="G440" s="3" t="s">
        <v>364</v>
      </c>
      <c r="H440" s="53" t="s">
        <v>455</v>
      </c>
      <c r="I440" s="3" t="s">
        <v>1404</v>
      </c>
      <c r="J440" s="3" t="s">
        <v>296</v>
      </c>
      <c r="K440" s="3" t="s">
        <v>1167</v>
      </c>
      <c r="L440" s="3" t="s">
        <v>2542</v>
      </c>
      <c r="M440" s="53"/>
      <c r="N440" s="258">
        <v>3500</v>
      </c>
      <c r="O440" s="266">
        <v>65</v>
      </c>
      <c r="P440" s="272">
        <v>1</v>
      </c>
      <c r="Q440" s="258">
        <v>2275</v>
      </c>
      <c r="R440" s="286">
        <v>2275</v>
      </c>
      <c r="S440" s="286">
        <v>865</v>
      </c>
      <c r="T440" s="288">
        <v>0</v>
      </c>
      <c r="U440" s="288">
        <v>0</v>
      </c>
      <c r="V440" s="288">
        <v>0</v>
      </c>
      <c r="W440" s="286">
        <v>210</v>
      </c>
      <c r="X440" s="286">
        <v>0</v>
      </c>
      <c r="Y440" s="200" t="s">
        <v>1392</v>
      </c>
      <c r="Z440" s="517" t="s">
        <v>5542</v>
      </c>
      <c r="AA440" s="499" t="s">
        <v>1485</v>
      </c>
      <c r="AB440" s="508"/>
    </row>
    <row r="441" spans="2:28" x14ac:dyDescent="0.15">
      <c r="B441" s="330" t="s">
        <v>3277</v>
      </c>
      <c r="C441" s="528">
        <v>43019</v>
      </c>
      <c r="D441" s="198" t="s">
        <v>2534</v>
      </c>
      <c r="E441" s="53" t="s">
        <v>1396</v>
      </c>
      <c r="F441" s="198" t="s">
        <v>3793</v>
      </c>
      <c r="G441" s="3" t="s">
        <v>1111</v>
      </c>
      <c r="H441" s="53" t="s">
        <v>1425</v>
      </c>
      <c r="I441" s="3" t="s">
        <v>1426</v>
      </c>
      <c r="J441" s="3" t="s">
        <v>264</v>
      </c>
      <c r="K441" s="3" t="s">
        <v>538</v>
      </c>
      <c r="L441" s="3" t="s">
        <v>1445</v>
      </c>
      <c r="M441" s="53"/>
      <c r="N441" s="258">
        <v>300000</v>
      </c>
      <c r="O441" s="266">
        <v>60</v>
      </c>
      <c r="P441" s="272">
        <v>-1</v>
      </c>
      <c r="Q441" s="258">
        <v>180000</v>
      </c>
      <c r="R441" s="286">
        <v>-180000</v>
      </c>
      <c r="S441" s="286">
        <v>-55906</v>
      </c>
      <c r="T441" s="288">
        <v>0</v>
      </c>
      <c r="U441" s="288">
        <v>-1</v>
      </c>
      <c r="V441" s="288">
        <v>0</v>
      </c>
      <c r="W441" s="286">
        <v>-18000</v>
      </c>
      <c r="X441" s="286">
        <v>0</v>
      </c>
      <c r="Y441" s="200" t="s">
        <v>1392</v>
      </c>
      <c r="Z441" s="517" t="s">
        <v>5166</v>
      </c>
      <c r="AA441" s="499" t="s">
        <v>1485</v>
      </c>
      <c r="AB441" s="508"/>
    </row>
    <row r="442" spans="2:28" x14ac:dyDescent="0.15">
      <c r="B442" s="330" t="s">
        <v>3278</v>
      </c>
      <c r="C442" s="528">
        <v>43019</v>
      </c>
      <c r="D442" s="198" t="s">
        <v>2545</v>
      </c>
      <c r="E442" s="53" t="s">
        <v>1396</v>
      </c>
      <c r="F442" s="198" t="s">
        <v>3800</v>
      </c>
      <c r="G442" s="3" t="s">
        <v>50</v>
      </c>
      <c r="H442" s="53" t="s">
        <v>381</v>
      </c>
      <c r="I442" s="3" t="s">
        <v>1408</v>
      </c>
      <c r="J442" s="4" t="s">
        <v>264</v>
      </c>
      <c r="K442" s="4" t="s">
        <v>538</v>
      </c>
      <c r="L442" s="4" t="s">
        <v>2539</v>
      </c>
      <c r="M442" s="43" t="s">
        <v>2540</v>
      </c>
      <c r="N442" s="255">
        <v>320000</v>
      </c>
      <c r="O442" s="265">
        <v>60</v>
      </c>
      <c r="P442" s="270">
        <v>-1</v>
      </c>
      <c r="Q442" s="255">
        <v>192000</v>
      </c>
      <c r="R442" s="283">
        <v>-192000</v>
      </c>
      <c r="S442" s="283">
        <v>-64498</v>
      </c>
      <c r="T442" s="287">
        <v>0</v>
      </c>
      <c r="U442" s="287">
        <v>-1</v>
      </c>
      <c r="V442" s="287">
        <v>0</v>
      </c>
      <c r="W442" s="283">
        <v>-19200</v>
      </c>
      <c r="X442" s="283">
        <v>0</v>
      </c>
      <c r="Y442" s="199" t="s">
        <v>1392</v>
      </c>
      <c r="Z442" s="517" t="s">
        <v>5532</v>
      </c>
      <c r="AA442" s="493" t="s">
        <v>1485</v>
      </c>
      <c r="AB442" s="507"/>
    </row>
    <row r="443" spans="2:28" x14ac:dyDescent="0.15">
      <c r="B443" s="330" t="s">
        <v>3279</v>
      </c>
      <c r="C443" s="528">
        <v>43020</v>
      </c>
      <c r="D443" s="198" t="s">
        <v>2550</v>
      </c>
      <c r="E443" s="53" t="s">
        <v>1396</v>
      </c>
      <c r="F443" s="198" t="s">
        <v>3800</v>
      </c>
      <c r="G443" s="3" t="s">
        <v>50</v>
      </c>
      <c r="H443" s="53" t="s">
        <v>379</v>
      </c>
      <c r="I443" s="3" t="s">
        <v>2551</v>
      </c>
      <c r="J443" s="4" t="s">
        <v>270</v>
      </c>
      <c r="K443" s="4" t="s">
        <v>539</v>
      </c>
      <c r="L443" s="4" t="s">
        <v>2471</v>
      </c>
      <c r="M443" s="43" t="s">
        <v>2472</v>
      </c>
      <c r="N443" s="255">
        <v>283000</v>
      </c>
      <c r="O443" s="265">
        <v>60</v>
      </c>
      <c r="P443" s="270">
        <v>-1</v>
      </c>
      <c r="Q443" s="255">
        <v>169800</v>
      </c>
      <c r="R443" s="283">
        <v>-169800</v>
      </c>
      <c r="S443" s="283">
        <v>-45971</v>
      </c>
      <c r="T443" s="287">
        <v>0</v>
      </c>
      <c r="U443" s="287">
        <v>-1</v>
      </c>
      <c r="V443" s="287">
        <v>0</v>
      </c>
      <c r="W443" s="283">
        <v>-16980</v>
      </c>
      <c r="X443" s="283">
        <v>0</v>
      </c>
      <c r="Y443" s="199" t="s">
        <v>1392</v>
      </c>
      <c r="Z443" s="517" t="s">
        <v>5166</v>
      </c>
      <c r="AA443" s="493" t="s">
        <v>1485</v>
      </c>
      <c r="AB443" s="507"/>
    </row>
    <row r="444" spans="2:28" x14ac:dyDescent="0.15">
      <c r="B444" s="330" t="s">
        <v>3280</v>
      </c>
      <c r="C444" s="528">
        <v>43020</v>
      </c>
      <c r="D444" s="198" t="s">
        <v>2553</v>
      </c>
      <c r="E444" s="53" t="s">
        <v>1391</v>
      </c>
      <c r="F444" s="198" t="s">
        <v>3805</v>
      </c>
      <c r="G444" s="3" t="s">
        <v>1113</v>
      </c>
      <c r="H444" s="53"/>
      <c r="I444" s="3"/>
      <c r="J444" s="4" t="s">
        <v>298</v>
      </c>
      <c r="K444" s="4" t="s">
        <v>1168</v>
      </c>
      <c r="L444" s="4" t="s">
        <v>2554</v>
      </c>
      <c r="M444" s="43"/>
      <c r="N444" s="255">
        <v>157</v>
      </c>
      <c r="O444" s="265">
        <v>100</v>
      </c>
      <c r="P444" s="270">
        <v>40</v>
      </c>
      <c r="Q444" s="255">
        <v>157</v>
      </c>
      <c r="R444" s="283">
        <v>6280</v>
      </c>
      <c r="S444" s="283">
        <v>280</v>
      </c>
      <c r="T444" s="287">
        <v>0</v>
      </c>
      <c r="U444" s="287">
        <v>0</v>
      </c>
      <c r="V444" s="287">
        <v>0</v>
      </c>
      <c r="W444" s="283">
        <v>0</v>
      </c>
      <c r="X444" s="283">
        <v>0</v>
      </c>
      <c r="Y444" s="199" t="s">
        <v>1395</v>
      </c>
      <c r="Z444" s="517" t="s">
        <v>5166</v>
      </c>
      <c r="AA444" s="493" t="s">
        <v>1485</v>
      </c>
      <c r="AB444" s="507"/>
    </row>
    <row r="445" spans="2:28" x14ac:dyDescent="0.15">
      <c r="B445" s="330" t="s">
        <v>3281</v>
      </c>
      <c r="C445" s="527">
        <v>43020</v>
      </c>
      <c r="D445" s="191" t="s">
        <v>3514</v>
      </c>
      <c r="E445" s="43" t="s">
        <v>2382</v>
      </c>
      <c r="F445" s="375" t="s">
        <v>3818</v>
      </c>
      <c r="G445" s="4" t="s">
        <v>2375</v>
      </c>
      <c r="H445" s="43"/>
      <c r="I445" s="4" t="s">
        <v>3515</v>
      </c>
      <c r="J445" s="4" t="s">
        <v>268</v>
      </c>
      <c r="K445" s="4" t="s">
        <v>1158</v>
      </c>
      <c r="L445" s="4" t="s">
        <v>3516</v>
      </c>
      <c r="M445" s="43" t="s">
        <v>3517</v>
      </c>
      <c r="N445" s="255">
        <v>355000</v>
      </c>
      <c r="O445" s="265">
        <v>100</v>
      </c>
      <c r="P445" s="270">
        <v>1</v>
      </c>
      <c r="Q445" s="255">
        <v>355000</v>
      </c>
      <c r="R445" s="283">
        <v>355000</v>
      </c>
      <c r="S445" s="283">
        <v>203399</v>
      </c>
      <c r="T445" s="287">
        <v>1</v>
      </c>
      <c r="U445" s="287">
        <v>0</v>
      </c>
      <c r="V445" s="287">
        <v>0</v>
      </c>
      <c r="W445" s="283">
        <v>0</v>
      </c>
      <c r="X445" s="283">
        <v>0</v>
      </c>
      <c r="Y445" s="199" t="s">
        <v>1395</v>
      </c>
      <c r="Z445" s="517" t="s">
        <v>5547</v>
      </c>
      <c r="AA445" s="493"/>
      <c r="AB445" s="507"/>
    </row>
    <row r="446" spans="2:28" x14ac:dyDescent="0.15">
      <c r="B446" s="330" t="s">
        <v>3282</v>
      </c>
      <c r="C446" s="528">
        <v>43021</v>
      </c>
      <c r="D446" s="198" t="s">
        <v>2555</v>
      </c>
      <c r="E446" s="53" t="s">
        <v>1391</v>
      </c>
      <c r="F446" s="198" t="s">
        <v>3794</v>
      </c>
      <c r="G446" s="3" t="s">
        <v>364</v>
      </c>
      <c r="H446" s="53" t="s">
        <v>497</v>
      </c>
      <c r="I446" s="3" t="s">
        <v>2381</v>
      </c>
      <c r="J446" s="4" t="s">
        <v>268</v>
      </c>
      <c r="K446" s="4" t="s">
        <v>1158</v>
      </c>
      <c r="L446" s="4" t="s">
        <v>1577</v>
      </c>
      <c r="M446" s="43" t="s">
        <v>2556</v>
      </c>
      <c r="N446" s="255">
        <v>260000</v>
      </c>
      <c r="O446" s="265">
        <v>65</v>
      </c>
      <c r="P446" s="270">
        <v>1</v>
      </c>
      <c r="Q446" s="255">
        <v>169000</v>
      </c>
      <c r="R446" s="283">
        <v>169000</v>
      </c>
      <c r="S446" s="283">
        <v>59992</v>
      </c>
      <c r="T446" s="287">
        <v>0</v>
      </c>
      <c r="U446" s="287">
        <v>1</v>
      </c>
      <c r="V446" s="287">
        <v>0</v>
      </c>
      <c r="W446" s="283">
        <v>19500</v>
      </c>
      <c r="X446" s="283">
        <v>0</v>
      </c>
      <c r="Y446" s="199" t="s">
        <v>1392</v>
      </c>
      <c r="Z446" s="517" t="s">
        <v>5167</v>
      </c>
      <c r="AA446" s="493" t="s">
        <v>1485</v>
      </c>
      <c r="AB446" s="507"/>
    </row>
    <row r="447" spans="2:28" x14ac:dyDescent="0.15">
      <c r="B447" s="330" t="s">
        <v>3283</v>
      </c>
      <c r="C447" s="528">
        <v>43021</v>
      </c>
      <c r="D447" s="198" t="s">
        <v>2557</v>
      </c>
      <c r="E447" s="53" t="s">
        <v>1396</v>
      </c>
      <c r="F447" s="198" t="s">
        <v>3799</v>
      </c>
      <c r="G447" s="3" t="s">
        <v>1110</v>
      </c>
      <c r="H447" s="53" t="s">
        <v>801</v>
      </c>
      <c r="I447" s="3" t="s">
        <v>1920</v>
      </c>
      <c r="J447" s="4" t="s">
        <v>272</v>
      </c>
      <c r="K447" s="4" t="s">
        <v>363</v>
      </c>
      <c r="L447" s="4" t="s">
        <v>2558</v>
      </c>
      <c r="M447" s="191" t="s">
        <v>2559</v>
      </c>
      <c r="N447" s="255">
        <v>150000</v>
      </c>
      <c r="O447" s="265">
        <v>100</v>
      </c>
      <c r="P447" s="270">
        <v>1</v>
      </c>
      <c r="Q447" s="255">
        <v>150000</v>
      </c>
      <c r="R447" s="283">
        <v>150000</v>
      </c>
      <c r="S447" s="283">
        <v>30573</v>
      </c>
      <c r="T447" s="287">
        <v>0</v>
      </c>
      <c r="U447" s="287">
        <v>1</v>
      </c>
      <c r="V447" s="287">
        <v>0</v>
      </c>
      <c r="W447" s="283">
        <v>15000</v>
      </c>
      <c r="X447" s="283">
        <v>0</v>
      </c>
      <c r="Y447" s="199" t="s">
        <v>1392</v>
      </c>
      <c r="Z447" s="517" t="s">
        <v>5449</v>
      </c>
      <c r="AA447" s="493" t="s">
        <v>1485</v>
      </c>
      <c r="AB447" s="507"/>
    </row>
    <row r="448" spans="2:28" x14ac:dyDescent="0.15">
      <c r="B448" s="330" t="s">
        <v>3284</v>
      </c>
      <c r="C448" s="527">
        <v>43021</v>
      </c>
      <c r="D448" s="191" t="s">
        <v>2563</v>
      </c>
      <c r="E448" s="43" t="s">
        <v>1391</v>
      </c>
      <c r="F448" s="191" t="s">
        <v>3797</v>
      </c>
      <c r="G448" s="4" t="s">
        <v>362</v>
      </c>
      <c r="H448" s="43" t="s">
        <v>689</v>
      </c>
      <c r="I448" s="4" t="s">
        <v>1394</v>
      </c>
      <c r="J448" s="4" t="s">
        <v>271</v>
      </c>
      <c r="K448" s="4" t="s">
        <v>1160</v>
      </c>
      <c r="L448" s="4" t="s">
        <v>2564</v>
      </c>
      <c r="M448" s="43" t="s">
        <v>2565</v>
      </c>
      <c r="N448" s="255">
        <v>417000</v>
      </c>
      <c r="O448" s="265">
        <v>55</v>
      </c>
      <c r="P448" s="270">
        <v>1</v>
      </c>
      <c r="Q448" s="255">
        <v>229350</v>
      </c>
      <c r="R448" s="283">
        <v>229350</v>
      </c>
      <c r="S448" s="283">
        <v>92916</v>
      </c>
      <c r="T448" s="287">
        <v>1</v>
      </c>
      <c r="U448" s="287">
        <v>0</v>
      </c>
      <c r="V448" s="287">
        <v>0</v>
      </c>
      <c r="W448" s="283">
        <v>0</v>
      </c>
      <c r="X448" s="283">
        <v>0</v>
      </c>
      <c r="Y448" s="199" t="s">
        <v>1395</v>
      </c>
      <c r="Z448" s="517" t="s">
        <v>5166</v>
      </c>
      <c r="AA448" s="493" t="s">
        <v>1485</v>
      </c>
      <c r="AB448" s="507"/>
    </row>
    <row r="449" spans="2:28" x14ac:dyDescent="0.15">
      <c r="B449" s="330" t="s">
        <v>3285</v>
      </c>
      <c r="C449" s="527">
        <v>43021</v>
      </c>
      <c r="D449" s="191" t="s">
        <v>2569</v>
      </c>
      <c r="E449" s="43" t="s">
        <v>1396</v>
      </c>
      <c r="F449" s="191" t="s">
        <v>3796</v>
      </c>
      <c r="G449" s="4" t="s">
        <v>368</v>
      </c>
      <c r="H449" s="43" t="s">
        <v>792</v>
      </c>
      <c r="I449" s="4" t="s">
        <v>1413</v>
      </c>
      <c r="J449" s="4" t="s">
        <v>295</v>
      </c>
      <c r="K449" s="4" t="s">
        <v>1166</v>
      </c>
      <c r="L449" s="4" t="s">
        <v>1512</v>
      </c>
      <c r="M449" s="43"/>
      <c r="N449" s="255">
        <v>34000</v>
      </c>
      <c r="O449" s="265">
        <v>65</v>
      </c>
      <c r="P449" s="270">
        <v>1</v>
      </c>
      <c r="Q449" s="255">
        <v>22100</v>
      </c>
      <c r="R449" s="283">
        <v>22100</v>
      </c>
      <c r="S449" s="283">
        <v>4950</v>
      </c>
      <c r="T449" s="287">
        <v>0</v>
      </c>
      <c r="U449" s="287">
        <v>0</v>
      </c>
      <c r="V449" s="287">
        <v>0</v>
      </c>
      <c r="W449" s="283">
        <v>2550</v>
      </c>
      <c r="X449" s="283">
        <v>0</v>
      </c>
      <c r="Y449" s="199" t="s">
        <v>1392</v>
      </c>
      <c r="Z449" s="517" t="s">
        <v>5166</v>
      </c>
      <c r="AA449" s="493" t="s">
        <v>1485</v>
      </c>
      <c r="AB449" s="507"/>
    </row>
    <row r="450" spans="2:28" x14ac:dyDescent="0.15">
      <c r="B450" s="330" t="s">
        <v>3286</v>
      </c>
      <c r="C450" s="527">
        <v>43021</v>
      </c>
      <c r="D450" s="191" t="s">
        <v>2570</v>
      </c>
      <c r="E450" s="43" t="s">
        <v>1391</v>
      </c>
      <c r="F450" s="191" t="s">
        <v>3794</v>
      </c>
      <c r="G450" s="4" t="s">
        <v>364</v>
      </c>
      <c r="H450" s="43" t="s">
        <v>476</v>
      </c>
      <c r="I450" s="4" t="s">
        <v>1405</v>
      </c>
      <c r="J450" s="4" t="s">
        <v>299</v>
      </c>
      <c r="K450" s="4" t="s">
        <v>373</v>
      </c>
      <c r="L450" s="4" t="s">
        <v>2571</v>
      </c>
      <c r="M450" s="43"/>
      <c r="N450" s="255">
        <v>15000</v>
      </c>
      <c r="O450" s="265">
        <v>100</v>
      </c>
      <c r="P450" s="270">
        <v>1</v>
      </c>
      <c r="Q450" s="255">
        <v>15000</v>
      </c>
      <c r="R450" s="283">
        <v>15000</v>
      </c>
      <c r="S450" s="283">
        <v>4040</v>
      </c>
      <c r="T450" s="287">
        <v>0</v>
      </c>
      <c r="U450" s="287">
        <v>0</v>
      </c>
      <c r="V450" s="287">
        <v>0</v>
      </c>
      <c r="W450" s="283">
        <v>10960</v>
      </c>
      <c r="X450" s="283">
        <v>0</v>
      </c>
      <c r="Y450" s="199" t="s">
        <v>1392</v>
      </c>
      <c r="Z450" s="517" t="s">
        <v>5537</v>
      </c>
      <c r="AA450" s="493" t="s">
        <v>1485</v>
      </c>
      <c r="AB450" s="507"/>
    </row>
    <row r="451" spans="2:28" x14ac:dyDescent="0.15">
      <c r="B451" s="330" t="s">
        <v>3287</v>
      </c>
      <c r="C451" s="527">
        <v>43021</v>
      </c>
      <c r="D451" s="191" t="s">
        <v>2573</v>
      </c>
      <c r="E451" s="43" t="s">
        <v>1391</v>
      </c>
      <c r="F451" s="191" t="s">
        <v>3794</v>
      </c>
      <c r="G451" s="4" t="s">
        <v>364</v>
      </c>
      <c r="H451" s="43" t="s">
        <v>476</v>
      </c>
      <c r="I451" s="4" t="s">
        <v>1405</v>
      </c>
      <c r="J451" s="4" t="s">
        <v>298</v>
      </c>
      <c r="K451" s="4" t="s">
        <v>1168</v>
      </c>
      <c r="L451" s="4" t="s">
        <v>2572</v>
      </c>
      <c r="M451" s="43"/>
      <c r="N451" s="255">
        <v>500</v>
      </c>
      <c r="O451" s="265">
        <v>65</v>
      </c>
      <c r="P451" s="270">
        <v>2</v>
      </c>
      <c r="Q451" s="255">
        <v>325</v>
      </c>
      <c r="R451" s="283">
        <v>650</v>
      </c>
      <c r="S451" s="283">
        <v>310</v>
      </c>
      <c r="T451" s="287">
        <v>0</v>
      </c>
      <c r="U451" s="287">
        <v>0</v>
      </c>
      <c r="V451" s="287">
        <v>0</v>
      </c>
      <c r="W451" s="283">
        <v>60</v>
      </c>
      <c r="X451" s="283">
        <v>0</v>
      </c>
      <c r="Y451" s="199" t="s">
        <v>1392</v>
      </c>
      <c r="Z451" s="517" t="s">
        <v>5544</v>
      </c>
      <c r="AA451" s="493" t="s">
        <v>1485</v>
      </c>
      <c r="AB451" s="507"/>
    </row>
    <row r="452" spans="2:28" x14ac:dyDescent="0.15">
      <c r="B452" s="330" t="s">
        <v>3288</v>
      </c>
      <c r="C452" s="527">
        <v>43024</v>
      </c>
      <c r="D452" s="191" t="s">
        <v>2574</v>
      </c>
      <c r="E452" s="43" t="s">
        <v>1396</v>
      </c>
      <c r="F452" s="191" t="s">
        <v>3796</v>
      </c>
      <c r="G452" s="4" t="s">
        <v>368</v>
      </c>
      <c r="H452" s="43" t="s">
        <v>792</v>
      </c>
      <c r="I452" s="4" t="s">
        <v>1413</v>
      </c>
      <c r="J452" s="4" t="s">
        <v>295</v>
      </c>
      <c r="K452" s="4" t="s">
        <v>1166</v>
      </c>
      <c r="L452" s="4" t="s">
        <v>1483</v>
      </c>
      <c r="M452" s="43"/>
      <c r="N452" s="255">
        <v>33000</v>
      </c>
      <c r="O452" s="265">
        <v>65</v>
      </c>
      <c r="P452" s="270">
        <v>1</v>
      </c>
      <c r="Q452" s="255">
        <v>21450</v>
      </c>
      <c r="R452" s="283">
        <v>21450</v>
      </c>
      <c r="S452" s="283">
        <v>7725</v>
      </c>
      <c r="T452" s="287">
        <v>0</v>
      </c>
      <c r="U452" s="287">
        <v>0</v>
      </c>
      <c r="V452" s="287">
        <v>0</v>
      </c>
      <c r="W452" s="283">
        <v>2475</v>
      </c>
      <c r="X452" s="283">
        <v>0</v>
      </c>
      <c r="Y452" s="199" t="s">
        <v>1392</v>
      </c>
      <c r="Z452" s="517" t="s">
        <v>5166</v>
      </c>
      <c r="AA452" s="493" t="s">
        <v>1485</v>
      </c>
      <c r="AB452" s="507"/>
    </row>
    <row r="453" spans="2:28" x14ac:dyDescent="0.15">
      <c r="B453" s="330" t="s">
        <v>3289</v>
      </c>
      <c r="C453" s="527">
        <v>43026</v>
      </c>
      <c r="D453" s="191" t="s">
        <v>2579</v>
      </c>
      <c r="E453" s="43" t="s">
        <v>1391</v>
      </c>
      <c r="F453" s="191" t="s">
        <v>3794</v>
      </c>
      <c r="G453" s="4" t="s">
        <v>364</v>
      </c>
      <c r="H453" s="43" t="s">
        <v>444</v>
      </c>
      <c r="I453" s="4" t="s">
        <v>1440</v>
      </c>
      <c r="J453" s="4" t="s">
        <v>264</v>
      </c>
      <c r="K453" s="4" t="s">
        <v>538</v>
      </c>
      <c r="L453" s="4" t="s">
        <v>2580</v>
      </c>
      <c r="M453" s="43"/>
      <c r="N453" s="255">
        <v>165000</v>
      </c>
      <c r="O453" s="265">
        <v>100</v>
      </c>
      <c r="P453" s="270">
        <v>1</v>
      </c>
      <c r="Q453" s="255">
        <v>165000</v>
      </c>
      <c r="R453" s="283">
        <v>165000</v>
      </c>
      <c r="S453" s="283">
        <v>45406</v>
      </c>
      <c r="T453" s="287">
        <v>0</v>
      </c>
      <c r="U453" s="287">
        <v>1</v>
      </c>
      <c r="V453" s="287">
        <v>0</v>
      </c>
      <c r="W453" s="283">
        <v>13500</v>
      </c>
      <c r="X453" s="283">
        <v>0</v>
      </c>
      <c r="Y453" s="199" t="s">
        <v>1392</v>
      </c>
      <c r="Z453" s="517" t="s">
        <v>5166</v>
      </c>
      <c r="AA453" s="493" t="s">
        <v>1485</v>
      </c>
      <c r="AB453" s="507"/>
    </row>
    <row r="454" spans="2:28" x14ac:dyDescent="0.15">
      <c r="B454" s="330" t="s">
        <v>3290</v>
      </c>
      <c r="C454" s="527">
        <v>43028</v>
      </c>
      <c r="D454" s="191" t="s">
        <v>2581</v>
      </c>
      <c r="E454" s="43" t="s">
        <v>1391</v>
      </c>
      <c r="F454" s="191" t="s">
        <v>3794</v>
      </c>
      <c r="G454" s="4" t="s">
        <v>364</v>
      </c>
      <c r="H454" s="43" t="s">
        <v>444</v>
      </c>
      <c r="I454" s="4" t="s">
        <v>1440</v>
      </c>
      <c r="J454" s="4" t="s">
        <v>311</v>
      </c>
      <c r="K454" s="4" t="s">
        <v>2445</v>
      </c>
      <c r="L454" s="4" t="s">
        <v>2448</v>
      </c>
      <c r="M454" s="43" t="s">
        <v>2582</v>
      </c>
      <c r="N454" s="255">
        <v>250000</v>
      </c>
      <c r="O454" s="265">
        <v>100</v>
      </c>
      <c r="P454" s="270">
        <v>1</v>
      </c>
      <c r="Q454" s="255">
        <v>250000</v>
      </c>
      <c r="R454" s="283">
        <v>250000</v>
      </c>
      <c r="S454" s="283">
        <v>46840</v>
      </c>
      <c r="T454" s="287">
        <v>0</v>
      </c>
      <c r="U454" s="287">
        <v>1</v>
      </c>
      <c r="V454" s="287">
        <v>0</v>
      </c>
      <c r="W454" s="283">
        <v>17280</v>
      </c>
      <c r="X454" s="283">
        <v>0</v>
      </c>
      <c r="Y454" s="199" t="s">
        <v>1392</v>
      </c>
      <c r="Z454" s="517" t="s">
        <v>5166</v>
      </c>
      <c r="AA454" s="493" t="s">
        <v>1485</v>
      </c>
      <c r="AB454" s="507"/>
    </row>
    <row r="455" spans="2:28" x14ac:dyDescent="0.15">
      <c r="B455" s="330" t="s">
        <v>3291</v>
      </c>
      <c r="C455" s="527">
        <v>43028</v>
      </c>
      <c r="D455" s="191" t="s">
        <v>2592</v>
      </c>
      <c r="E455" s="43" t="s">
        <v>1391</v>
      </c>
      <c r="F455" s="191" t="s">
        <v>3794</v>
      </c>
      <c r="G455" s="4" t="s">
        <v>364</v>
      </c>
      <c r="H455" s="43" t="s">
        <v>505</v>
      </c>
      <c r="I455" s="4" t="s">
        <v>1501</v>
      </c>
      <c r="J455" s="4" t="s">
        <v>262</v>
      </c>
      <c r="K455" s="4" t="s">
        <v>365</v>
      </c>
      <c r="L455" s="4" t="s">
        <v>1690</v>
      </c>
      <c r="M455" s="43" t="s">
        <v>2606</v>
      </c>
      <c r="N455" s="255">
        <v>260000</v>
      </c>
      <c r="O455" s="265">
        <v>65</v>
      </c>
      <c r="P455" s="270">
        <v>1</v>
      </c>
      <c r="Q455" s="255">
        <v>169000</v>
      </c>
      <c r="R455" s="283">
        <v>169000</v>
      </c>
      <c r="S455" s="283">
        <v>73782</v>
      </c>
      <c r="T455" s="287">
        <v>1</v>
      </c>
      <c r="U455" s="287">
        <v>0</v>
      </c>
      <c r="V455" s="287">
        <v>0</v>
      </c>
      <c r="W455" s="283">
        <v>0</v>
      </c>
      <c r="X455" s="283">
        <v>0</v>
      </c>
      <c r="Y455" s="199" t="s">
        <v>1395</v>
      </c>
      <c r="Z455" s="517" t="s">
        <v>5534</v>
      </c>
      <c r="AA455" s="493" t="s">
        <v>1485</v>
      </c>
      <c r="AB455" s="507"/>
    </row>
    <row r="456" spans="2:28" x14ac:dyDescent="0.15">
      <c r="B456" s="330" t="s">
        <v>3292</v>
      </c>
      <c r="C456" s="527">
        <v>43028</v>
      </c>
      <c r="D456" s="191" t="s">
        <v>2592</v>
      </c>
      <c r="E456" s="43" t="s">
        <v>1391</v>
      </c>
      <c r="F456" s="191" t="s">
        <v>3794</v>
      </c>
      <c r="G456" s="4" t="s">
        <v>364</v>
      </c>
      <c r="H456" s="43" t="s">
        <v>436</v>
      </c>
      <c r="I456" s="4" t="s">
        <v>2383</v>
      </c>
      <c r="J456" s="4" t="s">
        <v>297</v>
      </c>
      <c r="K456" s="4" t="s">
        <v>369</v>
      </c>
      <c r="L456" s="4" t="s">
        <v>1484</v>
      </c>
      <c r="M456" s="43"/>
      <c r="N456" s="255">
        <v>200</v>
      </c>
      <c r="O456" s="265">
        <v>50</v>
      </c>
      <c r="P456" s="270">
        <v>100</v>
      </c>
      <c r="Q456" s="255">
        <v>100</v>
      </c>
      <c r="R456" s="283">
        <v>10000</v>
      </c>
      <c r="S456" s="283">
        <v>5700</v>
      </c>
      <c r="T456" s="287">
        <v>0</v>
      </c>
      <c r="U456" s="287">
        <v>0</v>
      </c>
      <c r="V456" s="287">
        <v>0</v>
      </c>
      <c r="W456" s="283">
        <v>1500</v>
      </c>
      <c r="X456" s="283">
        <v>0</v>
      </c>
      <c r="Y456" s="199" t="s">
        <v>1395</v>
      </c>
      <c r="Z456" s="517" t="s">
        <v>5166</v>
      </c>
      <c r="AA456" s="493" t="s">
        <v>1485</v>
      </c>
      <c r="AB456" s="507"/>
    </row>
    <row r="457" spans="2:28" x14ac:dyDescent="0.15">
      <c r="B457" s="330" t="s">
        <v>3293</v>
      </c>
      <c r="C457" s="527">
        <v>43028</v>
      </c>
      <c r="D457" s="191" t="s">
        <v>2592</v>
      </c>
      <c r="E457" s="43" t="s">
        <v>1396</v>
      </c>
      <c r="F457" s="191" t="s">
        <v>3795</v>
      </c>
      <c r="G457" s="4" t="s">
        <v>1321</v>
      </c>
      <c r="H457" s="43"/>
      <c r="I457" s="4"/>
      <c r="J457" s="4"/>
      <c r="K457" s="4"/>
      <c r="L457" s="4" t="s">
        <v>1418</v>
      </c>
      <c r="M457" s="43"/>
      <c r="N457" s="257">
        <v>79550</v>
      </c>
      <c r="O457" s="263">
        <v>100</v>
      </c>
      <c r="P457" s="270">
        <v>-1</v>
      </c>
      <c r="Q457" s="257">
        <v>79550</v>
      </c>
      <c r="R457" s="284">
        <v>-79550</v>
      </c>
      <c r="S457" s="284">
        <v>-79550</v>
      </c>
      <c r="T457" s="270">
        <v>0</v>
      </c>
      <c r="U457" s="270">
        <v>0</v>
      </c>
      <c r="V457" s="270">
        <v>0</v>
      </c>
      <c r="W457" s="284">
        <v>79550</v>
      </c>
      <c r="X457" s="284">
        <v>0</v>
      </c>
      <c r="Y457" s="43" t="s">
        <v>1392</v>
      </c>
      <c r="Z457" s="517" t="s">
        <v>5449</v>
      </c>
      <c r="AA457" s="501"/>
      <c r="AB457" s="506"/>
    </row>
    <row r="458" spans="2:28" x14ac:dyDescent="0.15">
      <c r="B458" s="330" t="s">
        <v>3294</v>
      </c>
      <c r="C458" s="527">
        <v>43028</v>
      </c>
      <c r="D458" s="191" t="s">
        <v>2595</v>
      </c>
      <c r="E458" s="43" t="s">
        <v>1391</v>
      </c>
      <c r="F458" s="191" t="s">
        <v>3794</v>
      </c>
      <c r="G458" s="4" t="s">
        <v>364</v>
      </c>
      <c r="H458" s="43" t="s">
        <v>511</v>
      </c>
      <c r="I458" s="4" t="s">
        <v>2377</v>
      </c>
      <c r="J458" s="4" t="s">
        <v>268</v>
      </c>
      <c r="K458" s="4" t="s">
        <v>1158</v>
      </c>
      <c r="L458" s="4" t="s">
        <v>2607</v>
      </c>
      <c r="M458" s="43" t="s">
        <v>2608</v>
      </c>
      <c r="N458" s="255">
        <v>270000</v>
      </c>
      <c r="O458" s="265">
        <v>65</v>
      </c>
      <c r="P458" s="270">
        <v>1</v>
      </c>
      <c r="Q458" s="255">
        <v>175500</v>
      </c>
      <c r="R458" s="283">
        <v>175500</v>
      </c>
      <c r="S458" s="283">
        <v>82492</v>
      </c>
      <c r="T458" s="287">
        <v>1</v>
      </c>
      <c r="U458" s="287">
        <v>0</v>
      </c>
      <c r="V458" s="287">
        <v>0</v>
      </c>
      <c r="W458" s="283">
        <v>0</v>
      </c>
      <c r="X458" s="283">
        <v>0</v>
      </c>
      <c r="Y458" s="199" t="s">
        <v>1395</v>
      </c>
      <c r="Z458" s="517" t="s">
        <v>5548</v>
      </c>
      <c r="AA458" s="493" t="s">
        <v>1485</v>
      </c>
      <c r="AB458" s="507"/>
    </row>
    <row r="459" spans="2:28" x14ac:dyDescent="0.15">
      <c r="B459" s="330" t="s">
        <v>3295</v>
      </c>
      <c r="C459" s="527">
        <v>43028</v>
      </c>
      <c r="D459" s="191" t="s">
        <v>2595</v>
      </c>
      <c r="E459" s="43" t="s">
        <v>1391</v>
      </c>
      <c r="F459" s="191" t="s">
        <v>3794</v>
      </c>
      <c r="G459" s="4" t="s">
        <v>364</v>
      </c>
      <c r="H459" s="43" t="s">
        <v>488</v>
      </c>
      <c r="I459" s="4" t="s">
        <v>1432</v>
      </c>
      <c r="J459" s="4" t="s">
        <v>297</v>
      </c>
      <c r="K459" s="4" t="s">
        <v>369</v>
      </c>
      <c r="L459" s="4" t="s">
        <v>1509</v>
      </c>
      <c r="M459" s="43"/>
      <c r="N459" s="255">
        <v>200</v>
      </c>
      <c r="O459" s="265">
        <v>50</v>
      </c>
      <c r="P459" s="270">
        <v>100</v>
      </c>
      <c r="Q459" s="255">
        <v>100</v>
      </c>
      <c r="R459" s="283">
        <v>10000</v>
      </c>
      <c r="S459" s="283">
        <v>5700</v>
      </c>
      <c r="T459" s="287">
        <v>0</v>
      </c>
      <c r="U459" s="287">
        <v>0</v>
      </c>
      <c r="V459" s="287">
        <v>0</v>
      </c>
      <c r="W459" s="283">
        <v>1500</v>
      </c>
      <c r="X459" s="283">
        <v>0</v>
      </c>
      <c r="Y459" s="199" t="s">
        <v>1392</v>
      </c>
      <c r="Z459" s="517" t="s">
        <v>5540</v>
      </c>
      <c r="AA459" s="493" t="s">
        <v>1485</v>
      </c>
      <c r="AB459" s="507"/>
    </row>
    <row r="460" spans="2:28" x14ac:dyDescent="0.15">
      <c r="B460" s="330" t="s">
        <v>3296</v>
      </c>
      <c r="C460" s="527">
        <v>43028</v>
      </c>
      <c r="D460" s="191" t="s">
        <v>2598</v>
      </c>
      <c r="E460" s="43" t="s">
        <v>1391</v>
      </c>
      <c r="F460" s="191" t="s">
        <v>3794</v>
      </c>
      <c r="G460" s="4" t="s">
        <v>364</v>
      </c>
      <c r="H460" s="43" t="s">
        <v>519</v>
      </c>
      <c r="I460" s="4" t="s">
        <v>1526</v>
      </c>
      <c r="J460" s="4" t="s">
        <v>268</v>
      </c>
      <c r="K460" s="4" t="s">
        <v>1158</v>
      </c>
      <c r="L460" s="4" t="s">
        <v>2607</v>
      </c>
      <c r="M460" s="43" t="s">
        <v>2609</v>
      </c>
      <c r="N460" s="255">
        <v>270000</v>
      </c>
      <c r="O460" s="265">
        <v>65</v>
      </c>
      <c r="P460" s="270">
        <v>1</v>
      </c>
      <c r="Q460" s="255">
        <v>175500</v>
      </c>
      <c r="R460" s="283">
        <v>175500</v>
      </c>
      <c r="S460" s="283">
        <v>82492</v>
      </c>
      <c r="T460" s="287">
        <v>1</v>
      </c>
      <c r="U460" s="287">
        <v>0</v>
      </c>
      <c r="V460" s="287">
        <v>0</v>
      </c>
      <c r="W460" s="283">
        <v>0</v>
      </c>
      <c r="X460" s="283">
        <v>0</v>
      </c>
      <c r="Y460" s="199" t="s">
        <v>1395</v>
      </c>
      <c r="Z460" s="517" t="s">
        <v>5548</v>
      </c>
      <c r="AA460" s="493" t="s">
        <v>1485</v>
      </c>
      <c r="AB460" s="507"/>
    </row>
    <row r="461" spans="2:28" x14ac:dyDescent="0.15">
      <c r="B461" s="330" t="s">
        <v>3297</v>
      </c>
      <c r="C461" s="527">
        <v>43028</v>
      </c>
      <c r="D461" s="191" t="s">
        <v>2598</v>
      </c>
      <c r="E461" s="43" t="s">
        <v>1391</v>
      </c>
      <c r="F461" s="191" t="s">
        <v>3794</v>
      </c>
      <c r="G461" s="4" t="s">
        <v>364</v>
      </c>
      <c r="H461" s="43" t="s">
        <v>423</v>
      </c>
      <c r="I461" s="4" t="s">
        <v>1439</v>
      </c>
      <c r="J461" s="4" t="s">
        <v>297</v>
      </c>
      <c r="K461" s="4" t="s">
        <v>369</v>
      </c>
      <c r="L461" s="4" t="s">
        <v>1509</v>
      </c>
      <c r="M461" s="43"/>
      <c r="N461" s="255">
        <v>200</v>
      </c>
      <c r="O461" s="265">
        <v>50</v>
      </c>
      <c r="P461" s="270">
        <v>100</v>
      </c>
      <c r="Q461" s="255">
        <v>100</v>
      </c>
      <c r="R461" s="283">
        <v>10000</v>
      </c>
      <c r="S461" s="283">
        <v>5700</v>
      </c>
      <c r="T461" s="287">
        <v>0</v>
      </c>
      <c r="U461" s="287">
        <v>0</v>
      </c>
      <c r="V461" s="287">
        <v>0</v>
      </c>
      <c r="W461" s="283">
        <v>1500</v>
      </c>
      <c r="X461" s="283">
        <v>0</v>
      </c>
      <c r="Y461" s="199" t="s">
        <v>1392</v>
      </c>
      <c r="Z461" s="517" t="s">
        <v>5166</v>
      </c>
      <c r="AA461" s="493" t="s">
        <v>1485</v>
      </c>
      <c r="AB461" s="507"/>
    </row>
    <row r="462" spans="2:28" x14ac:dyDescent="0.15">
      <c r="B462" s="330" t="s">
        <v>3298</v>
      </c>
      <c r="C462" s="309">
        <v>43028</v>
      </c>
      <c r="D462" s="191" t="s">
        <v>2610</v>
      </c>
      <c r="E462" s="191" t="s">
        <v>1391</v>
      </c>
      <c r="F462" s="191" t="s">
        <v>3794</v>
      </c>
      <c r="G462" s="190" t="s">
        <v>364</v>
      </c>
      <c r="H462" s="191" t="s">
        <v>486</v>
      </c>
      <c r="I462" s="190" t="s">
        <v>1406</v>
      </c>
      <c r="J462" s="190" t="s">
        <v>262</v>
      </c>
      <c r="K462" s="190" t="s">
        <v>365</v>
      </c>
      <c r="L462" s="190" t="s">
        <v>2611</v>
      </c>
      <c r="M462" s="191" t="s">
        <v>2612</v>
      </c>
      <c r="N462" s="256">
        <v>250000</v>
      </c>
      <c r="O462" s="264">
        <v>65</v>
      </c>
      <c r="P462" s="271">
        <v>1</v>
      </c>
      <c r="Q462" s="256">
        <v>162500</v>
      </c>
      <c r="R462" s="285">
        <v>162500</v>
      </c>
      <c r="S462" s="285">
        <v>51782</v>
      </c>
      <c r="T462" s="287">
        <v>0</v>
      </c>
      <c r="U462" s="287">
        <v>1</v>
      </c>
      <c r="V462" s="287">
        <v>0</v>
      </c>
      <c r="W462" s="283">
        <v>18750</v>
      </c>
      <c r="X462" s="283">
        <v>0</v>
      </c>
      <c r="Y462" s="199" t="s">
        <v>1392</v>
      </c>
      <c r="Z462" s="517" t="s">
        <v>5549</v>
      </c>
      <c r="AA462" s="493" t="s">
        <v>1485</v>
      </c>
      <c r="AB462" s="507"/>
    </row>
    <row r="463" spans="2:28" x14ac:dyDescent="0.15">
      <c r="B463" s="330" t="s">
        <v>3299</v>
      </c>
      <c r="C463" s="527">
        <v>43028</v>
      </c>
      <c r="D463" s="191" t="s">
        <v>2615</v>
      </c>
      <c r="E463" s="43" t="s">
        <v>1391</v>
      </c>
      <c r="F463" s="191" t="s">
        <v>3794</v>
      </c>
      <c r="G463" s="4" t="s">
        <v>364</v>
      </c>
      <c r="H463" s="43" t="s">
        <v>423</v>
      </c>
      <c r="I463" s="4" t="s">
        <v>1439</v>
      </c>
      <c r="J463" s="4" t="s">
        <v>297</v>
      </c>
      <c r="K463" s="4" t="s">
        <v>369</v>
      </c>
      <c r="L463" s="4" t="s">
        <v>1484</v>
      </c>
      <c r="M463" s="43"/>
      <c r="N463" s="255">
        <v>200</v>
      </c>
      <c r="O463" s="265">
        <v>50</v>
      </c>
      <c r="P463" s="270">
        <v>100</v>
      </c>
      <c r="Q463" s="255">
        <v>100</v>
      </c>
      <c r="R463" s="283">
        <v>10000</v>
      </c>
      <c r="S463" s="283">
        <v>5700</v>
      </c>
      <c r="T463" s="287">
        <v>0</v>
      </c>
      <c r="U463" s="287">
        <v>0</v>
      </c>
      <c r="V463" s="287">
        <v>0</v>
      </c>
      <c r="W463" s="283">
        <v>1500</v>
      </c>
      <c r="X463" s="283">
        <v>0</v>
      </c>
      <c r="Y463" s="199" t="s">
        <v>1392</v>
      </c>
      <c r="Z463" s="517" t="s">
        <v>5166</v>
      </c>
      <c r="AA463" s="493" t="s">
        <v>1485</v>
      </c>
      <c r="AB463" s="507"/>
    </row>
    <row r="464" spans="2:28" x14ac:dyDescent="0.15">
      <c r="B464" s="330" t="s">
        <v>3300</v>
      </c>
      <c r="C464" s="527">
        <v>43028</v>
      </c>
      <c r="D464" s="191" t="s">
        <v>2613</v>
      </c>
      <c r="E464" s="43" t="s">
        <v>1391</v>
      </c>
      <c r="F464" s="191" t="s">
        <v>3794</v>
      </c>
      <c r="G464" s="4" t="s">
        <v>364</v>
      </c>
      <c r="H464" s="43" t="s">
        <v>504</v>
      </c>
      <c r="I464" s="4" t="s">
        <v>1436</v>
      </c>
      <c r="J464" s="4" t="s">
        <v>297</v>
      </c>
      <c r="K464" s="4" t="s">
        <v>369</v>
      </c>
      <c r="L464" s="4" t="s">
        <v>1484</v>
      </c>
      <c r="M464" s="43"/>
      <c r="N464" s="255">
        <v>200</v>
      </c>
      <c r="O464" s="265">
        <v>50</v>
      </c>
      <c r="P464" s="270">
        <v>100</v>
      </c>
      <c r="Q464" s="255">
        <v>100</v>
      </c>
      <c r="R464" s="283">
        <v>10000</v>
      </c>
      <c r="S464" s="283">
        <v>7200</v>
      </c>
      <c r="T464" s="287">
        <v>0</v>
      </c>
      <c r="U464" s="287">
        <v>0</v>
      </c>
      <c r="V464" s="287">
        <v>0</v>
      </c>
      <c r="W464" s="283">
        <v>0</v>
      </c>
      <c r="X464" s="283">
        <v>0</v>
      </c>
      <c r="Y464" s="199" t="s">
        <v>1395</v>
      </c>
      <c r="Z464" s="517" t="s">
        <v>5534</v>
      </c>
      <c r="AA464" s="493" t="s">
        <v>1485</v>
      </c>
      <c r="AB464" s="507"/>
    </row>
    <row r="465" spans="2:28" x14ac:dyDescent="0.15">
      <c r="B465" s="330" t="s">
        <v>3301</v>
      </c>
      <c r="C465" s="527">
        <v>43028</v>
      </c>
      <c r="D465" s="191" t="s">
        <v>2610</v>
      </c>
      <c r="E465" s="43" t="s">
        <v>1391</v>
      </c>
      <c r="F465" s="191" t="s">
        <v>3794</v>
      </c>
      <c r="G465" s="4" t="s">
        <v>364</v>
      </c>
      <c r="H465" s="43" t="s">
        <v>411</v>
      </c>
      <c r="I465" s="4" t="s">
        <v>2617</v>
      </c>
      <c r="J465" s="4" t="s">
        <v>297</v>
      </c>
      <c r="K465" s="4" t="s">
        <v>369</v>
      </c>
      <c r="L465" s="4" t="s">
        <v>1509</v>
      </c>
      <c r="M465" s="43"/>
      <c r="N465" s="255">
        <v>200</v>
      </c>
      <c r="O465" s="265">
        <v>50</v>
      </c>
      <c r="P465" s="270">
        <v>100</v>
      </c>
      <c r="Q465" s="255">
        <v>100</v>
      </c>
      <c r="R465" s="283">
        <v>10000</v>
      </c>
      <c r="S465" s="283">
        <v>7200</v>
      </c>
      <c r="T465" s="287">
        <v>0</v>
      </c>
      <c r="U465" s="287">
        <v>0</v>
      </c>
      <c r="V465" s="287">
        <v>0</v>
      </c>
      <c r="W465" s="283">
        <v>0</v>
      </c>
      <c r="X465" s="283">
        <v>0</v>
      </c>
      <c r="Y465" s="199" t="s">
        <v>1395</v>
      </c>
      <c r="Z465" s="517" t="s">
        <v>5168</v>
      </c>
      <c r="AA465" s="493" t="s">
        <v>1485</v>
      </c>
      <c r="AB465" s="507"/>
    </row>
    <row r="466" spans="2:28" x14ac:dyDescent="0.15">
      <c r="B466" s="330" t="s">
        <v>3302</v>
      </c>
      <c r="C466" s="527">
        <v>43028</v>
      </c>
      <c r="D466" s="191" t="s">
        <v>2614</v>
      </c>
      <c r="E466" s="43" t="s">
        <v>1391</v>
      </c>
      <c r="F466" s="191" t="s">
        <v>3794</v>
      </c>
      <c r="G466" s="4" t="s">
        <v>364</v>
      </c>
      <c r="H466" s="43" t="s">
        <v>495</v>
      </c>
      <c r="I466" s="4" t="s">
        <v>1416</v>
      </c>
      <c r="J466" s="4" t="s">
        <v>297</v>
      </c>
      <c r="K466" s="4" t="s">
        <v>369</v>
      </c>
      <c r="L466" s="4" t="s">
        <v>1509</v>
      </c>
      <c r="M466" s="43"/>
      <c r="N466" s="255">
        <v>200</v>
      </c>
      <c r="O466" s="265">
        <v>50</v>
      </c>
      <c r="P466" s="270">
        <v>100</v>
      </c>
      <c r="Q466" s="255">
        <v>100</v>
      </c>
      <c r="R466" s="283">
        <v>10000</v>
      </c>
      <c r="S466" s="283">
        <v>5700</v>
      </c>
      <c r="T466" s="287">
        <v>0</v>
      </c>
      <c r="U466" s="287">
        <v>0</v>
      </c>
      <c r="V466" s="287">
        <v>0</v>
      </c>
      <c r="W466" s="283">
        <v>1500</v>
      </c>
      <c r="X466" s="283">
        <v>0</v>
      </c>
      <c r="Y466" s="199" t="s">
        <v>1392</v>
      </c>
      <c r="Z466" s="517" t="s">
        <v>5167</v>
      </c>
      <c r="AA466" s="493" t="s">
        <v>1485</v>
      </c>
      <c r="AB466" s="507"/>
    </row>
    <row r="467" spans="2:28" x14ac:dyDescent="0.15">
      <c r="B467" s="330" t="s">
        <v>3303</v>
      </c>
      <c r="C467" s="527">
        <v>43028</v>
      </c>
      <c r="D467" s="191" t="s">
        <v>2614</v>
      </c>
      <c r="E467" s="43" t="s">
        <v>1391</v>
      </c>
      <c r="F467" s="191" t="s">
        <v>3794</v>
      </c>
      <c r="G467" s="4" t="s">
        <v>364</v>
      </c>
      <c r="H467" s="43" t="s">
        <v>2620</v>
      </c>
      <c r="I467" s="4" t="s">
        <v>2621</v>
      </c>
      <c r="J467" s="4" t="s">
        <v>264</v>
      </c>
      <c r="K467" s="4" t="s">
        <v>538</v>
      </c>
      <c r="L467" s="4" t="s">
        <v>2623</v>
      </c>
      <c r="M467" s="43" t="s">
        <v>2624</v>
      </c>
      <c r="N467" s="255">
        <v>320000</v>
      </c>
      <c r="O467" s="265">
        <v>65</v>
      </c>
      <c r="P467" s="270">
        <v>1</v>
      </c>
      <c r="Q467" s="255">
        <v>208000</v>
      </c>
      <c r="R467" s="283">
        <v>208000</v>
      </c>
      <c r="S467" s="283">
        <v>50560</v>
      </c>
      <c r="T467" s="287">
        <v>0</v>
      </c>
      <c r="U467" s="287">
        <v>0</v>
      </c>
      <c r="V467" s="287">
        <v>0</v>
      </c>
      <c r="W467" s="283">
        <v>24000</v>
      </c>
      <c r="X467" s="283">
        <v>0</v>
      </c>
      <c r="Y467" s="199" t="s">
        <v>1392</v>
      </c>
      <c r="Z467" s="517" t="s">
        <v>5533</v>
      </c>
      <c r="AA467" s="493" t="s">
        <v>1485</v>
      </c>
      <c r="AB467" s="507"/>
    </row>
    <row r="468" spans="2:28" x14ac:dyDescent="0.15">
      <c r="B468" s="330" t="s">
        <v>3304</v>
      </c>
      <c r="C468" s="528">
        <v>43029</v>
      </c>
      <c r="D468" s="198" t="s">
        <v>2452</v>
      </c>
      <c r="E468" s="53" t="s">
        <v>1396</v>
      </c>
      <c r="F468" s="198" t="s">
        <v>3800</v>
      </c>
      <c r="G468" s="3" t="s">
        <v>50</v>
      </c>
      <c r="H468" s="53" t="s">
        <v>1434</v>
      </c>
      <c r="I468" s="3" t="s">
        <v>1435</v>
      </c>
      <c r="J468" s="4" t="s">
        <v>310</v>
      </c>
      <c r="K468" s="4" t="s">
        <v>1539</v>
      </c>
      <c r="L468" s="4" t="s">
        <v>2438</v>
      </c>
      <c r="M468" s="43" t="s">
        <v>2453</v>
      </c>
      <c r="N468" s="255">
        <v>430000</v>
      </c>
      <c r="O468" s="265">
        <v>60</v>
      </c>
      <c r="P468" s="270">
        <v>1</v>
      </c>
      <c r="Q468" s="255">
        <v>258000</v>
      </c>
      <c r="R468" s="283">
        <v>258000</v>
      </c>
      <c r="S468" s="283">
        <v>64120</v>
      </c>
      <c r="T468" s="287">
        <v>0</v>
      </c>
      <c r="U468" s="287">
        <v>1</v>
      </c>
      <c r="V468" s="287">
        <v>0</v>
      </c>
      <c r="W468" s="283">
        <v>25800</v>
      </c>
      <c r="X468" s="283">
        <v>0</v>
      </c>
      <c r="Y468" s="199" t="s">
        <v>1392</v>
      </c>
      <c r="Z468" s="517" t="s">
        <v>5167</v>
      </c>
      <c r="AA468" s="493" t="s">
        <v>1485</v>
      </c>
      <c r="AB468" s="507"/>
    </row>
    <row r="469" spans="2:28" x14ac:dyDescent="0.15">
      <c r="B469" s="330" t="s">
        <v>3305</v>
      </c>
      <c r="C469" s="528">
        <v>43029</v>
      </c>
      <c r="D469" s="198" t="s">
        <v>2546</v>
      </c>
      <c r="E469" s="53" t="s">
        <v>1396</v>
      </c>
      <c r="F469" s="198" t="s">
        <v>3800</v>
      </c>
      <c r="G469" s="3" t="s">
        <v>50</v>
      </c>
      <c r="H469" s="53" t="s">
        <v>381</v>
      </c>
      <c r="I469" s="3" t="s">
        <v>1408</v>
      </c>
      <c r="J469" s="4" t="s">
        <v>264</v>
      </c>
      <c r="K469" s="4" t="s">
        <v>538</v>
      </c>
      <c r="L469" s="4" t="s">
        <v>2539</v>
      </c>
      <c r="M469" s="43" t="s">
        <v>2540</v>
      </c>
      <c r="N469" s="255">
        <v>320000</v>
      </c>
      <c r="O469" s="265">
        <v>60</v>
      </c>
      <c r="P469" s="270">
        <v>1</v>
      </c>
      <c r="Q469" s="255">
        <v>192000</v>
      </c>
      <c r="R469" s="283">
        <v>192000</v>
      </c>
      <c r="S469" s="283">
        <v>64498</v>
      </c>
      <c r="T469" s="287">
        <v>0</v>
      </c>
      <c r="U469" s="287">
        <v>1</v>
      </c>
      <c r="V469" s="287">
        <v>0</v>
      </c>
      <c r="W469" s="283">
        <v>19200</v>
      </c>
      <c r="X469" s="283">
        <v>0</v>
      </c>
      <c r="Y469" s="199" t="s">
        <v>1392</v>
      </c>
      <c r="Z469" s="517" t="s">
        <v>5166</v>
      </c>
      <c r="AA469" s="493" t="s">
        <v>1485</v>
      </c>
      <c r="AB469" s="507"/>
    </row>
    <row r="470" spans="2:28" x14ac:dyDescent="0.15">
      <c r="B470" s="330" t="s">
        <v>3306</v>
      </c>
      <c r="C470" s="528">
        <v>43029</v>
      </c>
      <c r="D470" s="198" t="s">
        <v>2547</v>
      </c>
      <c r="E470" s="53" t="s">
        <v>1396</v>
      </c>
      <c r="F470" s="198" t="s">
        <v>3800</v>
      </c>
      <c r="G470" s="3" t="s">
        <v>50</v>
      </c>
      <c r="H470" s="53" t="s">
        <v>380</v>
      </c>
      <c r="I470" s="3" t="s">
        <v>1976</v>
      </c>
      <c r="J470" s="3" t="s">
        <v>310</v>
      </c>
      <c r="K470" s="3" t="s">
        <v>1539</v>
      </c>
      <c r="L470" s="3" t="s">
        <v>2548</v>
      </c>
      <c r="M470" s="43" t="s">
        <v>2549</v>
      </c>
      <c r="N470" s="255">
        <v>430000</v>
      </c>
      <c r="O470" s="265">
        <v>60</v>
      </c>
      <c r="P470" s="270">
        <v>1</v>
      </c>
      <c r="Q470" s="255">
        <v>258000</v>
      </c>
      <c r="R470" s="283">
        <v>258000</v>
      </c>
      <c r="S470" s="283">
        <v>72920</v>
      </c>
      <c r="T470" s="287">
        <v>0</v>
      </c>
      <c r="U470" s="287">
        <v>1</v>
      </c>
      <c r="V470" s="287">
        <v>0</v>
      </c>
      <c r="W470" s="283">
        <v>25800</v>
      </c>
      <c r="X470" s="283">
        <v>0</v>
      </c>
      <c r="Y470" s="199" t="s">
        <v>1392</v>
      </c>
      <c r="Z470" s="517" t="s">
        <v>5166</v>
      </c>
      <c r="AA470" s="493" t="s">
        <v>1485</v>
      </c>
      <c r="AB470" s="507"/>
    </row>
    <row r="471" spans="2:28" x14ac:dyDescent="0.15">
      <c r="B471" s="330" t="s">
        <v>3307</v>
      </c>
      <c r="C471" s="528">
        <v>43029</v>
      </c>
      <c r="D471" s="198" t="s">
        <v>2552</v>
      </c>
      <c r="E471" s="53" t="s">
        <v>1396</v>
      </c>
      <c r="F471" s="198" t="s">
        <v>3800</v>
      </c>
      <c r="G471" s="3" t="s">
        <v>50</v>
      </c>
      <c r="H471" s="53" t="s">
        <v>379</v>
      </c>
      <c r="I471" s="3" t="s">
        <v>2551</v>
      </c>
      <c r="J471" s="4" t="s">
        <v>270</v>
      </c>
      <c r="K471" s="4" t="s">
        <v>539</v>
      </c>
      <c r="L471" s="4" t="s">
        <v>1949</v>
      </c>
      <c r="M471" s="43" t="s">
        <v>2472</v>
      </c>
      <c r="N471" s="255">
        <v>283000</v>
      </c>
      <c r="O471" s="265">
        <v>60</v>
      </c>
      <c r="P471" s="270">
        <v>1</v>
      </c>
      <c r="Q471" s="255">
        <v>169800</v>
      </c>
      <c r="R471" s="283">
        <v>169800</v>
      </c>
      <c r="S471" s="283">
        <v>45971</v>
      </c>
      <c r="T471" s="287">
        <v>0</v>
      </c>
      <c r="U471" s="287">
        <v>1</v>
      </c>
      <c r="V471" s="287">
        <v>0</v>
      </c>
      <c r="W471" s="283">
        <v>16980</v>
      </c>
      <c r="X471" s="283">
        <v>0</v>
      </c>
      <c r="Y471" s="199" t="s">
        <v>1392</v>
      </c>
      <c r="Z471" s="517" t="s">
        <v>5543</v>
      </c>
      <c r="AA471" s="493" t="s">
        <v>1485</v>
      </c>
      <c r="AB471" s="507"/>
    </row>
    <row r="472" spans="2:28" x14ac:dyDescent="0.15">
      <c r="B472" s="330" t="s">
        <v>3308</v>
      </c>
      <c r="C472" s="528">
        <v>43029</v>
      </c>
      <c r="D472" s="198" t="s">
        <v>2560</v>
      </c>
      <c r="E472" s="53" t="s">
        <v>1396</v>
      </c>
      <c r="F472" s="198" t="s">
        <v>3800</v>
      </c>
      <c r="G472" s="3" t="s">
        <v>50</v>
      </c>
      <c r="H472" s="53" t="s">
        <v>379</v>
      </c>
      <c r="I472" s="3" t="s">
        <v>2551</v>
      </c>
      <c r="J472" s="4" t="s">
        <v>271</v>
      </c>
      <c r="K472" s="4" t="s">
        <v>1160</v>
      </c>
      <c r="L472" s="4" t="s">
        <v>2561</v>
      </c>
      <c r="M472" s="43" t="s">
        <v>2562</v>
      </c>
      <c r="N472" s="255">
        <v>178800</v>
      </c>
      <c r="O472" s="265">
        <v>100</v>
      </c>
      <c r="P472" s="270">
        <v>1</v>
      </c>
      <c r="Q472" s="255">
        <v>178800</v>
      </c>
      <c r="R472" s="283">
        <v>178800</v>
      </c>
      <c r="S472" s="283">
        <v>32406</v>
      </c>
      <c r="T472" s="287">
        <v>0</v>
      </c>
      <c r="U472" s="287">
        <v>1</v>
      </c>
      <c r="V472" s="287">
        <v>0</v>
      </c>
      <c r="W472" s="283">
        <v>17880</v>
      </c>
      <c r="X472" s="283">
        <v>0</v>
      </c>
      <c r="Y472" s="199" t="s">
        <v>1392</v>
      </c>
      <c r="Z472" s="517" t="s">
        <v>5543</v>
      </c>
      <c r="AA472" s="493" t="s">
        <v>1485</v>
      </c>
      <c r="AB472" s="507"/>
    </row>
    <row r="473" spans="2:28" x14ac:dyDescent="0.15">
      <c r="B473" s="330" t="s">
        <v>3309</v>
      </c>
      <c r="C473" s="528">
        <v>43029</v>
      </c>
      <c r="D473" s="198" t="s">
        <v>2566</v>
      </c>
      <c r="E473" s="53" t="s">
        <v>1396</v>
      </c>
      <c r="F473" s="198" t="s">
        <v>3800</v>
      </c>
      <c r="G473" s="3" t="s">
        <v>50</v>
      </c>
      <c r="H473" s="53" t="s">
        <v>381</v>
      </c>
      <c r="I473" s="3" t="s">
        <v>1408</v>
      </c>
      <c r="J473" s="4" t="s">
        <v>310</v>
      </c>
      <c r="K473" s="4" t="s">
        <v>1539</v>
      </c>
      <c r="L473" s="4" t="s">
        <v>2567</v>
      </c>
      <c r="M473" s="43" t="s">
        <v>2568</v>
      </c>
      <c r="N473" s="255">
        <v>440000</v>
      </c>
      <c r="O473" s="265">
        <v>60</v>
      </c>
      <c r="P473" s="270">
        <v>1</v>
      </c>
      <c r="Q473" s="255">
        <v>264000</v>
      </c>
      <c r="R473" s="283">
        <v>264000</v>
      </c>
      <c r="S473" s="283">
        <v>60320</v>
      </c>
      <c r="T473" s="287">
        <v>0</v>
      </c>
      <c r="U473" s="287">
        <v>1</v>
      </c>
      <c r="V473" s="287">
        <v>0</v>
      </c>
      <c r="W473" s="283">
        <v>26400</v>
      </c>
      <c r="X473" s="283">
        <v>0</v>
      </c>
      <c r="Y473" s="199" t="s">
        <v>1392</v>
      </c>
      <c r="Z473" s="517" t="s">
        <v>5166</v>
      </c>
      <c r="AA473" s="493" t="s">
        <v>1485</v>
      </c>
      <c r="AB473" s="507"/>
    </row>
    <row r="474" spans="2:28" x14ac:dyDescent="0.15">
      <c r="B474" s="330" t="s">
        <v>3310</v>
      </c>
      <c r="C474" s="528">
        <v>43029</v>
      </c>
      <c r="D474" s="198" t="s">
        <v>2583</v>
      </c>
      <c r="E474" s="53" t="s">
        <v>1396</v>
      </c>
      <c r="F474" s="198" t="s">
        <v>3800</v>
      </c>
      <c r="G474" s="3" t="s">
        <v>50</v>
      </c>
      <c r="H474" s="53" t="s">
        <v>379</v>
      </c>
      <c r="I474" s="3" t="s">
        <v>2551</v>
      </c>
      <c r="J474" s="4" t="s">
        <v>270</v>
      </c>
      <c r="K474" s="4" t="s">
        <v>539</v>
      </c>
      <c r="L474" s="4" t="s">
        <v>2584</v>
      </c>
      <c r="M474" s="43" t="s">
        <v>2585</v>
      </c>
      <c r="N474" s="255">
        <v>172800</v>
      </c>
      <c r="O474" s="265">
        <v>100</v>
      </c>
      <c r="P474" s="270">
        <v>1</v>
      </c>
      <c r="Q474" s="255">
        <v>172800</v>
      </c>
      <c r="R474" s="283">
        <v>172800</v>
      </c>
      <c r="S474" s="283">
        <v>33982</v>
      </c>
      <c r="T474" s="287">
        <v>0</v>
      </c>
      <c r="U474" s="287">
        <v>0</v>
      </c>
      <c r="V474" s="287">
        <v>0</v>
      </c>
      <c r="W474" s="283">
        <v>17280</v>
      </c>
      <c r="X474" s="283">
        <v>0</v>
      </c>
      <c r="Y474" s="199" t="s">
        <v>1392</v>
      </c>
      <c r="Z474" s="517" t="s">
        <v>5166</v>
      </c>
      <c r="AA474" s="493" t="s">
        <v>1485</v>
      </c>
      <c r="AB474" s="507"/>
    </row>
    <row r="475" spans="2:28" x14ac:dyDescent="0.15">
      <c r="B475" s="330" t="s">
        <v>3311</v>
      </c>
      <c r="C475" s="528">
        <v>43029</v>
      </c>
      <c r="D475" s="198" t="s">
        <v>2592</v>
      </c>
      <c r="E475" s="53" t="s">
        <v>1396</v>
      </c>
      <c r="F475" s="198" t="s">
        <v>3800</v>
      </c>
      <c r="G475" s="3" t="s">
        <v>50</v>
      </c>
      <c r="H475" s="53" t="s">
        <v>380</v>
      </c>
      <c r="I475" s="3" t="s">
        <v>1976</v>
      </c>
      <c r="J475" s="4" t="s">
        <v>292</v>
      </c>
      <c r="K475" s="4" t="s">
        <v>1163</v>
      </c>
      <c r="L475" s="4" t="s">
        <v>2593</v>
      </c>
      <c r="M475" s="43" t="s">
        <v>2594</v>
      </c>
      <c r="N475" s="255">
        <v>415000</v>
      </c>
      <c r="O475" s="265">
        <v>60</v>
      </c>
      <c r="P475" s="270">
        <v>1</v>
      </c>
      <c r="Q475" s="255">
        <v>249000</v>
      </c>
      <c r="R475" s="283">
        <v>249000</v>
      </c>
      <c r="S475" s="283">
        <v>79376</v>
      </c>
      <c r="T475" s="287">
        <v>0</v>
      </c>
      <c r="U475" s="287">
        <v>1</v>
      </c>
      <c r="V475" s="287">
        <v>0</v>
      </c>
      <c r="W475" s="283">
        <v>24900</v>
      </c>
      <c r="X475" s="283">
        <v>0</v>
      </c>
      <c r="Y475" s="199" t="s">
        <v>1392</v>
      </c>
      <c r="Z475" s="517" t="s">
        <v>5166</v>
      </c>
      <c r="AA475" s="493" t="s">
        <v>1485</v>
      </c>
      <c r="AB475" s="507"/>
    </row>
    <row r="476" spans="2:28" x14ac:dyDescent="0.15">
      <c r="B476" s="330" t="s">
        <v>3312</v>
      </c>
      <c r="C476" s="528">
        <v>43029</v>
      </c>
      <c r="D476" s="198" t="s">
        <v>2595</v>
      </c>
      <c r="E476" s="53" t="s">
        <v>1396</v>
      </c>
      <c r="F476" s="198" t="s">
        <v>3800</v>
      </c>
      <c r="G476" s="3" t="s">
        <v>50</v>
      </c>
      <c r="H476" s="53" t="s">
        <v>379</v>
      </c>
      <c r="I476" s="3" t="s">
        <v>2551</v>
      </c>
      <c r="J476" s="4" t="s">
        <v>270</v>
      </c>
      <c r="K476" s="4" t="s">
        <v>539</v>
      </c>
      <c r="L476" s="4" t="s">
        <v>2596</v>
      </c>
      <c r="M476" s="43" t="s">
        <v>2597</v>
      </c>
      <c r="N476" s="255">
        <v>166800</v>
      </c>
      <c r="O476" s="265">
        <v>100</v>
      </c>
      <c r="P476" s="270">
        <v>1</v>
      </c>
      <c r="Q476" s="255">
        <v>166800</v>
      </c>
      <c r="R476" s="283">
        <v>166800</v>
      </c>
      <c r="S476" s="283">
        <v>28819</v>
      </c>
      <c r="T476" s="287">
        <v>0</v>
      </c>
      <c r="U476" s="287">
        <v>1</v>
      </c>
      <c r="V476" s="287">
        <v>0</v>
      </c>
      <c r="W476" s="283">
        <v>16680</v>
      </c>
      <c r="X476" s="283">
        <v>0</v>
      </c>
      <c r="Y476" s="199" t="s">
        <v>1392</v>
      </c>
      <c r="Z476" s="517" t="s">
        <v>5166</v>
      </c>
      <c r="AA476" s="493" t="s">
        <v>1485</v>
      </c>
      <c r="AB476" s="507"/>
    </row>
    <row r="477" spans="2:28" x14ac:dyDescent="0.15">
      <c r="B477" s="330" t="s">
        <v>3313</v>
      </c>
      <c r="C477" s="528">
        <v>43031</v>
      </c>
      <c r="D477" s="198" t="s">
        <v>2592</v>
      </c>
      <c r="E477" s="53" t="s">
        <v>1396</v>
      </c>
      <c r="F477" s="198" t="s">
        <v>3793</v>
      </c>
      <c r="G477" s="3" t="s">
        <v>1111</v>
      </c>
      <c r="H477" s="53" t="s">
        <v>2599</v>
      </c>
      <c r="I477" s="3" t="s">
        <v>2601</v>
      </c>
      <c r="J477" s="4" t="s">
        <v>295</v>
      </c>
      <c r="K477" s="4" t="s">
        <v>1166</v>
      </c>
      <c r="L477" s="4" t="s">
        <v>1498</v>
      </c>
      <c r="M477" s="43"/>
      <c r="N477" s="255">
        <v>24000</v>
      </c>
      <c r="O477" s="265">
        <v>65</v>
      </c>
      <c r="P477" s="270">
        <v>1</v>
      </c>
      <c r="Q477" s="255">
        <v>15600</v>
      </c>
      <c r="R477" s="283">
        <v>15600</v>
      </c>
      <c r="S477" s="283">
        <v>4700</v>
      </c>
      <c r="T477" s="287">
        <v>0</v>
      </c>
      <c r="U477" s="287">
        <v>0</v>
      </c>
      <c r="V477" s="287">
        <v>0</v>
      </c>
      <c r="W477" s="283">
        <v>1800</v>
      </c>
      <c r="X477" s="283">
        <v>0</v>
      </c>
      <c r="Y477" s="199" t="s">
        <v>1392</v>
      </c>
      <c r="Z477" s="517" t="s">
        <v>5533</v>
      </c>
      <c r="AA477" s="493" t="s">
        <v>1485</v>
      </c>
      <c r="AB477" s="507"/>
    </row>
    <row r="478" spans="2:28" x14ac:dyDescent="0.15">
      <c r="B478" s="330" t="s">
        <v>3314</v>
      </c>
      <c r="C478" s="528">
        <v>43035</v>
      </c>
      <c r="D478" s="198" t="s">
        <v>2613</v>
      </c>
      <c r="E478" s="53" t="s">
        <v>1396</v>
      </c>
      <c r="F478" s="198" t="s">
        <v>3804</v>
      </c>
      <c r="G478" s="3" t="s">
        <v>1513</v>
      </c>
      <c r="H478" s="53"/>
      <c r="I478" s="3"/>
      <c r="J478" s="4" t="s">
        <v>297</v>
      </c>
      <c r="K478" s="4" t="s">
        <v>369</v>
      </c>
      <c r="L478" s="4" t="s">
        <v>2618</v>
      </c>
      <c r="M478" s="43"/>
      <c r="N478" s="255">
        <v>100</v>
      </c>
      <c r="O478" s="265">
        <v>50</v>
      </c>
      <c r="P478" s="270">
        <v>100</v>
      </c>
      <c r="Q478" s="255">
        <v>50</v>
      </c>
      <c r="R478" s="283">
        <v>10000</v>
      </c>
      <c r="S478" s="283">
        <v>2050</v>
      </c>
      <c r="T478" s="287">
        <v>0</v>
      </c>
      <c r="U478" s="287">
        <v>0</v>
      </c>
      <c r="V478" s="287">
        <v>0</v>
      </c>
      <c r="W478" s="283">
        <v>750</v>
      </c>
      <c r="X478" s="283">
        <v>0</v>
      </c>
      <c r="Y478" s="199" t="s">
        <v>1392</v>
      </c>
      <c r="Z478" s="517" t="s">
        <v>5537</v>
      </c>
      <c r="AA478" s="493" t="s">
        <v>1485</v>
      </c>
      <c r="AB478" s="507"/>
    </row>
    <row r="479" spans="2:28" x14ac:dyDescent="0.15">
      <c r="B479" s="330" t="s">
        <v>3315</v>
      </c>
      <c r="C479" s="528">
        <v>43035</v>
      </c>
      <c r="D479" s="198" t="s">
        <v>2619</v>
      </c>
      <c r="E479" s="53" t="s">
        <v>1396</v>
      </c>
      <c r="F479" s="198" t="s">
        <v>3804</v>
      </c>
      <c r="G479" s="3" t="s">
        <v>1513</v>
      </c>
      <c r="H479" s="53"/>
      <c r="I479" s="3"/>
      <c r="J479" s="4" t="s">
        <v>297</v>
      </c>
      <c r="K479" s="4" t="s">
        <v>369</v>
      </c>
      <c r="L479" s="4" t="s">
        <v>1509</v>
      </c>
      <c r="M479" s="43"/>
      <c r="N479" s="255">
        <v>200</v>
      </c>
      <c r="O479" s="265">
        <v>50</v>
      </c>
      <c r="P479" s="270">
        <v>100</v>
      </c>
      <c r="Q479" s="255">
        <v>100</v>
      </c>
      <c r="R479" s="283">
        <v>10000</v>
      </c>
      <c r="S479" s="283">
        <v>5700</v>
      </c>
      <c r="T479" s="287">
        <v>0</v>
      </c>
      <c r="U479" s="287">
        <v>0</v>
      </c>
      <c r="V479" s="287">
        <v>0</v>
      </c>
      <c r="W479" s="283">
        <v>1500</v>
      </c>
      <c r="X479" s="283">
        <v>0</v>
      </c>
      <c r="Y479" s="199" t="s">
        <v>1392</v>
      </c>
      <c r="Z479" s="517" t="s">
        <v>5537</v>
      </c>
      <c r="AA479" s="493" t="s">
        <v>1485</v>
      </c>
      <c r="AB479" s="507"/>
    </row>
    <row r="480" spans="2:28" x14ac:dyDescent="0.15">
      <c r="B480" s="330" t="s">
        <v>3316</v>
      </c>
      <c r="C480" s="528">
        <v>43035</v>
      </c>
      <c r="D480" s="198" t="s">
        <v>2619</v>
      </c>
      <c r="E480" s="53" t="s">
        <v>1396</v>
      </c>
      <c r="F480" s="198" t="s">
        <v>3804</v>
      </c>
      <c r="G480" s="3" t="s">
        <v>1513</v>
      </c>
      <c r="H480" s="53"/>
      <c r="I480" s="3"/>
      <c r="J480" s="4" t="s">
        <v>297</v>
      </c>
      <c r="K480" s="4" t="s">
        <v>369</v>
      </c>
      <c r="L480" s="4" t="s">
        <v>1484</v>
      </c>
      <c r="M480" s="43"/>
      <c r="N480" s="255">
        <v>200</v>
      </c>
      <c r="O480" s="265">
        <v>50</v>
      </c>
      <c r="P480" s="270">
        <v>100</v>
      </c>
      <c r="Q480" s="255">
        <v>100</v>
      </c>
      <c r="R480" s="283">
        <v>10000</v>
      </c>
      <c r="S480" s="283">
        <v>5700</v>
      </c>
      <c r="T480" s="287">
        <v>0</v>
      </c>
      <c r="U480" s="287">
        <v>0</v>
      </c>
      <c r="V480" s="287">
        <v>0</v>
      </c>
      <c r="W480" s="283">
        <v>1500</v>
      </c>
      <c r="X480" s="283">
        <v>0</v>
      </c>
      <c r="Y480" s="199" t="s">
        <v>1392</v>
      </c>
      <c r="Z480" s="517" t="s">
        <v>5537</v>
      </c>
      <c r="AA480" s="493" t="s">
        <v>1485</v>
      </c>
      <c r="AB480" s="507"/>
    </row>
    <row r="481" spans="2:28" x14ac:dyDescent="0.15">
      <c r="B481" s="330" t="s">
        <v>3317</v>
      </c>
      <c r="C481" s="528">
        <v>43035</v>
      </c>
      <c r="D481" s="198" t="s">
        <v>2630</v>
      </c>
      <c r="E481" s="53" t="s">
        <v>1396</v>
      </c>
      <c r="F481" s="198" t="s">
        <v>3796</v>
      </c>
      <c r="G481" s="3" t="s">
        <v>368</v>
      </c>
      <c r="H481" s="53" t="s">
        <v>792</v>
      </c>
      <c r="I481" s="3" t="s">
        <v>1413</v>
      </c>
      <c r="J481" s="4" t="s">
        <v>262</v>
      </c>
      <c r="K481" s="4" t="s">
        <v>365</v>
      </c>
      <c r="L481" s="4" t="s">
        <v>1728</v>
      </c>
      <c r="M481" s="43" t="s">
        <v>2631</v>
      </c>
      <c r="N481" s="255">
        <v>260000</v>
      </c>
      <c r="O481" s="265">
        <v>60</v>
      </c>
      <c r="P481" s="270">
        <v>1</v>
      </c>
      <c r="Q481" s="255">
        <v>156000</v>
      </c>
      <c r="R481" s="283">
        <v>156000</v>
      </c>
      <c r="S481" s="283">
        <v>44082</v>
      </c>
      <c r="T481" s="287">
        <v>0</v>
      </c>
      <c r="U481" s="287">
        <v>1</v>
      </c>
      <c r="V481" s="287">
        <v>0</v>
      </c>
      <c r="W481" s="283">
        <v>15600</v>
      </c>
      <c r="X481" s="283">
        <v>0</v>
      </c>
      <c r="Y481" s="199" t="s">
        <v>1392</v>
      </c>
      <c r="Z481" s="517" t="s">
        <v>5166</v>
      </c>
      <c r="AA481" s="493" t="s">
        <v>1485</v>
      </c>
      <c r="AB481" s="507"/>
    </row>
    <row r="482" spans="2:28" x14ac:dyDescent="0.15">
      <c r="B482" s="330" t="s">
        <v>3318</v>
      </c>
      <c r="C482" s="528">
        <v>43040</v>
      </c>
      <c r="D482" s="198" t="s">
        <v>2577</v>
      </c>
      <c r="E482" s="53" t="s">
        <v>1391</v>
      </c>
      <c r="F482" s="198" t="s">
        <v>3798</v>
      </c>
      <c r="G482" s="3" t="s">
        <v>370</v>
      </c>
      <c r="H482" s="53" t="s">
        <v>1491</v>
      </c>
      <c r="I482" s="3" t="s">
        <v>1492</v>
      </c>
      <c r="J482" s="4" t="s">
        <v>264</v>
      </c>
      <c r="K482" s="4" t="s">
        <v>538</v>
      </c>
      <c r="L482" s="4" t="s">
        <v>2531</v>
      </c>
      <c r="M482" s="43" t="s">
        <v>2578</v>
      </c>
      <c r="N482" s="255">
        <v>340000</v>
      </c>
      <c r="O482" s="265">
        <v>60</v>
      </c>
      <c r="P482" s="270">
        <v>1</v>
      </c>
      <c r="Q482" s="255">
        <v>204000</v>
      </c>
      <c r="R482" s="283">
        <v>204000</v>
      </c>
      <c r="S482" s="283">
        <v>49790</v>
      </c>
      <c r="T482" s="287">
        <v>0</v>
      </c>
      <c r="U482" s="287">
        <v>1</v>
      </c>
      <c r="V482" s="287">
        <v>0</v>
      </c>
      <c r="W482" s="283">
        <v>20400</v>
      </c>
      <c r="X482" s="283">
        <v>0</v>
      </c>
      <c r="Y482" s="199" t="s">
        <v>1392</v>
      </c>
      <c r="Z482" s="517" t="s">
        <v>5540</v>
      </c>
      <c r="AA482" s="493" t="s">
        <v>1485</v>
      </c>
      <c r="AB482" s="507"/>
    </row>
    <row r="483" spans="2:28" x14ac:dyDescent="0.15">
      <c r="B483" s="330" t="s">
        <v>3319</v>
      </c>
      <c r="C483" s="528">
        <v>43040</v>
      </c>
      <c r="D483" s="198" t="s">
        <v>2586</v>
      </c>
      <c r="E483" s="53" t="s">
        <v>1391</v>
      </c>
      <c r="F483" s="198" t="s">
        <v>3803</v>
      </c>
      <c r="G483" s="3" t="s">
        <v>371</v>
      </c>
      <c r="H483" s="53" t="s">
        <v>384</v>
      </c>
      <c r="I483" s="3" t="s">
        <v>1428</v>
      </c>
      <c r="J483" s="4" t="s">
        <v>264</v>
      </c>
      <c r="K483" s="4" t="s">
        <v>538</v>
      </c>
      <c r="L483" s="4" t="s">
        <v>2587</v>
      </c>
      <c r="M483" s="43" t="s">
        <v>2588</v>
      </c>
      <c r="N483" s="255">
        <v>216000</v>
      </c>
      <c r="O483" s="265">
        <v>100</v>
      </c>
      <c r="P483" s="270">
        <v>1</v>
      </c>
      <c r="Q483" s="255">
        <v>216000</v>
      </c>
      <c r="R483" s="283">
        <v>216000</v>
      </c>
      <c r="S483" s="283">
        <v>52782</v>
      </c>
      <c r="T483" s="287">
        <v>0</v>
      </c>
      <c r="U483" s="287">
        <v>1</v>
      </c>
      <c r="V483" s="287">
        <v>0</v>
      </c>
      <c r="W483" s="283">
        <v>24923</v>
      </c>
      <c r="X483" s="283">
        <v>0</v>
      </c>
      <c r="Y483" s="199" t="s">
        <v>1392</v>
      </c>
      <c r="Z483" s="517" t="s">
        <v>5532</v>
      </c>
      <c r="AA483" s="493" t="s">
        <v>1485</v>
      </c>
      <c r="AB483" s="507"/>
    </row>
    <row r="484" spans="2:28" x14ac:dyDescent="0.15">
      <c r="B484" s="330" t="s">
        <v>3320</v>
      </c>
      <c r="C484" s="528">
        <v>43040</v>
      </c>
      <c r="D484" s="198" t="s">
        <v>2595</v>
      </c>
      <c r="E484" s="53" t="s">
        <v>1391</v>
      </c>
      <c r="F484" s="198" t="s">
        <v>3797</v>
      </c>
      <c r="G484" s="3" t="s">
        <v>362</v>
      </c>
      <c r="H484" s="53" t="s">
        <v>689</v>
      </c>
      <c r="I484" s="3" t="s">
        <v>1394</v>
      </c>
      <c r="J484" s="4" t="s">
        <v>272</v>
      </c>
      <c r="K484" s="4" t="s">
        <v>363</v>
      </c>
      <c r="L484" s="4" t="s">
        <v>2047</v>
      </c>
      <c r="M484" s="43" t="s">
        <v>2603</v>
      </c>
      <c r="N484" s="255">
        <v>280000</v>
      </c>
      <c r="O484" s="265">
        <v>55</v>
      </c>
      <c r="P484" s="270">
        <v>1</v>
      </c>
      <c r="Q484" s="255">
        <v>154000</v>
      </c>
      <c r="R484" s="283">
        <v>154000</v>
      </c>
      <c r="S484" s="283">
        <v>48346</v>
      </c>
      <c r="T484" s="287">
        <v>1</v>
      </c>
      <c r="U484" s="287">
        <v>0</v>
      </c>
      <c r="V484" s="287">
        <v>0</v>
      </c>
      <c r="W484" s="283">
        <v>0</v>
      </c>
      <c r="X484" s="283">
        <v>0</v>
      </c>
      <c r="Y484" s="199" t="s">
        <v>1395</v>
      </c>
      <c r="Z484" s="517" t="s">
        <v>5166</v>
      </c>
      <c r="AA484" s="493" t="s">
        <v>1485</v>
      </c>
      <c r="AB484" s="507"/>
    </row>
    <row r="485" spans="2:28" x14ac:dyDescent="0.15">
      <c r="B485" s="330" t="s">
        <v>3321</v>
      </c>
      <c r="C485" s="528">
        <v>43040</v>
      </c>
      <c r="D485" s="198" t="s">
        <v>2625</v>
      </c>
      <c r="E485" s="53" t="s">
        <v>1391</v>
      </c>
      <c r="F485" s="198" t="s">
        <v>3813</v>
      </c>
      <c r="G485" s="3" t="s">
        <v>366</v>
      </c>
      <c r="H485" s="53" t="s">
        <v>1137</v>
      </c>
      <c r="I485" s="3" t="s">
        <v>1420</v>
      </c>
      <c r="J485" s="4" t="s">
        <v>292</v>
      </c>
      <c r="K485" s="4" t="s">
        <v>1163</v>
      </c>
      <c r="L485" s="4" t="s">
        <v>2626</v>
      </c>
      <c r="M485" s="43" t="s">
        <v>2627</v>
      </c>
      <c r="N485" s="255">
        <v>216000</v>
      </c>
      <c r="O485" s="265">
        <v>100</v>
      </c>
      <c r="P485" s="270">
        <v>1</v>
      </c>
      <c r="Q485" s="255">
        <v>216000</v>
      </c>
      <c r="R485" s="283">
        <v>216000</v>
      </c>
      <c r="S485" s="283">
        <v>54676</v>
      </c>
      <c r="T485" s="287">
        <v>0</v>
      </c>
      <c r="U485" s="287">
        <v>1</v>
      </c>
      <c r="V485" s="287">
        <v>0</v>
      </c>
      <c r="W485" s="283">
        <v>21600</v>
      </c>
      <c r="X485" s="283">
        <v>0</v>
      </c>
      <c r="Y485" s="199" t="s">
        <v>1392</v>
      </c>
      <c r="Z485" s="517" t="s">
        <v>5167</v>
      </c>
      <c r="AA485" s="493" t="s">
        <v>1485</v>
      </c>
      <c r="AB485" s="507"/>
    </row>
    <row r="486" spans="2:28" x14ac:dyDescent="0.15">
      <c r="B486" s="330" t="s">
        <v>3322</v>
      </c>
      <c r="C486" s="528">
        <v>43040</v>
      </c>
      <c r="D486" s="198" t="s">
        <v>2628</v>
      </c>
      <c r="E486" s="53" t="s">
        <v>1396</v>
      </c>
      <c r="F486" s="198" t="s">
        <v>3799</v>
      </c>
      <c r="G486" s="3" t="s">
        <v>1110</v>
      </c>
      <c r="H486" s="53" t="s">
        <v>802</v>
      </c>
      <c r="I486" s="3" t="s">
        <v>1417</v>
      </c>
      <c r="J486" s="4" t="s">
        <v>262</v>
      </c>
      <c r="K486" s="4" t="s">
        <v>365</v>
      </c>
      <c r="L486" s="4" t="s">
        <v>1983</v>
      </c>
      <c r="M486" s="43" t="s">
        <v>2629</v>
      </c>
      <c r="N486" s="255">
        <v>154800</v>
      </c>
      <c r="O486" s="265">
        <v>100</v>
      </c>
      <c r="P486" s="270">
        <v>1</v>
      </c>
      <c r="Q486" s="255">
        <v>154800</v>
      </c>
      <c r="R486" s="283">
        <v>154800</v>
      </c>
      <c r="S486" s="283">
        <v>39102</v>
      </c>
      <c r="T486" s="287">
        <v>0</v>
      </c>
      <c r="U486" s="287">
        <v>1</v>
      </c>
      <c r="V486" s="287">
        <v>0</v>
      </c>
      <c r="W486" s="283">
        <v>15480</v>
      </c>
      <c r="X486" s="283">
        <v>0</v>
      </c>
      <c r="Y486" s="199" t="s">
        <v>1392</v>
      </c>
      <c r="Z486" s="517" t="s">
        <v>5167</v>
      </c>
      <c r="AA486" s="493" t="s">
        <v>1485</v>
      </c>
      <c r="AB486" s="507"/>
    </row>
    <row r="487" spans="2:28" x14ac:dyDescent="0.15">
      <c r="B487" s="330" t="s">
        <v>3323</v>
      </c>
      <c r="C487" s="528">
        <v>43040</v>
      </c>
      <c r="D487" s="198" t="s">
        <v>2632</v>
      </c>
      <c r="E487" s="53" t="s">
        <v>1396</v>
      </c>
      <c r="F487" s="198" t="s">
        <v>3799</v>
      </c>
      <c r="G487" s="3" t="s">
        <v>1110</v>
      </c>
      <c r="H487" s="53" t="s">
        <v>802</v>
      </c>
      <c r="I487" s="3" t="s">
        <v>1417</v>
      </c>
      <c r="J487" s="4" t="s">
        <v>261</v>
      </c>
      <c r="K487" s="4" t="s">
        <v>1153</v>
      </c>
      <c r="L487" s="4" t="s">
        <v>2633</v>
      </c>
      <c r="M487" s="43" t="s">
        <v>2634</v>
      </c>
      <c r="N487" s="255">
        <v>313000</v>
      </c>
      <c r="O487" s="265">
        <v>60</v>
      </c>
      <c r="P487" s="270">
        <v>1</v>
      </c>
      <c r="Q487" s="255">
        <v>187800</v>
      </c>
      <c r="R487" s="283">
        <v>187800</v>
      </c>
      <c r="S487" s="283">
        <v>52803</v>
      </c>
      <c r="T487" s="287">
        <v>0</v>
      </c>
      <c r="U487" s="287">
        <v>1</v>
      </c>
      <c r="V487" s="287">
        <v>0</v>
      </c>
      <c r="W487" s="283">
        <v>18780</v>
      </c>
      <c r="X487" s="283">
        <v>0</v>
      </c>
      <c r="Y487" s="199" t="s">
        <v>1392</v>
      </c>
      <c r="Z487" s="517" t="s">
        <v>5167</v>
      </c>
      <c r="AA487" s="493" t="s">
        <v>1485</v>
      </c>
      <c r="AB487" s="507"/>
    </row>
    <row r="488" spans="2:28" x14ac:dyDescent="0.15">
      <c r="B488" s="330" t="s">
        <v>3324</v>
      </c>
      <c r="C488" s="528">
        <v>43040</v>
      </c>
      <c r="D488" s="198" t="s">
        <v>2635</v>
      </c>
      <c r="E488" s="53" t="s">
        <v>1396</v>
      </c>
      <c r="F488" s="198" t="s">
        <v>3799</v>
      </c>
      <c r="G488" s="3" t="s">
        <v>1110</v>
      </c>
      <c r="H488" s="53" t="s">
        <v>802</v>
      </c>
      <c r="I488" s="3" t="s">
        <v>1417</v>
      </c>
      <c r="J488" s="4" t="s">
        <v>299</v>
      </c>
      <c r="K488" s="4" t="s">
        <v>373</v>
      </c>
      <c r="L488" s="4" t="s">
        <v>2636</v>
      </c>
      <c r="M488" s="43"/>
      <c r="N488" s="255">
        <v>90000</v>
      </c>
      <c r="O488" s="265">
        <v>100</v>
      </c>
      <c r="P488" s="270">
        <v>1</v>
      </c>
      <c r="Q488" s="255">
        <v>90000</v>
      </c>
      <c r="R488" s="283">
        <v>90000</v>
      </c>
      <c r="S488" s="283">
        <v>30616</v>
      </c>
      <c r="T488" s="287">
        <v>0</v>
      </c>
      <c r="U488" s="287">
        <v>0</v>
      </c>
      <c r="V488" s="287">
        <v>0</v>
      </c>
      <c r="W488" s="283">
        <v>10384</v>
      </c>
      <c r="X488" s="283">
        <v>0</v>
      </c>
      <c r="Y488" s="199" t="s">
        <v>1392</v>
      </c>
      <c r="Z488" s="517" t="s">
        <v>5167</v>
      </c>
      <c r="AA488" s="493" t="s">
        <v>1485</v>
      </c>
      <c r="AB488" s="507"/>
    </row>
    <row r="489" spans="2:28" x14ac:dyDescent="0.15">
      <c r="B489" s="330" t="s">
        <v>3325</v>
      </c>
      <c r="C489" s="528">
        <v>43040</v>
      </c>
      <c r="D489" s="198" t="s">
        <v>2637</v>
      </c>
      <c r="E489" s="53" t="s">
        <v>1396</v>
      </c>
      <c r="F489" s="198" t="s">
        <v>3799</v>
      </c>
      <c r="G489" s="3" t="s">
        <v>1110</v>
      </c>
      <c r="H489" s="53" t="s">
        <v>802</v>
      </c>
      <c r="I489" s="3" t="s">
        <v>1417</v>
      </c>
      <c r="J489" s="4" t="s">
        <v>295</v>
      </c>
      <c r="K489" s="4" t="s">
        <v>1166</v>
      </c>
      <c r="L489" s="4" t="s">
        <v>1483</v>
      </c>
      <c r="M489" s="43"/>
      <c r="N489" s="255">
        <v>33000</v>
      </c>
      <c r="O489" s="265">
        <v>60</v>
      </c>
      <c r="P489" s="270">
        <v>1</v>
      </c>
      <c r="Q489" s="255">
        <v>19800</v>
      </c>
      <c r="R489" s="283">
        <v>19800</v>
      </c>
      <c r="S489" s="283">
        <v>6570</v>
      </c>
      <c r="T489" s="287">
        <v>0</v>
      </c>
      <c r="U489" s="287">
        <v>0</v>
      </c>
      <c r="V489" s="287">
        <v>0</v>
      </c>
      <c r="W489" s="283">
        <v>1980</v>
      </c>
      <c r="X489" s="283">
        <v>0</v>
      </c>
      <c r="Y489" s="199" t="s">
        <v>1392</v>
      </c>
      <c r="Z489" s="517" t="s">
        <v>5167</v>
      </c>
      <c r="AA489" s="493" t="s">
        <v>1485</v>
      </c>
      <c r="AB489" s="507"/>
    </row>
    <row r="490" spans="2:28" x14ac:dyDescent="0.15">
      <c r="B490" s="330" t="s">
        <v>3326</v>
      </c>
      <c r="C490" s="529">
        <v>43041</v>
      </c>
      <c r="D490" s="198" t="s">
        <v>2592</v>
      </c>
      <c r="E490" s="198" t="s">
        <v>1391</v>
      </c>
      <c r="F490" s="198" t="s">
        <v>3794</v>
      </c>
      <c r="G490" s="197" t="s">
        <v>364</v>
      </c>
      <c r="H490" s="198" t="s">
        <v>473</v>
      </c>
      <c r="I490" s="197" t="s">
        <v>1400</v>
      </c>
      <c r="J490" s="190" t="s">
        <v>297</v>
      </c>
      <c r="K490" s="190" t="s">
        <v>369</v>
      </c>
      <c r="L490" s="190" t="s">
        <v>2638</v>
      </c>
      <c r="M490" s="191"/>
      <c r="N490" s="256">
        <v>100</v>
      </c>
      <c r="O490" s="264">
        <v>50</v>
      </c>
      <c r="P490" s="271">
        <v>100</v>
      </c>
      <c r="Q490" s="256">
        <v>50</v>
      </c>
      <c r="R490" s="285">
        <v>5000</v>
      </c>
      <c r="S490" s="285">
        <v>2050</v>
      </c>
      <c r="T490" s="271">
        <v>0</v>
      </c>
      <c r="U490" s="271">
        <v>0</v>
      </c>
      <c r="V490" s="271">
        <v>0</v>
      </c>
      <c r="W490" s="285">
        <v>750</v>
      </c>
      <c r="X490" s="285">
        <v>0</v>
      </c>
      <c r="Y490" s="191" t="s">
        <v>1392</v>
      </c>
      <c r="Z490" s="517" t="s">
        <v>5550</v>
      </c>
      <c r="AA490" s="502" t="s">
        <v>1485</v>
      </c>
      <c r="AB490" s="510"/>
    </row>
    <row r="491" spans="2:28" x14ac:dyDescent="0.15">
      <c r="B491" s="330" t="s">
        <v>3327</v>
      </c>
      <c r="C491" s="528">
        <v>43041</v>
      </c>
      <c r="D491" s="198" t="s">
        <v>2598</v>
      </c>
      <c r="E491" s="53" t="s">
        <v>1391</v>
      </c>
      <c r="F491" s="198" t="s">
        <v>3810</v>
      </c>
      <c r="G491" s="3" t="s">
        <v>367</v>
      </c>
      <c r="H491" s="53"/>
      <c r="I491" s="3"/>
      <c r="J491" s="4" t="s">
        <v>264</v>
      </c>
      <c r="K491" s="4" t="s">
        <v>538</v>
      </c>
      <c r="L491" s="4" t="s">
        <v>2640</v>
      </c>
      <c r="M491" s="43" t="s">
        <v>2641</v>
      </c>
      <c r="N491" s="255">
        <v>210000</v>
      </c>
      <c r="O491" s="265">
        <v>100</v>
      </c>
      <c r="P491" s="270">
        <v>1</v>
      </c>
      <c r="Q491" s="255">
        <v>210000</v>
      </c>
      <c r="R491" s="283">
        <v>210000</v>
      </c>
      <c r="S491" s="283">
        <v>42018</v>
      </c>
      <c r="T491" s="287">
        <v>0</v>
      </c>
      <c r="U491" s="287">
        <v>1</v>
      </c>
      <c r="V491" s="287">
        <v>0</v>
      </c>
      <c r="W491" s="283">
        <v>21000</v>
      </c>
      <c r="X491" s="283">
        <v>0</v>
      </c>
      <c r="Y491" s="199" t="s">
        <v>1392</v>
      </c>
      <c r="Z491" s="517" t="s">
        <v>5166</v>
      </c>
      <c r="AA491" s="493" t="s">
        <v>1485</v>
      </c>
      <c r="AB491" s="507"/>
    </row>
    <row r="492" spans="2:28" x14ac:dyDescent="0.15">
      <c r="B492" s="330" t="s">
        <v>3328</v>
      </c>
      <c r="C492" s="528">
        <v>43041</v>
      </c>
      <c r="D492" s="198" t="s">
        <v>2610</v>
      </c>
      <c r="E492" s="53" t="s">
        <v>1391</v>
      </c>
      <c r="F492" s="198" t="s">
        <v>3794</v>
      </c>
      <c r="G492" s="3" t="s">
        <v>364</v>
      </c>
      <c r="H492" s="53" t="s">
        <v>511</v>
      </c>
      <c r="I492" s="3" t="s">
        <v>2377</v>
      </c>
      <c r="J492" s="4" t="s">
        <v>270</v>
      </c>
      <c r="K492" s="4" t="s">
        <v>539</v>
      </c>
      <c r="L492" s="4" t="s">
        <v>2220</v>
      </c>
      <c r="M492" s="43" t="s">
        <v>2643</v>
      </c>
      <c r="N492" s="255">
        <v>328000</v>
      </c>
      <c r="O492" s="265">
        <v>65</v>
      </c>
      <c r="P492" s="270">
        <v>1</v>
      </c>
      <c r="Q492" s="255">
        <v>213200</v>
      </c>
      <c r="R492" s="283">
        <v>213200</v>
      </c>
      <c r="S492" s="283">
        <v>95399</v>
      </c>
      <c r="T492" s="287">
        <v>1</v>
      </c>
      <c r="U492" s="287">
        <v>0</v>
      </c>
      <c r="V492" s="287">
        <v>0</v>
      </c>
      <c r="W492" s="283">
        <v>0</v>
      </c>
      <c r="X492" s="283">
        <v>0</v>
      </c>
      <c r="Y492" s="199" t="s">
        <v>1395</v>
      </c>
      <c r="Z492" s="517" t="s">
        <v>5170</v>
      </c>
      <c r="AA492" s="493" t="s">
        <v>1485</v>
      </c>
      <c r="AB492" s="507"/>
    </row>
    <row r="493" spans="2:28" x14ac:dyDescent="0.15">
      <c r="B493" s="330" t="s">
        <v>3329</v>
      </c>
      <c r="C493" s="528">
        <v>43041</v>
      </c>
      <c r="D493" s="198" t="s">
        <v>2613</v>
      </c>
      <c r="E493" s="53" t="s">
        <v>1391</v>
      </c>
      <c r="F493" s="198" t="s">
        <v>3805</v>
      </c>
      <c r="G493" s="3" t="s">
        <v>1113</v>
      </c>
      <c r="H493" s="53"/>
      <c r="I493" s="3"/>
      <c r="J493" s="4"/>
      <c r="K493" s="4"/>
      <c r="L493" s="4" t="s">
        <v>2644</v>
      </c>
      <c r="M493" s="43"/>
      <c r="N493" s="255">
        <v>600</v>
      </c>
      <c r="O493" s="265">
        <v>100</v>
      </c>
      <c r="P493" s="270">
        <v>2</v>
      </c>
      <c r="Q493" s="255">
        <v>600</v>
      </c>
      <c r="R493" s="283">
        <v>1200</v>
      </c>
      <c r="S493" s="283">
        <v>0</v>
      </c>
      <c r="T493" s="287">
        <v>0</v>
      </c>
      <c r="U493" s="287">
        <v>0</v>
      </c>
      <c r="V493" s="287">
        <v>0</v>
      </c>
      <c r="W493" s="283">
        <v>0</v>
      </c>
      <c r="X493" s="283">
        <v>0</v>
      </c>
      <c r="Y493" s="199" t="s">
        <v>4146</v>
      </c>
      <c r="Z493" s="517" t="s">
        <v>5166</v>
      </c>
      <c r="AA493" s="493" t="s">
        <v>1485</v>
      </c>
      <c r="AB493" s="507"/>
    </row>
    <row r="494" spans="2:28" x14ac:dyDescent="0.15">
      <c r="B494" s="330" t="s">
        <v>3330</v>
      </c>
      <c r="C494" s="528">
        <v>43041</v>
      </c>
      <c r="D494" s="198" t="s">
        <v>2614</v>
      </c>
      <c r="E494" s="53" t="s">
        <v>1391</v>
      </c>
      <c r="F494" s="198" t="s">
        <v>3794</v>
      </c>
      <c r="G494" s="3" t="s">
        <v>364</v>
      </c>
      <c r="H494" s="53" t="s">
        <v>492</v>
      </c>
      <c r="I494" s="3" t="s">
        <v>1431</v>
      </c>
      <c r="J494" s="4" t="s">
        <v>262</v>
      </c>
      <c r="K494" s="4" t="s">
        <v>365</v>
      </c>
      <c r="L494" s="4" t="s">
        <v>1728</v>
      </c>
      <c r="M494" s="43" t="s">
        <v>2645</v>
      </c>
      <c r="N494" s="255">
        <v>270000</v>
      </c>
      <c r="O494" s="265">
        <v>60</v>
      </c>
      <c r="P494" s="270">
        <v>1</v>
      </c>
      <c r="Q494" s="255">
        <v>162000</v>
      </c>
      <c r="R494" s="283">
        <v>162000</v>
      </c>
      <c r="S494" s="283">
        <v>49482</v>
      </c>
      <c r="T494" s="287">
        <v>0</v>
      </c>
      <c r="U494" s="287">
        <v>1</v>
      </c>
      <c r="V494" s="287">
        <v>0</v>
      </c>
      <c r="W494" s="283">
        <v>16200</v>
      </c>
      <c r="X494" s="283">
        <v>0</v>
      </c>
      <c r="Y494" s="199" t="s">
        <v>1392</v>
      </c>
      <c r="Z494" s="517" t="s">
        <v>5540</v>
      </c>
      <c r="AA494" s="493" t="s">
        <v>1485</v>
      </c>
      <c r="AB494" s="507"/>
    </row>
    <row r="495" spans="2:28" x14ac:dyDescent="0.15">
      <c r="B495" s="330" t="s">
        <v>3331</v>
      </c>
      <c r="C495" s="528">
        <v>43041</v>
      </c>
      <c r="D495" s="198" t="s">
        <v>2625</v>
      </c>
      <c r="E495" s="53" t="s">
        <v>1391</v>
      </c>
      <c r="F495" s="198" t="s">
        <v>3794</v>
      </c>
      <c r="G495" s="3" t="s">
        <v>364</v>
      </c>
      <c r="H495" s="53" t="s">
        <v>492</v>
      </c>
      <c r="I495" s="3" t="s">
        <v>1431</v>
      </c>
      <c r="J495" s="4" t="s">
        <v>261</v>
      </c>
      <c r="K495" s="4" t="s">
        <v>1153</v>
      </c>
      <c r="L495" s="4" t="s">
        <v>2646</v>
      </c>
      <c r="M495" s="43" t="s">
        <v>2645</v>
      </c>
      <c r="N495" s="255">
        <v>300000</v>
      </c>
      <c r="O495" s="265">
        <v>60</v>
      </c>
      <c r="P495" s="270">
        <v>1</v>
      </c>
      <c r="Q495" s="255">
        <v>180000</v>
      </c>
      <c r="R495" s="283">
        <v>180000</v>
      </c>
      <c r="S495" s="283">
        <v>47922</v>
      </c>
      <c r="T495" s="287">
        <v>0</v>
      </c>
      <c r="U495" s="287">
        <v>1</v>
      </c>
      <c r="V495" s="287">
        <v>0</v>
      </c>
      <c r="W495" s="283">
        <v>18000</v>
      </c>
      <c r="X495" s="283">
        <v>0</v>
      </c>
      <c r="Y495" s="199" t="s">
        <v>1392</v>
      </c>
      <c r="Z495" s="517" t="s">
        <v>5167</v>
      </c>
      <c r="AA495" s="493" t="s">
        <v>1485</v>
      </c>
      <c r="AB495" s="507"/>
    </row>
    <row r="496" spans="2:28" x14ac:dyDescent="0.15">
      <c r="B496" s="330" t="s">
        <v>3332</v>
      </c>
      <c r="C496" s="528">
        <v>43046</v>
      </c>
      <c r="D496" s="198" t="s">
        <v>2628</v>
      </c>
      <c r="E496" s="53" t="s">
        <v>1396</v>
      </c>
      <c r="F496" s="198" t="s">
        <v>3799</v>
      </c>
      <c r="G496" s="3" t="s">
        <v>1110</v>
      </c>
      <c r="H496" s="53" t="s">
        <v>796</v>
      </c>
      <c r="I496" s="3" t="s">
        <v>1428</v>
      </c>
      <c r="J496" s="4" t="s">
        <v>261</v>
      </c>
      <c r="K496" s="4" t="s">
        <v>1153</v>
      </c>
      <c r="L496" s="4" t="s">
        <v>2647</v>
      </c>
      <c r="M496" s="43" t="s">
        <v>2648</v>
      </c>
      <c r="N496" s="255">
        <v>187000</v>
      </c>
      <c r="O496" s="265">
        <v>100</v>
      </c>
      <c r="P496" s="270">
        <v>1</v>
      </c>
      <c r="Q496" s="255">
        <v>187000</v>
      </c>
      <c r="R496" s="283">
        <v>187000</v>
      </c>
      <c r="S496" s="283">
        <v>53882</v>
      </c>
      <c r="T496" s="287">
        <v>0</v>
      </c>
      <c r="U496" s="287">
        <v>1</v>
      </c>
      <c r="V496" s="287">
        <v>0</v>
      </c>
      <c r="W496" s="283">
        <v>15300</v>
      </c>
      <c r="X496" s="283">
        <v>0</v>
      </c>
      <c r="Y496" s="199" t="s">
        <v>1392</v>
      </c>
      <c r="Z496" s="517" t="s">
        <v>5166</v>
      </c>
      <c r="AA496" s="493" t="s">
        <v>1485</v>
      </c>
      <c r="AB496" s="507"/>
    </row>
    <row r="497" spans="2:28" x14ac:dyDescent="0.15">
      <c r="B497" s="330" t="s">
        <v>3333</v>
      </c>
      <c r="C497" s="528">
        <v>43046</v>
      </c>
      <c r="D497" s="198" t="s">
        <v>2657</v>
      </c>
      <c r="E497" s="53" t="s">
        <v>1396</v>
      </c>
      <c r="F497" s="198" t="s">
        <v>3796</v>
      </c>
      <c r="G497" s="3" t="s">
        <v>368</v>
      </c>
      <c r="H497" s="53" t="s">
        <v>792</v>
      </c>
      <c r="I497" s="3" t="s">
        <v>1413</v>
      </c>
      <c r="J497" s="4" t="s">
        <v>262</v>
      </c>
      <c r="K497" s="4" t="s">
        <v>365</v>
      </c>
      <c r="L497" s="4" t="s">
        <v>1738</v>
      </c>
      <c r="M497" s="43" t="s">
        <v>2649</v>
      </c>
      <c r="N497" s="255">
        <v>156000</v>
      </c>
      <c r="O497" s="265">
        <v>100</v>
      </c>
      <c r="P497" s="270">
        <v>1</v>
      </c>
      <c r="Q497" s="255">
        <v>156000</v>
      </c>
      <c r="R497" s="283">
        <v>156000</v>
      </c>
      <c r="S497" s="283">
        <v>40682</v>
      </c>
      <c r="T497" s="287">
        <v>0</v>
      </c>
      <c r="U497" s="287">
        <v>1</v>
      </c>
      <c r="V497" s="287">
        <v>0</v>
      </c>
      <c r="W497" s="283">
        <v>15600</v>
      </c>
      <c r="X497" s="283">
        <v>0</v>
      </c>
      <c r="Y497" s="199" t="s">
        <v>1392</v>
      </c>
      <c r="Z497" s="517" t="s">
        <v>5166</v>
      </c>
      <c r="AA497" s="493" t="s">
        <v>1485</v>
      </c>
      <c r="AB497" s="507"/>
    </row>
    <row r="498" spans="2:28" x14ac:dyDescent="0.15">
      <c r="B498" s="330" t="s">
        <v>3334</v>
      </c>
      <c r="C498" s="528">
        <v>43046</v>
      </c>
      <c r="D498" s="198" t="s">
        <v>2632</v>
      </c>
      <c r="E498" s="53" t="s">
        <v>1396</v>
      </c>
      <c r="F498" s="198" t="s">
        <v>3796</v>
      </c>
      <c r="G498" s="3" t="s">
        <v>368</v>
      </c>
      <c r="H498" s="53" t="s">
        <v>792</v>
      </c>
      <c r="I498" s="3" t="s">
        <v>1413</v>
      </c>
      <c r="J498" s="4" t="s">
        <v>262</v>
      </c>
      <c r="K498" s="4" t="s">
        <v>365</v>
      </c>
      <c r="L498" s="4" t="s">
        <v>1590</v>
      </c>
      <c r="M498" s="43" t="s">
        <v>2650</v>
      </c>
      <c r="N498" s="255">
        <v>156000</v>
      </c>
      <c r="O498" s="265">
        <v>100</v>
      </c>
      <c r="P498" s="270">
        <v>1</v>
      </c>
      <c r="Q498" s="255">
        <v>156000</v>
      </c>
      <c r="R498" s="283">
        <v>156000</v>
      </c>
      <c r="S498" s="283">
        <v>44682</v>
      </c>
      <c r="T498" s="287">
        <v>0</v>
      </c>
      <c r="U498" s="287">
        <v>1</v>
      </c>
      <c r="V498" s="287">
        <v>0</v>
      </c>
      <c r="W498" s="283">
        <v>15600</v>
      </c>
      <c r="X498" s="283">
        <v>0</v>
      </c>
      <c r="Y498" s="199" t="s">
        <v>1392</v>
      </c>
      <c r="Z498" s="517" t="s">
        <v>5166</v>
      </c>
      <c r="AA498" s="493" t="s">
        <v>1485</v>
      </c>
      <c r="AB498" s="507"/>
    </row>
    <row r="499" spans="2:28" x14ac:dyDescent="0.15">
      <c r="B499" s="330" t="s">
        <v>3335</v>
      </c>
      <c r="C499" s="528">
        <v>43046</v>
      </c>
      <c r="D499" s="198" t="s">
        <v>2635</v>
      </c>
      <c r="E499" s="53" t="s">
        <v>1391</v>
      </c>
      <c r="F499" s="198" t="s">
        <v>3794</v>
      </c>
      <c r="G499" s="3" t="s">
        <v>364</v>
      </c>
      <c r="H499" s="53" t="s">
        <v>473</v>
      </c>
      <c r="I499" s="3" t="s">
        <v>1400</v>
      </c>
      <c r="J499" s="4" t="s">
        <v>262</v>
      </c>
      <c r="K499" s="4" t="s">
        <v>365</v>
      </c>
      <c r="L499" s="4" t="s">
        <v>1690</v>
      </c>
      <c r="M499" s="43" t="s">
        <v>2651</v>
      </c>
      <c r="N499" s="255">
        <v>260000</v>
      </c>
      <c r="O499" s="265">
        <v>60</v>
      </c>
      <c r="P499" s="270">
        <v>1</v>
      </c>
      <c r="Q499" s="255">
        <v>156000</v>
      </c>
      <c r="R499" s="283">
        <v>156000</v>
      </c>
      <c r="S499" s="283">
        <v>45182</v>
      </c>
      <c r="T499" s="287">
        <v>0</v>
      </c>
      <c r="U499" s="287">
        <v>1</v>
      </c>
      <c r="V499" s="287">
        <v>0</v>
      </c>
      <c r="W499" s="283">
        <v>15600</v>
      </c>
      <c r="X499" s="283">
        <v>0</v>
      </c>
      <c r="Y499" s="199" t="s">
        <v>1392</v>
      </c>
      <c r="Z499" s="517" t="s">
        <v>5537</v>
      </c>
      <c r="AA499" s="493" t="s">
        <v>1485</v>
      </c>
      <c r="AB499" s="507"/>
    </row>
    <row r="500" spans="2:28" x14ac:dyDescent="0.15">
      <c r="B500" s="330" t="s">
        <v>3336</v>
      </c>
      <c r="C500" s="528">
        <v>43046</v>
      </c>
      <c r="D500" s="198" t="s">
        <v>2652</v>
      </c>
      <c r="E500" s="53" t="s">
        <v>1391</v>
      </c>
      <c r="F500" s="198" t="s">
        <v>3794</v>
      </c>
      <c r="G500" s="3" t="s">
        <v>364</v>
      </c>
      <c r="H500" s="53" t="s">
        <v>423</v>
      </c>
      <c r="I500" s="3" t="s">
        <v>1439</v>
      </c>
      <c r="J500" s="4" t="s">
        <v>1402</v>
      </c>
      <c r="K500" s="4" t="s">
        <v>1403</v>
      </c>
      <c r="L500" s="190" t="s">
        <v>2653</v>
      </c>
      <c r="M500" s="191" t="s">
        <v>2658</v>
      </c>
      <c r="N500" s="255">
        <v>285600</v>
      </c>
      <c r="O500" s="265">
        <v>100</v>
      </c>
      <c r="P500" s="270">
        <v>1</v>
      </c>
      <c r="Q500" s="255">
        <v>285600</v>
      </c>
      <c r="R500" s="283">
        <v>285600</v>
      </c>
      <c r="S500" s="283">
        <v>87432</v>
      </c>
      <c r="T500" s="287">
        <v>0</v>
      </c>
      <c r="U500" s="287">
        <v>0</v>
      </c>
      <c r="V500" s="287">
        <v>0</v>
      </c>
      <c r="W500" s="283">
        <v>28560</v>
      </c>
      <c r="X500" s="283">
        <v>0</v>
      </c>
      <c r="Y500" s="199" t="s">
        <v>1392</v>
      </c>
      <c r="Z500" s="517" t="s">
        <v>5532</v>
      </c>
      <c r="AA500" s="493" t="s">
        <v>1485</v>
      </c>
      <c r="AB500" s="507"/>
    </row>
    <row r="501" spans="2:28" x14ac:dyDescent="0.15">
      <c r="B501" s="330" t="s">
        <v>3337</v>
      </c>
      <c r="C501" s="528">
        <v>43046</v>
      </c>
      <c r="D501" s="198" t="s">
        <v>2654</v>
      </c>
      <c r="E501" s="53" t="s">
        <v>1391</v>
      </c>
      <c r="F501" s="198" t="s">
        <v>3794</v>
      </c>
      <c r="G501" s="3" t="s">
        <v>364</v>
      </c>
      <c r="H501" s="53" t="s">
        <v>494</v>
      </c>
      <c r="I501" s="3" t="s">
        <v>2380</v>
      </c>
      <c r="J501" s="4" t="s">
        <v>298</v>
      </c>
      <c r="K501" s="4" t="s">
        <v>1168</v>
      </c>
      <c r="L501" s="4" t="s">
        <v>2655</v>
      </c>
      <c r="M501" s="43"/>
      <c r="N501" s="255">
        <v>28000</v>
      </c>
      <c r="O501" s="265">
        <v>65</v>
      </c>
      <c r="P501" s="270">
        <v>1</v>
      </c>
      <c r="Q501" s="255">
        <v>18200</v>
      </c>
      <c r="R501" s="283">
        <v>18200</v>
      </c>
      <c r="S501" s="283">
        <v>12000</v>
      </c>
      <c r="T501" s="287">
        <v>0</v>
      </c>
      <c r="U501" s="287">
        <v>0</v>
      </c>
      <c r="V501" s="287">
        <v>0</v>
      </c>
      <c r="W501" s="283">
        <v>2100</v>
      </c>
      <c r="X501" s="283">
        <v>0</v>
      </c>
      <c r="Y501" s="199" t="s">
        <v>1392</v>
      </c>
      <c r="Z501" s="517" t="s">
        <v>5535</v>
      </c>
      <c r="AA501" s="493" t="s">
        <v>1485</v>
      </c>
      <c r="AB501" s="507"/>
    </row>
    <row r="502" spans="2:28" x14ac:dyDescent="0.15">
      <c r="B502" s="330" t="s">
        <v>3338</v>
      </c>
      <c r="C502" s="527">
        <v>43046</v>
      </c>
      <c r="D502" s="191" t="s">
        <v>2656</v>
      </c>
      <c r="E502" s="43" t="s">
        <v>1396</v>
      </c>
      <c r="F502" s="191" t="s">
        <v>3811</v>
      </c>
      <c r="G502" s="4" t="s">
        <v>372</v>
      </c>
      <c r="H502" s="43"/>
      <c r="I502" s="4"/>
      <c r="J502" s="4" t="s">
        <v>297</v>
      </c>
      <c r="K502" s="4" t="s">
        <v>369</v>
      </c>
      <c r="L502" s="4" t="s">
        <v>1509</v>
      </c>
      <c r="M502" s="43"/>
      <c r="N502" s="255">
        <v>200</v>
      </c>
      <c r="O502" s="265">
        <v>40</v>
      </c>
      <c r="P502" s="270">
        <v>100</v>
      </c>
      <c r="Q502" s="255">
        <v>80</v>
      </c>
      <c r="R502" s="283">
        <v>8000</v>
      </c>
      <c r="S502" s="283">
        <v>5200</v>
      </c>
      <c r="T502" s="287">
        <v>0</v>
      </c>
      <c r="U502" s="287">
        <v>0</v>
      </c>
      <c r="V502" s="287">
        <v>0</v>
      </c>
      <c r="W502" s="283">
        <v>0</v>
      </c>
      <c r="X502" s="283">
        <v>0</v>
      </c>
      <c r="Y502" s="199" t="s">
        <v>1395</v>
      </c>
      <c r="Z502" s="517" t="s">
        <v>5537</v>
      </c>
      <c r="AA502" s="493" t="s">
        <v>1485</v>
      </c>
      <c r="AB502" s="507"/>
    </row>
    <row r="503" spans="2:28" x14ac:dyDescent="0.15">
      <c r="B503" s="330" t="s">
        <v>3339</v>
      </c>
      <c r="C503" s="527">
        <v>43049</v>
      </c>
      <c r="D503" s="191" t="s">
        <v>2659</v>
      </c>
      <c r="E503" s="43" t="s">
        <v>1391</v>
      </c>
      <c r="F503" s="191" t="s">
        <v>3813</v>
      </c>
      <c r="G503" s="4" t="s">
        <v>366</v>
      </c>
      <c r="H503" s="43" t="s">
        <v>1137</v>
      </c>
      <c r="I503" s="4" t="s">
        <v>1420</v>
      </c>
      <c r="J503" s="4" t="s">
        <v>270</v>
      </c>
      <c r="K503" s="4" t="s">
        <v>539</v>
      </c>
      <c r="L503" s="4" t="s">
        <v>2220</v>
      </c>
      <c r="M503" s="191" t="s">
        <v>2660</v>
      </c>
      <c r="N503" s="255">
        <v>169800</v>
      </c>
      <c r="O503" s="265">
        <v>100</v>
      </c>
      <c r="P503" s="270">
        <v>1</v>
      </c>
      <c r="Q503" s="255">
        <v>169800</v>
      </c>
      <c r="R503" s="283">
        <v>169800</v>
      </c>
      <c r="S503" s="283">
        <v>35019</v>
      </c>
      <c r="T503" s="287">
        <v>0</v>
      </c>
      <c r="U503" s="287">
        <v>1</v>
      </c>
      <c r="V503" s="287">
        <v>0</v>
      </c>
      <c r="W503" s="283">
        <v>16980</v>
      </c>
      <c r="X503" s="283">
        <v>0</v>
      </c>
      <c r="Y503" s="199" t="s">
        <v>1392</v>
      </c>
      <c r="Z503" s="517" t="s">
        <v>5167</v>
      </c>
      <c r="AA503" s="493" t="s">
        <v>1485</v>
      </c>
      <c r="AB503" s="507"/>
    </row>
    <row r="504" spans="2:28" x14ac:dyDescent="0.15">
      <c r="B504" s="330" t="s">
        <v>3340</v>
      </c>
      <c r="C504" s="527">
        <v>43049</v>
      </c>
      <c r="D504" s="191" t="s">
        <v>2663</v>
      </c>
      <c r="E504" s="43" t="s">
        <v>1391</v>
      </c>
      <c r="F504" s="191" t="s">
        <v>3797</v>
      </c>
      <c r="G504" s="4" t="s">
        <v>362</v>
      </c>
      <c r="H504" s="43" t="s">
        <v>689</v>
      </c>
      <c r="I504" s="4" t="s">
        <v>1394</v>
      </c>
      <c r="J504" s="4" t="s">
        <v>264</v>
      </c>
      <c r="K504" s="4" t="s">
        <v>538</v>
      </c>
      <c r="L504" s="4" t="s">
        <v>2515</v>
      </c>
      <c r="M504" s="43" t="s">
        <v>2664</v>
      </c>
      <c r="N504" s="255">
        <v>340000</v>
      </c>
      <c r="O504" s="265">
        <v>55</v>
      </c>
      <c r="P504" s="270">
        <v>1</v>
      </c>
      <c r="Q504" s="255">
        <v>187000</v>
      </c>
      <c r="R504" s="283">
        <v>187000</v>
      </c>
      <c r="S504" s="283">
        <v>52460</v>
      </c>
      <c r="T504" s="287">
        <v>1</v>
      </c>
      <c r="U504" s="287">
        <v>0</v>
      </c>
      <c r="V504" s="287">
        <v>0</v>
      </c>
      <c r="W504" s="283">
        <v>0</v>
      </c>
      <c r="X504" s="283">
        <v>0</v>
      </c>
      <c r="Y504" s="199" t="s">
        <v>1395</v>
      </c>
      <c r="Z504" s="517" t="s">
        <v>5166</v>
      </c>
      <c r="AA504" s="493" t="s">
        <v>1485</v>
      </c>
      <c r="AB504" s="507"/>
    </row>
    <row r="505" spans="2:28" x14ac:dyDescent="0.15">
      <c r="B505" s="330" t="s">
        <v>3341</v>
      </c>
      <c r="C505" s="527">
        <v>43054</v>
      </c>
      <c r="D505" s="191" t="s">
        <v>2674</v>
      </c>
      <c r="E505" s="43" t="s">
        <v>1396</v>
      </c>
      <c r="F505" s="191" t="s">
        <v>3796</v>
      </c>
      <c r="G505" s="4" t="s">
        <v>368</v>
      </c>
      <c r="H505" s="43" t="s">
        <v>792</v>
      </c>
      <c r="I505" s="4" t="s">
        <v>1413</v>
      </c>
      <c r="J505" s="4" t="s">
        <v>298</v>
      </c>
      <c r="K505" s="4" t="s">
        <v>1168</v>
      </c>
      <c r="L505" s="4" t="s">
        <v>1449</v>
      </c>
      <c r="M505" s="43"/>
      <c r="N505" s="255">
        <v>3500</v>
      </c>
      <c r="O505" s="265">
        <v>65</v>
      </c>
      <c r="P505" s="270">
        <v>2</v>
      </c>
      <c r="Q505" s="255">
        <v>2275</v>
      </c>
      <c r="R505" s="283">
        <v>4550</v>
      </c>
      <c r="S505" s="283">
        <v>1016</v>
      </c>
      <c r="T505" s="287">
        <v>0</v>
      </c>
      <c r="U505" s="287">
        <v>0</v>
      </c>
      <c r="V505" s="287">
        <v>0</v>
      </c>
      <c r="W505" s="283">
        <v>542</v>
      </c>
      <c r="X505" s="283">
        <v>0</v>
      </c>
      <c r="Y505" s="199" t="s">
        <v>1392</v>
      </c>
      <c r="Z505" s="517" t="s">
        <v>5532</v>
      </c>
      <c r="AA505" s="493" t="s">
        <v>1485</v>
      </c>
      <c r="AB505" s="507"/>
    </row>
    <row r="506" spans="2:28" x14ac:dyDescent="0.15">
      <c r="B506" s="330" t="s">
        <v>3342</v>
      </c>
      <c r="C506" s="527">
        <v>43054</v>
      </c>
      <c r="D506" s="191" t="s">
        <v>2675</v>
      </c>
      <c r="E506" s="43" t="s">
        <v>1391</v>
      </c>
      <c r="F506" s="191" t="s">
        <v>3797</v>
      </c>
      <c r="G506" s="4" t="s">
        <v>362</v>
      </c>
      <c r="H506" s="43" t="s">
        <v>689</v>
      </c>
      <c r="I506" s="4" t="s">
        <v>1394</v>
      </c>
      <c r="J506" s="4" t="s">
        <v>262</v>
      </c>
      <c r="K506" s="4" t="s">
        <v>365</v>
      </c>
      <c r="L506" s="4" t="s">
        <v>1690</v>
      </c>
      <c r="M506" s="43" t="s">
        <v>2676</v>
      </c>
      <c r="N506" s="255">
        <v>260000</v>
      </c>
      <c r="O506" s="265">
        <v>55</v>
      </c>
      <c r="P506" s="270">
        <v>1</v>
      </c>
      <c r="Q506" s="255">
        <v>143000</v>
      </c>
      <c r="R506" s="283">
        <v>143000</v>
      </c>
      <c r="S506" s="283">
        <v>36472</v>
      </c>
      <c r="T506" s="287">
        <v>1</v>
      </c>
      <c r="U506" s="287">
        <v>0</v>
      </c>
      <c r="V506" s="287">
        <v>0</v>
      </c>
      <c r="W506" s="283">
        <v>0</v>
      </c>
      <c r="X506" s="283">
        <v>0</v>
      </c>
      <c r="Y506" s="199" t="s">
        <v>1395</v>
      </c>
      <c r="Z506" s="517" t="s">
        <v>5166</v>
      </c>
      <c r="AA506" s="493" t="s">
        <v>1485</v>
      </c>
      <c r="AB506" s="507"/>
    </row>
    <row r="507" spans="2:28" x14ac:dyDescent="0.15">
      <c r="B507" s="330" t="s">
        <v>3343</v>
      </c>
      <c r="C507" s="527">
        <v>43054</v>
      </c>
      <c r="D507" s="191" t="s">
        <v>2677</v>
      </c>
      <c r="E507" s="43" t="s">
        <v>1391</v>
      </c>
      <c r="F507" s="191" t="s">
        <v>3797</v>
      </c>
      <c r="G507" s="4" t="s">
        <v>362</v>
      </c>
      <c r="H507" s="43" t="s">
        <v>689</v>
      </c>
      <c r="I507" s="4" t="s">
        <v>1394</v>
      </c>
      <c r="J507" s="4" t="s">
        <v>262</v>
      </c>
      <c r="K507" s="4" t="s">
        <v>365</v>
      </c>
      <c r="L507" s="4" t="s">
        <v>1728</v>
      </c>
      <c r="M507" s="43" t="s">
        <v>2678</v>
      </c>
      <c r="N507" s="255">
        <v>270000</v>
      </c>
      <c r="O507" s="265">
        <v>55</v>
      </c>
      <c r="P507" s="270">
        <v>1</v>
      </c>
      <c r="Q507" s="255">
        <v>148500</v>
      </c>
      <c r="R507" s="283">
        <v>148500</v>
      </c>
      <c r="S507" s="283">
        <v>40422</v>
      </c>
      <c r="T507" s="287">
        <v>1</v>
      </c>
      <c r="U507" s="287">
        <v>0</v>
      </c>
      <c r="V507" s="287">
        <v>0</v>
      </c>
      <c r="W507" s="283">
        <v>0</v>
      </c>
      <c r="X507" s="283">
        <v>0</v>
      </c>
      <c r="Y507" s="199" t="s">
        <v>1395</v>
      </c>
      <c r="Z507" s="517" t="s">
        <v>5166</v>
      </c>
      <c r="AA507" s="493" t="s">
        <v>1485</v>
      </c>
      <c r="AB507" s="507"/>
    </row>
    <row r="508" spans="2:28" x14ac:dyDescent="0.15">
      <c r="B508" s="330" t="s">
        <v>3344</v>
      </c>
      <c r="C508" s="527">
        <v>43056</v>
      </c>
      <c r="D508" s="191" t="s">
        <v>2679</v>
      </c>
      <c r="E508" s="43" t="s">
        <v>1396</v>
      </c>
      <c r="F508" s="191" t="s">
        <v>3796</v>
      </c>
      <c r="G508" s="4" t="s">
        <v>368</v>
      </c>
      <c r="H508" s="43" t="s">
        <v>792</v>
      </c>
      <c r="I508" s="4" t="s">
        <v>1413</v>
      </c>
      <c r="J508" s="4" t="s">
        <v>262</v>
      </c>
      <c r="K508" s="4" t="s">
        <v>365</v>
      </c>
      <c r="L508" s="4" t="s">
        <v>2680</v>
      </c>
      <c r="M508" s="43" t="s">
        <v>2676</v>
      </c>
      <c r="N508" s="255">
        <v>270000</v>
      </c>
      <c r="O508" s="265">
        <v>60</v>
      </c>
      <c r="P508" s="270">
        <v>1</v>
      </c>
      <c r="Q508" s="255">
        <v>162000</v>
      </c>
      <c r="R508" s="283">
        <v>162000</v>
      </c>
      <c r="S508" s="283">
        <v>46092</v>
      </c>
      <c r="T508" s="287">
        <v>0</v>
      </c>
      <c r="U508" s="287">
        <v>1</v>
      </c>
      <c r="V508" s="287">
        <v>0</v>
      </c>
      <c r="W508" s="283">
        <v>16200</v>
      </c>
      <c r="X508" s="283">
        <v>0</v>
      </c>
      <c r="Y508" s="199" t="s">
        <v>1392</v>
      </c>
      <c r="Z508" s="517" t="s">
        <v>5166</v>
      </c>
      <c r="AA508" s="493" t="s">
        <v>1485</v>
      </c>
      <c r="AB508" s="507"/>
    </row>
    <row r="509" spans="2:28" x14ac:dyDescent="0.15">
      <c r="B509" s="330" t="s">
        <v>3345</v>
      </c>
      <c r="C509" s="527">
        <v>43059</v>
      </c>
      <c r="D509" s="191" t="s">
        <v>2610</v>
      </c>
      <c r="E509" s="43" t="s">
        <v>1391</v>
      </c>
      <c r="F509" s="191" t="s">
        <v>3794</v>
      </c>
      <c r="G509" s="4" t="s">
        <v>364</v>
      </c>
      <c r="H509" s="43" t="s">
        <v>444</v>
      </c>
      <c r="I509" s="4" t="s">
        <v>1440</v>
      </c>
      <c r="J509" s="4" t="s">
        <v>1402</v>
      </c>
      <c r="K509" s="4" t="s">
        <v>1403</v>
      </c>
      <c r="L509" s="4" t="s">
        <v>2681</v>
      </c>
      <c r="M509" s="43" t="s">
        <v>2684</v>
      </c>
      <c r="N509" s="255">
        <v>260000</v>
      </c>
      <c r="O509" s="265">
        <v>60</v>
      </c>
      <c r="P509" s="270">
        <v>1</v>
      </c>
      <c r="Q509" s="255">
        <v>156000</v>
      </c>
      <c r="R509" s="283">
        <v>156000</v>
      </c>
      <c r="S509" s="283">
        <v>34172</v>
      </c>
      <c r="T509" s="287">
        <v>0</v>
      </c>
      <c r="U509" s="287">
        <v>1</v>
      </c>
      <c r="V509" s="287">
        <v>0</v>
      </c>
      <c r="W509" s="283">
        <v>15600</v>
      </c>
      <c r="X509" s="283">
        <v>0</v>
      </c>
      <c r="Y509" s="199" t="s">
        <v>1392</v>
      </c>
      <c r="Z509" s="517" t="s">
        <v>5166</v>
      </c>
      <c r="AA509" s="493" t="s">
        <v>1485</v>
      </c>
      <c r="AB509" s="507"/>
    </row>
    <row r="510" spans="2:28" x14ac:dyDescent="0.15">
      <c r="B510" s="330" t="s">
        <v>3346</v>
      </c>
      <c r="C510" s="527">
        <v>43059</v>
      </c>
      <c r="D510" s="191" t="s">
        <v>2613</v>
      </c>
      <c r="E510" s="43" t="s">
        <v>1391</v>
      </c>
      <c r="F510" s="191" t="s">
        <v>3797</v>
      </c>
      <c r="G510" s="4" t="s">
        <v>362</v>
      </c>
      <c r="H510" s="43" t="s">
        <v>689</v>
      </c>
      <c r="I510" s="4" t="s">
        <v>1394</v>
      </c>
      <c r="J510" s="4" t="s">
        <v>261</v>
      </c>
      <c r="K510" s="4" t="s">
        <v>1153</v>
      </c>
      <c r="L510" s="4" t="s">
        <v>2682</v>
      </c>
      <c r="M510" s="43" t="s">
        <v>2683</v>
      </c>
      <c r="N510" s="255">
        <v>270000</v>
      </c>
      <c r="O510" s="265">
        <v>55</v>
      </c>
      <c r="P510" s="270">
        <v>1</v>
      </c>
      <c r="Q510" s="255">
        <v>148500</v>
      </c>
      <c r="R510" s="283">
        <v>148500</v>
      </c>
      <c r="S510" s="283">
        <v>45291</v>
      </c>
      <c r="T510" s="287">
        <v>1</v>
      </c>
      <c r="U510" s="287">
        <v>0</v>
      </c>
      <c r="V510" s="287">
        <v>0</v>
      </c>
      <c r="W510" s="283">
        <v>0</v>
      </c>
      <c r="X510" s="283">
        <v>0</v>
      </c>
      <c r="Y510" s="199" t="s">
        <v>1395</v>
      </c>
      <c r="Z510" s="517" t="s">
        <v>5532</v>
      </c>
      <c r="AA510" s="493" t="s">
        <v>1485</v>
      </c>
      <c r="AB510" s="507"/>
    </row>
    <row r="511" spans="2:28" x14ac:dyDescent="0.15">
      <c r="B511" s="330" t="s">
        <v>3347</v>
      </c>
      <c r="C511" s="527">
        <v>43059</v>
      </c>
      <c r="D511" s="191" t="s">
        <v>2614</v>
      </c>
      <c r="E511" s="43" t="s">
        <v>1391</v>
      </c>
      <c r="F511" s="191" t="s">
        <v>3794</v>
      </c>
      <c r="G511" s="4" t="s">
        <v>364</v>
      </c>
      <c r="H511" s="43" t="s">
        <v>477</v>
      </c>
      <c r="I511" s="4" t="s">
        <v>1429</v>
      </c>
      <c r="J511" s="4" t="s">
        <v>297</v>
      </c>
      <c r="K511" s="4" t="s">
        <v>369</v>
      </c>
      <c r="L511" s="4" t="s">
        <v>1509</v>
      </c>
      <c r="M511" s="43"/>
      <c r="N511" s="255">
        <v>200</v>
      </c>
      <c r="O511" s="265">
        <v>50</v>
      </c>
      <c r="P511" s="270">
        <v>100</v>
      </c>
      <c r="Q511" s="255">
        <v>100</v>
      </c>
      <c r="R511" s="283">
        <v>10000</v>
      </c>
      <c r="S511" s="283">
        <v>5700</v>
      </c>
      <c r="T511" s="287">
        <v>0</v>
      </c>
      <c r="U511" s="287">
        <v>0</v>
      </c>
      <c r="V511" s="287">
        <v>0</v>
      </c>
      <c r="W511" s="283">
        <v>1500</v>
      </c>
      <c r="X511" s="283">
        <v>0</v>
      </c>
      <c r="Y511" s="199" t="s">
        <v>1392</v>
      </c>
      <c r="Z511" s="517" t="s">
        <v>5537</v>
      </c>
      <c r="AA511" s="493" t="s">
        <v>1485</v>
      </c>
      <c r="AB511" s="507"/>
    </row>
    <row r="512" spans="2:28" x14ac:dyDescent="0.15">
      <c r="B512" s="330" t="s">
        <v>3348</v>
      </c>
      <c r="C512" s="527">
        <v>43059</v>
      </c>
      <c r="D512" s="191" t="s">
        <v>2625</v>
      </c>
      <c r="E512" s="43" t="s">
        <v>1396</v>
      </c>
      <c r="F512" s="191" t="s">
        <v>3800</v>
      </c>
      <c r="G512" s="4" t="s">
        <v>50</v>
      </c>
      <c r="H512" s="43" t="s">
        <v>2685</v>
      </c>
      <c r="I512" s="4" t="s">
        <v>2376</v>
      </c>
      <c r="J512" s="4"/>
      <c r="K512" s="4"/>
      <c r="L512" s="4" t="s">
        <v>2686</v>
      </c>
      <c r="M512" s="43"/>
      <c r="N512" s="255">
        <v>143594</v>
      </c>
      <c r="O512" s="265">
        <v>100</v>
      </c>
      <c r="P512" s="270">
        <v>-1</v>
      </c>
      <c r="Q512" s="255">
        <v>143594</v>
      </c>
      <c r="R512" s="283">
        <v>-143594</v>
      </c>
      <c r="S512" s="283">
        <v>-143594</v>
      </c>
      <c r="T512" s="287">
        <v>0</v>
      </c>
      <c r="U512" s="287">
        <v>0</v>
      </c>
      <c r="V512" s="287">
        <v>0</v>
      </c>
      <c r="W512" s="283">
        <v>0</v>
      </c>
      <c r="X512" s="283">
        <v>0</v>
      </c>
      <c r="Y512" s="199"/>
      <c r="Z512" s="517" t="s">
        <v>5542</v>
      </c>
      <c r="AA512" s="493"/>
      <c r="AB512" s="507"/>
    </row>
    <row r="513" spans="2:28" x14ac:dyDescent="0.15">
      <c r="B513" s="330" t="s">
        <v>3349</v>
      </c>
      <c r="C513" s="527">
        <v>43059</v>
      </c>
      <c r="D513" s="191" t="s">
        <v>2632</v>
      </c>
      <c r="E513" s="43" t="s">
        <v>1391</v>
      </c>
      <c r="F513" s="191" t="s">
        <v>3794</v>
      </c>
      <c r="G513" s="4" t="s">
        <v>364</v>
      </c>
      <c r="H513" s="43" t="s">
        <v>432</v>
      </c>
      <c r="I513" s="4" t="s">
        <v>375</v>
      </c>
      <c r="J513" s="4" t="s">
        <v>299</v>
      </c>
      <c r="K513" s="4" t="s">
        <v>373</v>
      </c>
      <c r="L513" s="190" t="s">
        <v>2689</v>
      </c>
      <c r="M513" s="43"/>
      <c r="N513" s="255">
        <v>5000</v>
      </c>
      <c r="O513" s="265">
        <v>100</v>
      </c>
      <c r="P513" s="270">
        <v>1</v>
      </c>
      <c r="Q513" s="255">
        <v>5000</v>
      </c>
      <c r="R513" s="283">
        <v>5000</v>
      </c>
      <c r="S513" s="283">
        <v>2424</v>
      </c>
      <c r="T513" s="287">
        <v>0</v>
      </c>
      <c r="U513" s="287">
        <v>0</v>
      </c>
      <c r="V513" s="287">
        <v>0</v>
      </c>
      <c r="W513" s="283">
        <v>3652</v>
      </c>
      <c r="X513" s="283">
        <v>0</v>
      </c>
      <c r="Y513" s="199" t="s">
        <v>1392</v>
      </c>
      <c r="Z513" s="517" t="s">
        <v>5166</v>
      </c>
      <c r="AA513" s="493" t="s">
        <v>1485</v>
      </c>
      <c r="AB513" s="507"/>
    </row>
    <row r="514" spans="2:28" x14ac:dyDescent="0.15">
      <c r="B514" s="330" t="s">
        <v>3350</v>
      </c>
      <c r="C514" s="527">
        <v>43059</v>
      </c>
      <c r="D514" s="191" t="s">
        <v>2635</v>
      </c>
      <c r="E514" s="43" t="s">
        <v>1396</v>
      </c>
      <c r="F514" s="191" t="s">
        <v>3795</v>
      </c>
      <c r="G514" s="4" t="s">
        <v>1321</v>
      </c>
      <c r="H514" s="43"/>
      <c r="I514" s="4"/>
      <c r="J514" s="4"/>
      <c r="K514" s="4"/>
      <c r="L514" s="4" t="s">
        <v>1418</v>
      </c>
      <c r="M514" s="43"/>
      <c r="N514" s="255">
        <v>42867</v>
      </c>
      <c r="O514" s="265">
        <v>100</v>
      </c>
      <c r="P514" s="270">
        <v>-1</v>
      </c>
      <c r="Q514" s="255">
        <v>42867</v>
      </c>
      <c r="R514" s="283">
        <v>-42867</v>
      </c>
      <c r="S514" s="283">
        <v>-42867</v>
      </c>
      <c r="T514" s="287">
        <v>0</v>
      </c>
      <c r="U514" s="287">
        <v>0</v>
      </c>
      <c r="V514" s="287">
        <v>0</v>
      </c>
      <c r="W514" s="283">
        <v>42867</v>
      </c>
      <c r="X514" s="283">
        <v>0</v>
      </c>
      <c r="Y514" s="199" t="s">
        <v>1392</v>
      </c>
      <c r="Z514" s="517" t="s">
        <v>5449</v>
      </c>
      <c r="AA514" s="493"/>
      <c r="AB514" s="507"/>
    </row>
    <row r="515" spans="2:28" x14ac:dyDescent="0.15">
      <c r="B515" s="330" t="s">
        <v>3351</v>
      </c>
      <c r="C515" s="528">
        <v>43060</v>
      </c>
      <c r="D515" s="198" t="s">
        <v>2575</v>
      </c>
      <c r="E515" s="53" t="s">
        <v>1396</v>
      </c>
      <c r="F515" s="198" t="s">
        <v>3800</v>
      </c>
      <c r="G515" s="3" t="s">
        <v>50</v>
      </c>
      <c r="H515" s="53" t="s">
        <v>1434</v>
      </c>
      <c r="I515" s="3" t="s">
        <v>1435</v>
      </c>
      <c r="J515" s="4" t="s">
        <v>264</v>
      </c>
      <c r="K515" s="4" t="s">
        <v>538</v>
      </c>
      <c r="L515" s="4" t="s">
        <v>2531</v>
      </c>
      <c r="M515" s="43" t="s">
        <v>2576</v>
      </c>
      <c r="N515" s="255">
        <v>340000</v>
      </c>
      <c r="O515" s="265">
        <v>60</v>
      </c>
      <c r="P515" s="270">
        <v>1</v>
      </c>
      <c r="Q515" s="255">
        <v>204000</v>
      </c>
      <c r="R515" s="283">
        <v>204000</v>
      </c>
      <c r="S515" s="283">
        <v>49790</v>
      </c>
      <c r="T515" s="287">
        <v>0</v>
      </c>
      <c r="U515" s="287">
        <v>1</v>
      </c>
      <c r="V515" s="287">
        <v>0</v>
      </c>
      <c r="W515" s="283">
        <v>20400</v>
      </c>
      <c r="X515" s="283">
        <v>0</v>
      </c>
      <c r="Y515" s="199" t="s">
        <v>1392</v>
      </c>
      <c r="Z515" s="517" t="s">
        <v>5167</v>
      </c>
      <c r="AA515" s="493" t="s">
        <v>1485</v>
      </c>
      <c r="AB515" s="507"/>
    </row>
    <row r="516" spans="2:28" x14ac:dyDescent="0.15">
      <c r="B516" s="330" t="s">
        <v>3352</v>
      </c>
      <c r="C516" s="528">
        <v>43060</v>
      </c>
      <c r="D516" s="198" t="s">
        <v>2589</v>
      </c>
      <c r="E516" s="53" t="s">
        <v>1396</v>
      </c>
      <c r="F516" s="198" t="s">
        <v>3800</v>
      </c>
      <c r="G516" s="3" t="s">
        <v>50</v>
      </c>
      <c r="H516" s="53" t="s">
        <v>379</v>
      </c>
      <c r="I516" s="3" t="s">
        <v>2551</v>
      </c>
      <c r="J516" s="4" t="s">
        <v>271</v>
      </c>
      <c r="K516" s="4" t="s">
        <v>1160</v>
      </c>
      <c r="L516" s="4" t="s">
        <v>2590</v>
      </c>
      <c r="M516" s="43" t="s">
        <v>2591</v>
      </c>
      <c r="N516" s="255">
        <v>184800</v>
      </c>
      <c r="O516" s="265">
        <v>100</v>
      </c>
      <c r="P516" s="270">
        <v>1</v>
      </c>
      <c r="Q516" s="255">
        <v>184800</v>
      </c>
      <c r="R516" s="283">
        <v>184800</v>
      </c>
      <c r="S516" s="283">
        <v>35306</v>
      </c>
      <c r="T516" s="287">
        <v>0</v>
      </c>
      <c r="U516" s="287">
        <v>1</v>
      </c>
      <c r="V516" s="287">
        <v>0</v>
      </c>
      <c r="W516" s="283">
        <v>18480</v>
      </c>
      <c r="X516" s="283">
        <v>0</v>
      </c>
      <c r="Y516" s="199" t="s">
        <v>1392</v>
      </c>
      <c r="Z516" s="517" t="s">
        <v>5543</v>
      </c>
      <c r="AA516" s="493" t="s">
        <v>1485</v>
      </c>
      <c r="AB516" s="507"/>
    </row>
    <row r="517" spans="2:28" x14ac:dyDescent="0.15">
      <c r="B517" s="330" t="s">
        <v>3353</v>
      </c>
      <c r="C517" s="528">
        <v>43060</v>
      </c>
      <c r="D517" s="198" t="s">
        <v>2598</v>
      </c>
      <c r="E517" s="53" t="s">
        <v>1396</v>
      </c>
      <c r="F517" s="198" t="s">
        <v>3811</v>
      </c>
      <c r="G517" s="3" t="s">
        <v>372</v>
      </c>
      <c r="H517" s="53"/>
      <c r="I517" s="3"/>
      <c r="J517" s="4" t="s">
        <v>297</v>
      </c>
      <c r="K517" s="4" t="s">
        <v>369</v>
      </c>
      <c r="L517" s="4" t="s">
        <v>1484</v>
      </c>
      <c r="M517" s="43"/>
      <c r="N517" s="255">
        <v>200</v>
      </c>
      <c r="O517" s="265">
        <v>40</v>
      </c>
      <c r="P517" s="270">
        <v>100</v>
      </c>
      <c r="Q517" s="255">
        <v>80</v>
      </c>
      <c r="R517" s="283">
        <v>8000</v>
      </c>
      <c r="S517" s="283">
        <v>5200</v>
      </c>
      <c r="T517" s="287">
        <v>0</v>
      </c>
      <c r="U517" s="287">
        <v>0</v>
      </c>
      <c r="V517" s="287">
        <v>0</v>
      </c>
      <c r="W517" s="283">
        <v>0</v>
      </c>
      <c r="X517" s="283">
        <v>0</v>
      </c>
      <c r="Y517" s="199" t="s">
        <v>1395</v>
      </c>
      <c r="Z517" s="517" t="s">
        <v>5544</v>
      </c>
      <c r="AA517" s="493" t="s">
        <v>1485</v>
      </c>
      <c r="AB517" s="507"/>
    </row>
    <row r="518" spans="2:28" x14ac:dyDescent="0.15">
      <c r="B518" s="330" t="s">
        <v>3354</v>
      </c>
      <c r="C518" s="528">
        <v>43060</v>
      </c>
      <c r="D518" s="198" t="s">
        <v>2661</v>
      </c>
      <c r="E518" s="53" t="s">
        <v>1396</v>
      </c>
      <c r="F518" s="198" t="s">
        <v>3800</v>
      </c>
      <c r="G518" s="3" t="s">
        <v>50</v>
      </c>
      <c r="H518" s="53" t="s">
        <v>1434</v>
      </c>
      <c r="I518" s="3" t="s">
        <v>1435</v>
      </c>
      <c r="J518" s="4" t="s">
        <v>268</v>
      </c>
      <c r="K518" s="4" t="s">
        <v>1158</v>
      </c>
      <c r="L518" s="4" t="s">
        <v>1847</v>
      </c>
      <c r="M518" s="43" t="s">
        <v>2662</v>
      </c>
      <c r="N518" s="255">
        <v>295000</v>
      </c>
      <c r="O518" s="265">
        <v>60</v>
      </c>
      <c r="P518" s="270">
        <v>1</v>
      </c>
      <c r="Q518" s="255">
        <v>177000</v>
      </c>
      <c r="R518" s="283">
        <v>177000</v>
      </c>
      <c r="S518" s="283">
        <v>30392</v>
      </c>
      <c r="T518" s="287">
        <v>0</v>
      </c>
      <c r="U518" s="287">
        <v>1</v>
      </c>
      <c r="V518" s="287">
        <v>0</v>
      </c>
      <c r="W518" s="283">
        <v>17700</v>
      </c>
      <c r="X518" s="283">
        <v>0</v>
      </c>
      <c r="Y518" s="199" t="s">
        <v>1392</v>
      </c>
      <c r="Z518" s="517" t="s">
        <v>5167</v>
      </c>
      <c r="AA518" s="493" t="s">
        <v>1485</v>
      </c>
      <c r="AB518" s="507"/>
    </row>
    <row r="519" spans="2:28" x14ac:dyDescent="0.15">
      <c r="B519" s="330" t="s">
        <v>3355</v>
      </c>
      <c r="C519" s="528">
        <v>43060</v>
      </c>
      <c r="D519" s="198" t="s">
        <v>2665</v>
      </c>
      <c r="E519" s="53" t="s">
        <v>1396</v>
      </c>
      <c r="F519" s="198" t="s">
        <v>3800</v>
      </c>
      <c r="G519" s="3" t="s">
        <v>50</v>
      </c>
      <c r="H519" s="53" t="s">
        <v>1434</v>
      </c>
      <c r="I519" s="3" t="s">
        <v>1435</v>
      </c>
      <c r="J519" s="4" t="s">
        <v>273</v>
      </c>
      <c r="K519" s="4" t="s">
        <v>1161</v>
      </c>
      <c r="L519" s="4" t="s">
        <v>2666</v>
      </c>
      <c r="M519" s="43" t="s">
        <v>2667</v>
      </c>
      <c r="N519" s="255">
        <v>260000</v>
      </c>
      <c r="O519" s="265">
        <v>60</v>
      </c>
      <c r="P519" s="270">
        <v>1</v>
      </c>
      <c r="Q519" s="255">
        <v>156000</v>
      </c>
      <c r="R519" s="283">
        <v>156000</v>
      </c>
      <c r="S519" s="283">
        <v>54385</v>
      </c>
      <c r="T519" s="287">
        <v>0</v>
      </c>
      <c r="U519" s="287">
        <v>1</v>
      </c>
      <c r="V519" s="287">
        <v>0</v>
      </c>
      <c r="W519" s="283">
        <v>15600</v>
      </c>
      <c r="X519" s="283">
        <v>0</v>
      </c>
      <c r="Y519" s="199" t="s">
        <v>1392</v>
      </c>
      <c r="Z519" s="517" t="s">
        <v>5540</v>
      </c>
      <c r="AA519" s="493" t="s">
        <v>1485</v>
      </c>
      <c r="AB519" s="507"/>
    </row>
    <row r="520" spans="2:28" x14ac:dyDescent="0.15">
      <c r="B520" s="330" t="s">
        <v>3356</v>
      </c>
      <c r="C520" s="528">
        <v>43060</v>
      </c>
      <c r="D520" s="198" t="s">
        <v>2668</v>
      </c>
      <c r="E520" s="53" t="s">
        <v>1396</v>
      </c>
      <c r="F520" s="198" t="s">
        <v>3800</v>
      </c>
      <c r="G520" s="3" t="s">
        <v>50</v>
      </c>
      <c r="H520" s="53" t="s">
        <v>1434</v>
      </c>
      <c r="I520" s="3" t="s">
        <v>1435</v>
      </c>
      <c r="J520" s="4" t="s">
        <v>268</v>
      </c>
      <c r="K520" s="4" t="s">
        <v>1158</v>
      </c>
      <c r="L520" s="4" t="s">
        <v>1836</v>
      </c>
      <c r="M520" s="43" t="s">
        <v>2669</v>
      </c>
      <c r="N520" s="255">
        <v>270000</v>
      </c>
      <c r="O520" s="265">
        <v>60</v>
      </c>
      <c r="P520" s="270">
        <v>1</v>
      </c>
      <c r="Q520" s="255">
        <v>162000</v>
      </c>
      <c r="R520" s="283">
        <v>162000</v>
      </c>
      <c r="S520" s="283">
        <v>55792</v>
      </c>
      <c r="T520" s="287">
        <v>0</v>
      </c>
      <c r="U520" s="287">
        <v>1</v>
      </c>
      <c r="V520" s="287">
        <v>0</v>
      </c>
      <c r="W520" s="283">
        <v>16200</v>
      </c>
      <c r="X520" s="283">
        <v>0</v>
      </c>
      <c r="Y520" s="199" t="s">
        <v>1392</v>
      </c>
      <c r="Z520" s="517" t="s">
        <v>5167</v>
      </c>
      <c r="AA520" s="493" t="s">
        <v>1485</v>
      </c>
      <c r="AB520" s="507"/>
    </row>
    <row r="521" spans="2:28" x14ac:dyDescent="0.15">
      <c r="B521" s="330" t="s">
        <v>3357</v>
      </c>
      <c r="C521" s="528">
        <v>43060</v>
      </c>
      <c r="D521" s="198" t="s">
        <v>2670</v>
      </c>
      <c r="E521" s="53" t="s">
        <v>1396</v>
      </c>
      <c r="F521" s="198" t="s">
        <v>3800</v>
      </c>
      <c r="G521" s="3" t="s">
        <v>50</v>
      </c>
      <c r="H521" s="53" t="s">
        <v>1434</v>
      </c>
      <c r="I521" s="3" t="s">
        <v>2673</v>
      </c>
      <c r="J521" s="4" t="s">
        <v>265</v>
      </c>
      <c r="K521" s="4" t="s">
        <v>1155</v>
      </c>
      <c r="L521" s="4" t="s">
        <v>2671</v>
      </c>
      <c r="M521" s="43" t="s">
        <v>2672</v>
      </c>
      <c r="N521" s="255">
        <v>216000</v>
      </c>
      <c r="O521" s="265">
        <v>100</v>
      </c>
      <c r="P521" s="270">
        <v>1</v>
      </c>
      <c r="Q521" s="255">
        <v>216000</v>
      </c>
      <c r="R521" s="283">
        <v>216000</v>
      </c>
      <c r="S521" s="283">
        <v>83275</v>
      </c>
      <c r="T521" s="287">
        <v>0</v>
      </c>
      <c r="U521" s="287">
        <v>1</v>
      </c>
      <c r="V521" s="287">
        <v>0</v>
      </c>
      <c r="W521" s="283">
        <v>24923</v>
      </c>
      <c r="X521" s="283">
        <v>0</v>
      </c>
      <c r="Y521" s="199" t="s">
        <v>1392</v>
      </c>
      <c r="Z521" s="517" t="s">
        <v>5167</v>
      </c>
      <c r="AA521" s="493" t="s">
        <v>1485</v>
      </c>
      <c r="AB521" s="507"/>
    </row>
    <row r="522" spans="2:28" x14ac:dyDescent="0.15">
      <c r="B522" s="330" t="s">
        <v>3358</v>
      </c>
      <c r="C522" s="528">
        <v>43067</v>
      </c>
      <c r="D522" s="198" t="s">
        <v>2632</v>
      </c>
      <c r="E522" s="53" t="s">
        <v>1396</v>
      </c>
      <c r="F522" s="198" t="s">
        <v>3800</v>
      </c>
      <c r="G522" s="3" t="s">
        <v>50</v>
      </c>
      <c r="H522" s="53" t="s">
        <v>381</v>
      </c>
      <c r="I522" s="3" t="s">
        <v>1408</v>
      </c>
      <c r="J522" s="4" t="s">
        <v>271</v>
      </c>
      <c r="K522" s="4" t="s">
        <v>1160</v>
      </c>
      <c r="L522" s="4" t="s">
        <v>1945</v>
      </c>
      <c r="M522" s="43" t="s">
        <v>2690</v>
      </c>
      <c r="N522" s="255">
        <v>348000</v>
      </c>
      <c r="O522" s="265">
        <v>60</v>
      </c>
      <c r="P522" s="270">
        <v>1</v>
      </c>
      <c r="Q522" s="255">
        <v>208800</v>
      </c>
      <c r="R522" s="283">
        <v>208800</v>
      </c>
      <c r="S522" s="283">
        <v>59406</v>
      </c>
      <c r="T522" s="287">
        <v>0</v>
      </c>
      <c r="U522" s="287">
        <v>1</v>
      </c>
      <c r="V522" s="287">
        <v>0</v>
      </c>
      <c r="W522" s="283">
        <v>20880</v>
      </c>
      <c r="X522" s="283">
        <v>0</v>
      </c>
      <c r="Y522" s="199" t="s">
        <v>1392</v>
      </c>
      <c r="Z522" s="517" t="s">
        <v>5532</v>
      </c>
      <c r="AA522" s="493" t="s">
        <v>1485</v>
      </c>
      <c r="AB522" s="507"/>
    </row>
    <row r="523" spans="2:28" x14ac:dyDescent="0.15">
      <c r="B523" s="330" t="s">
        <v>3359</v>
      </c>
      <c r="C523" s="528">
        <v>43067</v>
      </c>
      <c r="D523" s="198" t="s">
        <v>2635</v>
      </c>
      <c r="E523" s="53" t="s">
        <v>1396</v>
      </c>
      <c r="F523" s="198" t="s">
        <v>3800</v>
      </c>
      <c r="G523" s="3" t="s">
        <v>50</v>
      </c>
      <c r="H523" s="53" t="s">
        <v>381</v>
      </c>
      <c r="I523" s="3" t="s">
        <v>1408</v>
      </c>
      <c r="J523" s="4" t="s">
        <v>265</v>
      </c>
      <c r="K523" s="4" t="s">
        <v>1155</v>
      </c>
      <c r="L523" s="4" t="s">
        <v>2691</v>
      </c>
      <c r="M523" s="43" t="s">
        <v>2692</v>
      </c>
      <c r="N523" s="255">
        <v>235000</v>
      </c>
      <c r="O523" s="265">
        <v>100</v>
      </c>
      <c r="P523" s="270">
        <v>1</v>
      </c>
      <c r="Q523" s="255">
        <v>235000</v>
      </c>
      <c r="R523" s="283">
        <v>235000</v>
      </c>
      <c r="S523" s="283">
        <v>66168</v>
      </c>
      <c r="T523" s="287">
        <v>0</v>
      </c>
      <c r="U523" s="287">
        <v>1</v>
      </c>
      <c r="V523" s="287">
        <v>0</v>
      </c>
      <c r="W523" s="283">
        <v>27115</v>
      </c>
      <c r="X523" s="283">
        <v>0</v>
      </c>
      <c r="Y523" s="199" t="s">
        <v>1392</v>
      </c>
      <c r="Z523" s="517" t="s">
        <v>5166</v>
      </c>
      <c r="AA523" s="493" t="s">
        <v>1485</v>
      </c>
      <c r="AB523" s="507"/>
    </row>
    <row r="524" spans="2:28" x14ac:dyDescent="0.15">
      <c r="B524" s="330" t="s">
        <v>3360</v>
      </c>
      <c r="C524" s="528">
        <v>43067</v>
      </c>
      <c r="D524" s="198" t="s">
        <v>2652</v>
      </c>
      <c r="E524" s="53" t="s">
        <v>1396</v>
      </c>
      <c r="F524" s="198" t="s">
        <v>3800</v>
      </c>
      <c r="G524" s="3" t="s">
        <v>50</v>
      </c>
      <c r="H524" s="53" t="s">
        <v>379</v>
      </c>
      <c r="I524" s="3" t="s">
        <v>2551</v>
      </c>
      <c r="J524" s="3" t="s">
        <v>274</v>
      </c>
      <c r="K524" s="3" t="s">
        <v>1162</v>
      </c>
      <c r="L524" s="3" t="s">
        <v>2693</v>
      </c>
      <c r="M524" s="198" t="s">
        <v>2695</v>
      </c>
      <c r="N524" s="258">
        <v>168000</v>
      </c>
      <c r="O524" s="266">
        <v>100</v>
      </c>
      <c r="P524" s="272">
        <v>1</v>
      </c>
      <c r="Q524" s="258">
        <v>168000</v>
      </c>
      <c r="R524" s="286">
        <v>168000</v>
      </c>
      <c r="S524" s="286">
        <v>40221</v>
      </c>
      <c r="T524" s="288">
        <v>0</v>
      </c>
      <c r="U524" s="288">
        <v>1</v>
      </c>
      <c r="V524" s="288">
        <v>0</v>
      </c>
      <c r="W524" s="286">
        <v>16800</v>
      </c>
      <c r="X524" s="286">
        <v>0</v>
      </c>
      <c r="Y524" s="200" t="s">
        <v>1392</v>
      </c>
      <c r="Z524" s="517" t="s">
        <v>5532</v>
      </c>
      <c r="AA524" s="499" t="s">
        <v>1485</v>
      </c>
      <c r="AB524" s="508"/>
    </row>
    <row r="525" spans="2:28" x14ac:dyDescent="0.15">
      <c r="B525" s="330" t="s">
        <v>3361</v>
      </c>
      <c r="C525" s="528">
        <v>43067</v>
      </c>
      <c r="D525" s="198" t="s">
        <v>2654</v>
      </c>
      <c r="E525" s="53" t="s">
        <v>1396</v>
      </c>
      <c r="F525" s="198" t="s">
        <v>3800</v>
      </c>
      <c r="G525" s="3" t="s">
        <v>50</v>
      </c>
      <c r="H525" s="53" t="s">
        <v>379</v>
      </c>
      <c r="I525" s="3" t="s">
        <v>2551</v>
      </c>
      <c r="J525" s="4" t="s">
        <v>271</v>
      </c>
      <c r="K525" s="4" t="s">
        <v>1160</v>
      </c>
      <c r="L525" s="4" t="s">
        <v>2312</v>
      </c>
      <c r="M525" s="43" t="s">
        <v>2694</v>
      </c>
      <c r="N525" s="255">
        <v>371000</v>
      </c>
      <c r="O525" s="265">
        <v>60</v>
      </c>
      <c r="P525" s="270">
        <v>1</v>
      </c>
      <c r="Q525" s="255">
        <v>222600</v>
      </c>
      <c r="R525" s="283">
        <v>222600</v>
      </c>
      <c r="S525" s="283">
        <v>42326</v>
      </c>
      <c r="T525" s="287">
        <v>0</v>
      </c>
      <c r="U525" s="287">
        <v>1</v>
      </c>
      <c r="V525" s="287">
        <v>0</v>
      </c>
      <c r="W525" s="283">
        <v>22260</v>
      </c>
      <c r="X525" s="283">
        <v>0</v>
      </c>
      <c r="Y525" s="199" t="s">
        <v>1392</v>
      </c>
      <c r="Z525" s="517" t="s">
        <v>5166</v>
      </c>
      <c r="AA525" s="493" t="s">
        <v>1485</v>
      </c>
      <c r="AB525" s="507"/>
    </row>
    <row r="526" spans="2:28" x14ac:dyDescent="0.15">
      <c r="B526" s="330" t="s">
        <v>3362</v>
      </c>
      <c r="C526" s="528">
        <v>43070</v>
      </c>
      <c r="D526" s="198" t="s">
        <v>2595</v>
      </c>
      <c r="E526" s="53" t="s">
        <v>1396</v>
      </c>
      <c r="F526" s="198" t="s">
        <v>3799</v>
      </c>
      <c r="G526" s="3" t="s">
        <v>1110</v>
      </c>
      <c r="H526" s="53" t="s">
        <v>801</v>
      </c>
      <c r="I526" s="3" t="s">
        <v>1920</v>
      </c>
      <c r="J526" s="4" t="s">
        <v>268</v>
      </c>
      <c r="K526" s="4" t="s">
        <v>1158</v>
      </c>
      <c r="L526" s="4" t="s">
        <v>2639</v>
      </c>
      <c r="M526" s="43" t="s">
        <v>2631</v>
      </c>
      <c r="N526" s="257">
        <v>150000</v>
      </c>
      <c r="O526" s="263">
        <v>100</v>
      </c>
      <c r="P526" s="270">
        <v>1</v>
      </c>
      <c r="Q526" s="257">
        <v>150000</v>
      </c>
      <c r="R526" s="284">
        <v>150000</v>
      </c>
      <c r="S526" s="284">
        <v>31092</v>
      </c>
      <c r="T526" s="270">
        <v>0</v>
      </c>
      <c r="U526" s="270">
        <v>1</v>
      </c>
      <c r="V526" s="270">
        <v>0</v>
      </c>
      <c r="W526" s="284">
        <v>15000</v>
      </c>
      <c r="X526" s="284">
        <v>0</v>
      </c>
      <c r="Y526" s="43" t="s">
        <v>1392</v>
      </c>
      <c r="Z526" s="517" t="s">
        <v>5449</v>
      </c>
      <c r="AA526" s="501" t="s">
        <v>1485</v>
      </c>
      <c r="AB526" s="506"/>
    </row>
    <row r="527" spans="2:28" x14ac:dyDescent="0.15">
      <c r="B527" s="330" t="s">
        <v>3363</v>
      </c>
      <c r="C527" s="528">
        <v>43070</v>
      </c>
      <c r="D527" s="198" t="s">
        <v>2598</v>
      </c>
      <c r="E527" s="53" t="s">
        <v>1396</v>
      </c>
      <c r="F527" s="198" t="s">
        <v>3799</v>
      </c>
      <c r="G527" s="3" t="s">
        <v>1110</v>
      </c>
      <c r="H527" s="53" t="s">
        <v>801</v>
      </c>
      <c r="I527" s="3" t="s">
        <v>1920</v>
      </c>
      <c r="J527" s="4" t="s">
        <v>271</v>
      </c>
      <c r="K527" s="4" t="s">
        <v>1160</v>
      </c>
      <c r="L527" s="4" t="s">
        <v>2197</v>
      </c>
      <c r="M527" s="191" t="s">
        <v>2642</v>
      </c>
      <c r="N527" s="255">
        <v>348000</v>
      </c>
      <c r="O527" s="265">
        <v>60</v>
      </c>
      <c r="P527" s="270">
        <v>1</v>
      </c>
      <c r="Q527" s="255">
        <v>208800</v>
      </c>
      <c r="R527" s="283">
        <v>208800</v>
      </c>
      <c r="S527" s="283">
        <v>54906</v>
      </c>
      <c r="T527" s="287">
        <v>0</v>
      </c>
      <c r="U527" s="287">
        <v>1</v>
      </c>
      <c r="V527" s="287">
        <v>0</v>
      </c>
      <c r="W527" s="283">
        <v>20880</v>
      </c>
      <c r="X527" s="283">
        <v>0</v>
      </c>
      <c r="Y527" s="199" t="s">
        <v>1392</v>
      </c>
      <c r="Z527" s="517" t="s">
        <v>5449</v>
      </c>
      <c r="AA527" s="493" t="s">
        <v>1485</v>
      </c>
      <c r="AB527" s="507"/>
    </row>
    <row r="528" spans="2:28" x14ac:dyDescent="0.15">
      <c r="B528" s="330" t="s">
        <v>3364</v>
      </c>
      <c r="C528" s="528">
        <v>43070</v>
      </c>
      <c r="D528" s="198" t="s">
        <v>2628</v>
      </c>
      <c r="E528" s="53" t="s">
        <v>1391</v>
      </c>
      <c r="F528" s="198" t="s">
        <v>3797</v>
      </c>
      <c r="G528" s="3" t="s">
        <v>362</v>
      </c>
      <c r="H528" s="53" t="s">
        <v>689</v>
      </c>
      <c r="I528" s="3" t="s">
        <v>1394</v>
      </c>
      <c r="J528" s="4" t="s">
        <v>292</v>
      </c>
      <c r="K528" s="4" t="s">
        <v>1163</v>
      </c>
      <c r="L528" s="4" t="s">
        <v>1830</v>
      </c>
      <c r="M528" s="43" t="s">
        <v>2687</v>
      </c>
      <c r="N528" s="255">
        <v>380000</v>
      </c>
      <c r="O528" s="265">
        <v>55</v>
      </c>
      <c r="P528" s="270">
        <v>1</v>
      </c>
      <c r="Q528" s="255">
        <v>209000</v>
      </c>
      <c r="R528" s="283">
        <v>209000</v>
      </c>
      <c r="S528" s="283">
        <v>64326</v>
      </c>
      <c r="T528" s="287">
        <v>1</v>
      </c>
      <c r="U528" s="287">
        <v>0</v>
      </c>
      <c r="V528" s="287">
        <v>0</v>
      </c>
      <c r="W528" s="283">
        <v>0</v>
      </c>
      <c r="X528" s="283">
        <v>0</v>
      </c>
      <c r="Y528" s="199" t="s">
        <v>1395</v>
      </c>
      <c r="Z528" s="517" t="s">
        <v>5166</v>
      </c>
      <c r="AA528" s="493" t="s">
        <v>1485</v>
      </c>
      <c r="AB528" s="507"/>
    </row>
    <row r="529" spans="2:28" x14ac:dyDescent="0.15">
      <c r="B529" s="330" t="s">
        <v>3365</v>
      </c>
      <c r="C529" s="528">
        <v>43070</v>
      </c>
      <c r="D529" s="198" t="s">
        <v>2630</v>
      </c>
      <c r="E529" s="53" t="s">
        <v>1391</v>
      </c>
      <c r="F529" s="198" t="s">
        <v>3797</v>
      </c>
      <c r="G529" s="3" t="s">
        <v>362</v>
      </c>
      <c r="H529" s="53" t="s">
        <v>689</v>
      </c>
      <c r="I529" s="3" t="s">
        <v>1394</v>
      </c>
      <c r="J529" s="4" t="s">
        <v>271</v>
      </c>
      <c r="K529" s="4" t="s">
        <v>1160</v>
      </c>
      <c r="L529" s="4" t="s">
        <v>1951</v>
      </c>
      <c r="M529" s="43" t="s">
        <v>2688</v>
      </c>
      <c r="N529" s="255">
        <v>213000</v>
      </c>
      <c r="O529" s="265">
        <v>100</v>
      </c>
      <c r="P529" s="270">
        <v>1</v>
      </c>
      <c r="Q529" s="255">
        <v>213000</v>
      </c>
      <c r="R529" s="283">
        <v>213000</v>
      </c>
      <c r="S529" s="283">
        <v>88171</v>
      </c>
      <c r="T529" s="287">
        <v>1</v>
      </c>
      <c r="U529" s="287">
        <v>0</v>
      </c>
      <c r="V529" s="287">
        <v>0</v>
      </c>
      <c r="W529" s="283">
        <v>0</v>
      </c>
      <c r="X529" s="283">
        <v>0</v>
      </c>
      <c r="Y529" s="199" t="s">
        <v>1395</v>
      </c>
      <c r="Z529" s="517" t="s">
        <v>5166</v>
      </c>
      <c r="AA529" s="493" t="s">
        <v>1485</v>
      </c>
      <c r="AB529" s="507"/>
    </row>
    <row r="530" spans="2:28" x14ac:dyDescent="0.15">
      <c r="B530" s="330" t="s">
        <v>3366</v>
      </c>
      <c r="C530" s="528">
        <v>43070</v>
      </c>
      <c r="D530" s="198" t="s">
        <v>2656</v>
      </c>
      <c r="E530" s="53" t="s">
        <v>1396</v>
      </c>
      <c r="F530" s="198" t="s">
        <v>3799</v>
      </c>
      <c r="G530" s="3" t="s">
        <v>1110</v>
      </c>
      <c r="H530" s="53" t="s">
        <v>796</v>
      </c>
      <c r="I530" s="3" t="s">
        <v>1428</v>
      </c>
      <c r="J530" s="4" t="s">
        <v>310</v>
      </c>
      <c r="K530" s="4" t="s">
        <v>1539</v>
      </c>
      <c r="L530" s="4" t="s">
        <v>1540</v>
      </c>
      <c r="M530" s="43" t="s">
        <v>2696</v>
      </c>
      <c r="N530" s="255">
        <v>430000</v>
      </c>
      <c r="O530" s="265">
        <v>60</v>
      </c>
      <c r="P530" s="270">
        <v>1</v>
      </c>
      <c r="Q530" s="255">
        <v>258000</v>
      </c>
      <c r="R530" s="283">
        <v>258000</v>
      </c>
      <c r="S530" s="283">
        <v>76920</v>
      </c>
      <c r="T530" s="287">
        <v>0</v>
      </c>
      <c r="U530" s="287">
        <v>1</v>
      </c>
      <c r="V530" s="287">
        <v>0</v>
      </c>
      <c r="W530" s="283">
        <v>25800</v>
      </c>
      <c r="X530" s="283">
        <v>0</v>
      </c>
      <c r="Y530" s="199" t="s">
        <v>1392</v>
      </c>
      <c r="Z530" s="517" t="s">
        <v>5166</v>
      </c>
      <c r="AA530" s="493" t="s">
        <v>1485</v>
      </c>
      <c r="AB530" s="507"/>
    </row>
    <row r="531" spans="2:28" x14ac:dyDescent="0.15">
      <c r="B531" s="330" t="s">
        <v>3367</v>
      </c>
      <c r="C531" s="528">
        <v>43070</v>
      </c>
      <c r="D531" s="198" t="s">
        <v>2663</v>
      </c>
      <c r="E531" s="53" t="s">
        <v>1391</v>
      </c>
      <c r="F531" s="198" t="s">
        <v>3797</v>
      </c>
      <c r="G531" s="3" t="s">
        <v>362</v>
      </c>
      <c r="H531" s="53" t="s">
        <v>689</v>
      </c>
      <c r="I531" s="3" t="s">
        <v>1394</v>
      </c>
      <c r="J531" s="4" t="s">
        <v>271</v>
      </c>
      <c r="K531" s="4" t="s">
        <v>1160</v>
      </c>
      <c r="L531" s="4" t="s">
        <v>2700</v>
      </c>
      <c r="M531" s="43" t="s">
        <v>2701</v>
      </c>
      <c r="N531" s="255">
        <v>358000</v>
      </c>
      <c r="O531" s="265">
        <v>55</v>
      </c>
      <c r="P531" s="270">
        <v>1</v>
      </c>
      <c r="Q531" s="255">
        <v>196900</v>
      </c>
      <c r="R531" s="283">
        <v>196900</v>
      </c>
      <c r="S531" s="283">
        <v>65886</v>
      </c>
      <c r="T531" s="287">
        <v>1</v>
      </c>
      <c r="U531" s="287">
        <v>0</v>
      </c>
      <c r="V531" s="287">
        <v>0</v>
      </c>
      <c r="W531" s="283">
        <v>0</v>
      </c>
      <c r="X531" s="283">
        <v>0</v>
      </c>
      <c r="Y531" s="199" t="s">
        <v>1395</v>
      </c>
      <c r="Z531" s="517" t="s">
        <v>5542</v>
      </c>
      <c r="AA531" s="493" t="s">
        <v>1485</v>
      </c>
      <c r="AB531" s="507"/>
    </row>
    <row r="532" spans="2:28" x14ac:dyDescent="0.15">
      <c r="B532" s="330" t="s">
        <v>3368</v>
      </c>
      <c r="C532" s="528">
        <v>43076</v>
      </c>
      <c r="D532" s="198" t="s">
        <v>2663</v>
      </c>
      <c r="E532" s="53" t="s">
        <v>1391</v>
      </c>
      <c r="F532" s="198" t="s">
        <v>3797</v>
      </c>
      <c r="G532" s="3" t="s">
        <v>362</v>
      </c>
      <c r="H532" s="53" t="s">
        <v>689</v>
      </c>
      <c r="I532" s="3" t="s">
        <v>1394</v>
      </c>
      <c r="J532" s="4" t="s">
        <v>273</v>
      </c>
      <c r="K532" s="4" t="s">
        <v>1161</v>
      </c>
      <c r="L532" s="4" t="s">
        <v>2702</v>
      </c>
      <c r="M532" s="43" t="s">
        <v>2703</v>
      </c>
      <c r="N532" s="255">
        <v>189000</v>
      </c>
      <c r="O532" s="265">
        <v>100</v>
      </c>
      <c r="P532" s="270">
        <v>1</v>
      </c>
      <c r="Q532" s="255">
        <v>189000</v>
      </c>
      <c r="R532" s="283">
        <v>189000</v>
      </c>
      <c r="S532" s="283">
        <v>87370</v>
      </c>
      <c r="T532" s="287">
        <v>1</v>
      </c>
      <c r="U532" s="287">
        <v>0</v>
      </c>
      <c r="V532" s="287">
        <v>0</v>
      </c>
      <c r="W532" s="283">
        <v>0</v>
      </c>
      <c r="X532" s="283">
        <v>0</v>
      </c>
      <c r="Y532" s="199" t="s">
        <v>1395</v>
      </c>
      <c r="Z532" s="517" t="s">
        <v>5166</v>
      </c>
      <c r="AA532" s="493" t="s">
        <v>1485</v>
      </c>
      <c r="AB532" s="507"/>
    </row>
    <row r="533" spans="2:28" x14ac:dyDescent="0.15">
      <c r="B533" s="330" t="s">
        <v>3369</v>
      </c>
      <c r="C533" s="528">
        <v>43077</v>
      </c>
      <c r="D533" s="198" t="s">
        <v>2665</v>
      </c>
      <c r="E533" s="53" t="s">
        <v>1391</v>
      </c>
      <c r="F533" s="198" t="s">
        <v>3794</v>
      </c>
      <c r="G533" s="3" t="s">
        <v>364</v>
      </c>
      <c r="H533" s="53" t="s">
        <v>492</v>
      </c>
      <c r="I533" s="3" t="s">
        <v>1431</v>
      </c>
      <c r="J533" s="4" t="s">
        <v>265</v>
      </c>
      <c r="K533" s="4" t="s">
        <v>1155</v>
      </c>
      <c r="L533" s="4" t="s">
        <v>2704</v>
      </c>
      <c r="M533" s="43" t="s">
        <v>2705</v>
      </c>
      <c r="N533" s="255">
        <v>430000</v>
      </c>
      <c r="O533" s="265">
        <v>60</v>
      </c>
      <c r="P533" s="270">
        <v>1</v>
      </c>
      <c r="Q533" s="255">
        <v>258000</v>
      </c>
      <c r="R533" s="283">
        <v>258000</v>
      </c>
      <c r="S533" s="283">
        <v>35434</v>
      </c>
      <c r="T533" s="287">
        <v>0</v>
      </c>
      <c r="U533" s="287">
        <v>1</v>
      </c>
      <c r="V533" s="287">
        <v>0</v>
      </c>
      <c r="W533" s="283">
        <v>25800</v>
      </c>
      <c r="X533" s="283">
        <v>0</v>
      </c>
      <c r="Y533" s="199" t="s">
        <v>1392</v>
      </c>
      <c r="Z533" s="517" t="s">
        <v>5167</v>
      </c>
      <c r="AA533" s="493" t="s">
        <v>1485</v>
      </c>
      <c r="AB533" s="507"/>
    </row>
    <row r="534" spans="2:28" x14ac:dyDescent="0.15">
      <c r="B534" s="330" t="s">
        <v>3370</v>
      </c>
      <c r="C534" s="528">
        <v>43077</v>
      </c>
      <c r="D534" s="198" t="s">
        <v>2674</v>
      </c>
      <c r="E534" s="53" t="s">
        <v>1396</v>
      </c>
      <c r="F534" s="198" t="s">
        <v>3800</v>
      </c>
      <c r="G534" s="3" t="s">
        <v>50</v>
      </c>
      <c r="H534" s="53" t="s">
        <v>381</v>
      </c>
      <c r="I534" s="3" t="s">
        <v>1408</v>
      </c>
      <c r="J534" s="4" t="s">
        <v>298</v>
      </c>
      <c r="K534" s="4" t="s">
        <v>1168</v>
      </c>
      <c r="L534" s="4" t="s">
        <v>1412</v>
      </c>
      <c r="M534" s="43"/>
      <c r="N534" s="255">
        <v>2400</v>
      </c>
      <c r="O534" s="265">
        <v>60</v>
      </c>
      <c r="P534" s="270">
        <v>4</v>
      </c>
      <c r="Q534" s="255">
        <v>1440</v>
      </c>
      <c r="R534" s="283">
        <v>5760</v>
      </c>
      <c r="S534" s="283">
        <v>1984</v>
      </c>
      <c r="T534" s="287">
        <v>0</v>
      </c>
      <c r="U534" s="287">
        <v>0</v>
      </c>
      <c r="V534" s="287">
        <v>0</v>
      </c>
      <c r="W534" s="283">
        <v>576</v>
      </c>
      <c r="X534" s="283">
        <v>0</v>
      </c>
      <c r="Y534" s="199" t="s">
        <v>1392</v>
      </c>
      <c r="Z534" s="517" t="s">
        <v>5532</v>
      </c>
      <c r="AA534" s="493" t="s">
        <v>1485</v>
      </c>
      <c r="AB534" s="507"/>
    </row>
    <row r="535" spans="2:28" x14ac:dyDescent="0.15">
      <c r="B535" s="330" t="s">
        <v>3371</v>
      </c>
      <c r="C535" s="528">
        <v>43077</v>
      </c>
      <c r="D535" s="198" t="s">
        <v>2674</v>
      </c>
      <c r="E535" s="53" t="s">
        <v>1396</v>
      </c>
      <c r="F535" s="198" t="s">
        <v>3800</v>
      </c>
      <c r="G535" s="3" t="s">
        <v>50</v>
      </c>
      <c r="H535" s="53" t="s">
        <v>381</v>
      </c>
      <c r="I535" s="3" t="s">
        <v>1408</v>
      </c>
      <c r="J535" s="4" t="s">
        <v>298</v>
      </c>
      <c r="K535" s="4" t="s">
        <v>1168</v>
      </c>
      <c r="L535" s="4" t="s">
        <v>2708</v>
      </c>
      <c r="M535" s="43"/>
      <c r="N535" s="255">
        <v>25</v>
      </c>
      <c r="O535" s="265">
        <v>100</v>
      </c>
      <c r="P535" s="270">
        <v>2</v>
      </c>
      <c r="Q535" s="255">
        <v>25</v>
      </c>
      <c r="R535" s="283">
        <v>50</v>
      </c>
      <c r="S535" s="283">
        <v>0</v>
      </c>
      <c r="T535" s="287">
        <v>0</v>
      </c>
      <c r="U535" s="287">
        <v>0</v>
      </c>
      <c r="V535" s="287">
        <v>0</v>
      </c>
      <c r="W535" s="283">
        <v>4</v>
      </c>
      <c r="X535" s="283">
        <v>0</v>
      </c>
      <c r="Y535" s="199" t="s">
        <v>1392</v>
      </c>
      <c r="Z535" s="517" t="s">
        <v>5166</v>
      </c>
      <c r="AA535" s="493" t="s">
        <v>1485</v>
      </c>
      <c r="AB535" s="507"/>
    </row>
    <row r="536" spans="2:28" x14ac:dyDescent="0.15">
      <c r="B536" s="330" t="s">
        <v>3372</v>
      </c>
      <c r="C536" s="528">
        <v>43077</v>
      </c>
      <c r="D536" s="198" t="s">
        <v>2677</v>
      </c>
      <c r="E536" s="53" t="s">
        <v>1391</v>
      </c>
      <c r="F536" s="198" t="s">
        <v>3797</v>
      </c>
      <c r="G536" s="3" t="s">
        <v>362</v>
      </c>
      <c r="H536" s="53" t="s">
        <v>689</v>
      </c>
      <c r="I536" s="3" t="s">
        <v>1394</v>
      </c>
      <c r="J536" s="4" t="s">
        <v>261</v>
      </c>
      <c r="K536" s="4" t="s">
        <v>1153</v>
      </c>
      <c r="L536" s="4" t="s">
        <v>2710</v>
      </c>
      <c r="M536" s="43" t="s">
        <v>2711</v>
      </c>
      <c r="N536" s="255">
        <v>270000</v>
      </c>
      <c r="O536" s="265">
        <v>55</v>
      </c>
      <c r="P536" s="270">
        <v>1</v>
      </c>
      <c r="Q536" s="255">
        <v>148500</v>
      </c>
      <c r="R536" s="283">
        <v>148500</v>
      </c>
      <c r="S536" s="283">
        <v>45291</v>
      </c>
      <c r="T536" s="287">
        <v>1</v>
      </c>
      <c r="U536" s="287">
        <v>0</v>
      </c>
      <c r="V536" s="287">
        <v>0</v>
      </c>
      <c r="W536" s="283">
        <v>0</v>
      </c>
      <c r="X536" s="283">
        <v>0</v>
      </c>
      <c r="Y536" s="199" t="s">
        <v>1395</v>
      </c>
      <c r="Z536" s="517" t="s">
        <v>5166</v>
      </c>
      <c r="AA536" s="493" t="s">
        <v>1485</v>
      </c>
      <c r="AB536" s="507"/>
    </row>
    <row r="537" spans="2:28" x14ac:dyDescent="0.15">
      <c r="B537" s="330" t="s">
        <v>3373</v>
      </c>
      <c r="C537" s="528">
        <v>43081</v>
      </c>
      <c r="D537" s="198" t="s">
        <v>2679</v>
      </c>
      <c r="E537" s="53" t="s">
        <v>1391</v>
      </c>
      <c r="F537" s="198" t="s">
        <v>3798</v>
      </c>
      <c r="G537" s="3" t="s">
        <v>370</v>
      </c>
      <c r="H537" s="53" t="s">
        <v>1491</v>
      </c>
      <c r="I537" s="3" t="s">
        <v>1492</v>
      </c>
      <c r="J537" s="4" t="s">
        <v>273</v>
      </c>
      <c r="K537" s="4" t="s">
        <v>1161</v>
      </c>
      <c r="L537" s="4" t="s">
        <v>2712</v>
      </c>
      <c r="M537" s="43" t="s">
        <v>2713</v>
      </c>
      <c r="N537" s="255">
        <v>260000</v>
      </c>
      <c r="O537" s="265">
        <v>60</v>
      </c>
      <c r="P537" s="270">
        <v>1</v>
      </c>
      <c r="Q537" s="255">
        <v>156000</v>
      </c>
      <c r="R537" s="283">
        <v>156000</v>
      </c>
      <c r="S537" s="283">
        <v>49385</v>
      </c>
      <c r="T537" s="287">
        <v>0</v>
      </c>
      <c r="U537" s="287">
        <v>1</v>
      </c>
      <c r="V537" s="287">
        <v>0</v>
      </c>
      <c r="W537" s="283">
        <v>15600</v>
      </c>
      <c r="X537" s="283">
        <v>0</v>
      </c>
      <c r="Y537" s="199" t="s">
        <v>1392</v>
      </c>
      <c r="Z537" s="517" t="s">
        <v>5167</v>
      </c>
      <c r="AA537" s="493" t="s">
        <v>1485</v>
      </c>
      <c r="AB537" s="507"/>
    </row>
    <row r="538" spans="2:28" x14ac:dyDescent="0.15">
      <c r="B538" s="330" t="s">
        <v>3374</v>
      </c>
      <c r="C538" s="528">
        <v>43081</v>
      </c>
      <c r="D538" s="198" t="s">
        <v>2714</v>
      </c>
      <c r="E538" s="53" t="s">
        <v>1391</v>
      </c>
      <c r="F538" s="198" t="s">
        <v>3797</v>
      </c>
      <c r="G538" s="3" t="s">
        <v>362</v>
      </c>
      <c r="H538" s="53" t="s">
        <v>689</v>
      </c>
      <c r="I538" s="3" t="s">
        <v>1394</v>
      </c>
      <c r="J538" s="4" t="s">
        <v>272</v>
      </c>
      <c r="K538" s="4" t="s">
        <v>363</v>
      </c>
      <c r="L538" s="4" t="s">
        <v>2047</v>
      </c>
      <c r="M538" s="43" t="s">
        <v>2715</v>
      </c>
      <c r="N538" s="255">
        <v>280000</v>
      </c>
      <c r="O538" s="265">
        <v>55</v>
      </c>
      <c r="P538" s="270">
        <v>1</v>
      </c>
      <c r="Q538" s="255">
        <v>154000</v>
      </c>
      <c r="R538" s="283">
        <v>154000</v>
      </c>
      <c r="S538" s="283">
        <v>53310</v>
      </c>
      <c r="T538" s="287">
        <v>1</v>
      </c>
      <c r="U538" s="287">
        <v>0</v>
      </c>
      <c r="V538" s="287">
        <v>0</v>
      </c>
      <c r="W538" s="283">
        <v>0</v>
      </c>
      <c r="X538" s="283">
        <v>0</v>
      </c>
      <c r="Y538" s="199" t="s">
        <v>1395</v>
      </c>
      <c r="Z538" s="517" t="s">
        <v>5166</v>
      </c>
      <c r="AA538" s="493" t="s">
        <v>1485</v>
      </c>
      <c r="AB538" s="507"/>
    </row>
    <row r="539" spans="2:28" x14ac:dyDescent="0.15">
      <c r="B539" s="330" t="s">
        <v>3375</v>
      </c>
      <c r="C539" s="528">
        <v>43082</v>
      </c>
      <c r="D539" s="198" t="s">
        <v>2717</v>
      </c>
      <c r="E539" s="53" t="s">
        <v>1396</v>
      </c>
      <c r="F539" s="198" t="s">
        <v>3799</v>
      </c>
      <c r="G539" s="3" t="s">
        <v>1110</v>
      </c>
      <c r="H539" s="53" t="s">
        <v>796</v>
      </c>
      <c r="I539" s="3" t="s">
        <v>1428</v>
      </c>
      <c r="J539" s="4" t="s">
        <v>1402</v>
      </c>
      <c r="K539" s="4" t="s">
        <v>1403</v>
      </c>
      <c r="L539" s="4" t="s">
        <v>2718</v>
      </c>
      <c r="M539" s="43" t="s">
        <v>2719</v>
      </c>
      <c r="N539" s="255">
        <v>330000</v>
      </c>
      <c r="O539" s="265">
        <v>60</v>
      </c>
      <c r="P539" s="270">
        <v>1</v>
      </c>
      <c r="Q539" s="255">
        <v>198000</v>
      </c>
      <c r="R539" s="283">
        <v>198000</v>
      </c>
      <c r="S539" s="283">
        <v>11441</v>
      </c>
      <c r="T539" s="287">
        <v>0</v>
      </c>
      <c r="U539" s="287">
        <v>1</v>
      </c>
      <c r="V539" s="287">
        <v>0</v>
      </c>
      <c r="W539" s="283">
        <v>19800</v>
      </c>
      <c r="X539" s="283">
        <v>0</v>
      </c>
      <c r="Y539" s="199" t="s">
        <v>1392</v>
      </c>
      <c r="Z539" s="517" t="s">
        <v>5542</v>
      </c>
      <c r="AA539" s="493" t="s">
        <v>1485</v>
      </c>
      <c r="AB539" s="507"/>
    </row>
    <row r="540" spans="2:28" x14ac:dyDescent="0.15">
      <c r="B540" s="330" t="s">
        <v>3376</v>
      </c>
      <c r="C540" s="529">
        <v>43082</v>
      </c>
      <c r="D540" s="198" t="s">
        <v>2720</v>
      </c>
      <c r="E540" s="198" t="s">
        <v>1396</v>
      </c>
      <c r="F540" s="198" t="s">
        <v>3799</v>
      </c>
      <c r="G540" s="197" t="s">
        <v>1110</v>
      </c>
      <c r="H540" s="198" t="s">
        <v>796</v>
      </c>
      <c r="I540" s="197" t="s">
        <v>1428</v>
      </c>
      <c r="J540" s="190" t="s">
        <v>1402</v>
      </c>
      <c r="K540" s="190" t="s">
        <v>1403</v>
      </c>
      <c r="L540" s="190" t="s">
        <v>2721</v>
      </c>
      <c r="M540" s="191" t="s">
        <v>2722</v>
      </c>
      <c r="N540" s="256">
        <v>330000</v>
      </c>
      <c r="O540" s="264">
        <v>60</v>
      </c>
      <c r="P540" s="271">
        <v>1</v>
      </c>
      <c r="Q540" s="256">
        <v>198000</v>
      </c>
      <c r="R540" s="285">
        <v>198000</v>
      </c>
      <c r="S540" s="285">
        <v>20899</v>
      </c>
      <c r="T540" s="271">
        <v>0</v>
      </c>
      <c r="U540" s="271">
        <v>1</v>
      </c>
      <c r="V540" s="271">
        <v>0</v>
      </c>
      <c r="W540" s="285">
        <v>19800</v>
      </c>
      <c r="X540" s="285">
        <v>0</v>
      </c>
      <c r="Y540" s="191" t="s">
        <v>1392</v>
      </c>
      <c r="Z540" s="517" t="s">
        <v>5166</v>
      </c>
      <c r="AA540" s="502" t="s">
        <v>1485</v>
      </c>
      <c r="AB540" s="510"/>
    </row>
    <row r="541" spans="2:28" x14ac:dyDescent="0.15">
      <c r="B541" s="330" t="s">
        <v>3377</v>
      </c>
      <c r="C541" s="528">
        <v>43082</v>
      </c>
      <c r="D541" s="198" t="s">
        <v>2723</v>
      </c>
      <c r="E541" s="53" t="s">
        <v>1391</v>
      </c>
      <c r="F541" s="198" t="s">
        <v>3794</v>
      </c>
      <c r="G541" s="3" t="s">
        <v>364</v>
      </c>
      <c r="H541" s="53" t="s">
        <v>486</v>
      </c>
      <c r="I541" s="3" t="s">
        <v>1406</v>
      </c>
      <c r="J541" s="4" t="s">
        <v>270</v>
      </c>
      <c r="K541" s="4" t="s">
        <v>539</v>
      </c>
      <c r="L541" s="4" t="s">
        <v>2724</v>
      </c>
      <c r="M541" s="43" t="s">
        <v>2725</v>
      </c>
      <c r="N541" s="255">
        <v>328000</v>
      </c>
      <c r="O541" s="265">
        <v>60</v>
      </c>
      <c r="P541" s="270">
        <v>1</v>
      </c>
      <c r="Q541" s="255">
        <v>196800</v>
      </c>
      <c r="R541" s="283">
        <v>196800</v>
      </c>
      <c r="S541" s="283">
        <v>55319</v>
      </c>
      <c r="T541" s="287">
        <v>0</v>
      </c>
      <c r="U541" s="287">
        <v>1</v>
      </c>
      <c r="V541" s="287">
        <v>0</v>
      </c>
      <c r="W541" s="283">
        <v>19680</v>
      </c>
      <c r="X541" s="283">
        <v>0</v>
      </c>
      <c r="Y541" s="199" t="s">
        <v>1392</v>
      </c>
      <c r="Z541" s="517" t="s">
        <v>5540</v>
      </c>
      <c r="AA541" s="493" t="s">
        <v>1485</v>
      </c>
      <c r="AB541" s="507"/>
    </row>
    <row r="542" spans="2:28" x14ac:dyDescent="0.15">
      <c r="B542" s="330" t="s">
        <v>3378</v>
      </c>
      <c r="C542" s="528">
        <v>43084</v>
      </c>
      <c r="D542" s="198" t="s">
        <v>2726</v>
      </c>
      <c r="E542" s="53" t="s">
        <v>1391</v>
      </c>
      <c r="F542" s="198" t="s">
        <v>3794</v>
      </c>
      <c r="G542" s="3" t="s">
        <v>364</v>
      </c>
      <c r="H542" s="53" t="s">
        <v>432</v>
      </c>
      <c r="I542" s="3" t="s">
        <v>375</v>
      </c>
      <c r="J542" s="4" t="s">
        <v>262</v>
      </c>
      <c r="K542" s="4" t="s">
        <v>365</v>
      </c>
      <c r="L542" s="4" t="s">
        <v>1690</v>
      </c>
      <c r="M542" s="43" t="s">
        <v>2727</v>
      </c>
      <c r="N542" s="255">
        <v>260000</v>
      </c>
      <c r="O542" s="265">
        <v>60</v>
      </c>
      <c r="P542" s="270">
        <v>1</v>
      </c>
      <c r="Q542" s="255">
        <v>156000</v>
      </c>
      <c r="R542" s="283">
        <v>156000</v>
      </c>
      <c r="S542" s="283">
        <v>45067</v>
      </c>
      <c r="T542" s="287">
        <v>0</v>
      </c>
      <c r="U542" s="287">
        <v>1</v>
      </c>
      <c r="V542" s="287">
        <v>0</v>
      </c>
      <c r="W542" s="283">
        <v>15600</v>
      </c>
      <c r="X542" s="283">
        <v>0</v>
      </c>
      <c r="Y542" s="199" t="s">
        <v>1392</v>
      </c>
      <c r="Z542" s="517" t="s">
        <v>5542</v>
      </c>
      <c r="AA542" s="493" t="s">
        <v>1485</v>
      </c>
      <c r="AB542" s="507"/>
    </row>
    <row r="543" spans="2:28" x14ac:dyDescent="0.15">
      <c r="B543" s="330" t="s">
        <v>3379</v>
      </c>
      <c r="C543" s="528">
        <v>43084</v>
      </c>
      <c r="D543" s="198" t="s">
        <v>2728</v>
      </c>
      <c r="E543" s="53" t="s">
        <v>1391</v>
      </c>
      <c r="F543" s="198" t="s">
        <v>3794</v>
      </c>
      <c r="G543" s="3" t="s">
        <v>364</v>
      </c>
      <c r="H543" s="53" t="s">
        <v>432</v>
      </c>
      <c r="I543" s="3" t="s">
        <v>375</v>
      </c>
      <c r="J543" s="4" t="s">
        <v>262</v>
      </c>
      <c r="K543" s="4" t="s">
        <v>365</v>
      </c>
      <c r="L543" s="4" t="s">
        <v>1728</v>
      </c>
      <c r="M543" s="43" t="s">
        <v>2729</v>
      </c>
      <c r="N543" s="255">
        <v>270000</v>
      </c>
      <c r="O543" s="265">
        <v>60</v>
      </c>
      <c r="P543" s="270">
        <v>1</v>
      </c>
      <c r="Q543" s="255">
        <v>162000</v>
      </c>
      <c r="R543" s="283">
        <v>162000</v>
      </c>
      <c r="S543" s="283">
        <v>49367</v>
      </c>
      <c r="T543" s="287">
        <v>0</v>
      </c>
      <c r="U543" s="287">
        <v>1</v>
      </c>
      <c r="V543" s="287">
        <v>0</v>
      </c>
      <c r="W543" s="283">
        <v>16200</v>
      </c>
      <c r="X543" s="283">
        <v>0</v>
      </c>
      <c r="Y543" s="199" t="s">
        <v>1392</v>
      </c>
      <c r="Z543" s="517" t="s">
        <v>5166</v>
      </c>
      <c r="AA543" s="493" t="s">
        <v>1485</v>
      </c>
      <c r="AB543" s="507"/>
    </row>
    <row r="544" spans="2:28" x14ac:dyDescent="0.15">
      <c r="B544" s="330" t="s">
        <v>3380</v>
      </c>
      <c r="C544" s="528">
        <v>43087</v>
      </c>
      <c r="D544" s="198" t="s">
        <v>2717</v>
      </c>
      <c r="E544" s="53" t="s">
        <v>1391</v>
      </c>
      <c r="F544" s="198" t="s">
        <v>3797</v>
      </c>
      <c r="G544" s="3" t="s">
        <v>362</v>
      </c>
      <c r="H544" s="53" t="s">
        <v>689</v>
      </c>
      <c r="I544" s="3" t="s">
        <v>1394</v>
      </c>
      <c r="J544" s="4" t="s">
        <v>1402</v>
      </c>
      <c r="K544" s="4" t="s">
        <v>1403</v>
      </c>
      <c r="L544" s="4" t="s">
        <v>2731</v>
      </c>
      <c r="M544" s="43" t="s">
        <v>2732</v>
      </c>
      <c r="N544" s="255">
        <v>260000</v>
      </c>
      <c r="O544" s="265">
        <v>55</v>
      </c>
      <c r="P544" s="270">
        <v>1</v>
      </c>
      <c r="Q544" s="255">
        <v>143000</v>
      </c>
      <c r="R544" s="283">
        <v>143000</v>
      </c>
      <c r="S544" s="283">
        <v>39222</v>
      </c>
      <c r="T544" s="287">
        <v>1</v>
      </c>
      <c r="U544" s="287">
        <v>0</v>
      </c>
      <c r="V544" s="287">
        <v>0</v>
      </c>
      <c r="W544" s="283">
        <v>0</v>
      </c>
      <c r="X544" s="283">
        <v>0</v>
      </c>
      <c r="Y544" s="199" t="s">
        <v>1395</v>
      </c>
      <c r="Z544" s="517" t="s">
        <v>5166</v>
      </c>
      <c r="AA544" s="493" t="s">
        <v>1485</v>
      </c>
      <c r="AB544" s="507"/>
    </row>
    <row r="545" spans="2:28" x14ac:dyDescent="0.15">
      <c r="B545" s="330" t="s">
        <v>3381</v>
      </c>
      <c r="C545" s="528">
        <v>43088</v>
      </c>
      <c r="D545" s="198" t="s">
        <v>2720</v>
      </c>
      <c r="E545" s="53" t="s">
        <v>1391</v>
      </c>
      <c r="F545" s="198" t="s">
        <v>3794</v>
      </c>
      <c r="G545" s="3" t="s">
        <v>364</v>
      </c>
      <c r="H545" s="53" t="s">
        <v>432</v>
      </c>
      <c r="I545" s="3" t="s">
        <v>375</v>
      </c>
      <c r="J545" s="4" t="s">
        <v>1402</v>
      </c>
      <c r="K545" s="4" t="s">
        <v>1403</v>
      </c>
      <c r="L545" s="4" t="s">
        <v>2733</v>
      </c>
      <c r="M545" s="191" t="s">
        <v>2734</v>
      </c>
      <c r="N545" s="255">
        <v>260000</v>
      </c>
      <c r="O545" s="265">
        <v>60</v>
      </c>
      <c r="P545" s="270">
        <v>1</v>
      </c>
      <c r="Q545" s="255">
        <v>156000</v>
      </c>
      <c r="R545" s="283">
        <v>156000</v>
      </c>
      <c r="S545" s="283">
        <v>33622</v>
      </c>
      <c r="T545" s="287">
        <v>0</v>
      </c>
      <c r="U545" s="287">
        <v>1</v>
      </c>
      <c r="V545" s="287">
        <v>0</v>
      </c>
      <c r="W545" s="283">
        <v>15600</v>
      </c>
      <c r="X545" s="283">
        <v>0</v>
      </c>
      <c r="Y545" s="199" t="s">
        <v>1392</v>
      </c>
      <c r="Z545" s="517" t="s">
        <v>5543</v>
      </c>
      <c r="AA545" s="493" t="s">
        <v>1485</v>
      </c>
      <c r="AB545" s="507"/>
    </row>
    <row r="546" spans="2:28" x14ac:dyDescent="0.15">
      <c r="B546" s="330" t="s">
        <v>3382</v>
      </c>
      <c r="C546" s="527">
        <v>43088</v>
      </c>
      <c r="D546" s="191" t="s">
        <v>2723</v>
      </c>
      <c r="E546" s="43" t="s">
        <v>1396</v>
      </c>
      <c r="F546" s="191" t="s">
        <v>3796</v>
      </c>
      <c r="G546" s="4" t="s">
        <v>368</v>
      </c>
      <c r="H546" s="43" t="s">
        <v>792</v>
      </c>
      <c r="I546" s="4" t="s">
        <v>1413</v>
      </c>
      <c r="J546" s="4" t="s">
        <v>295</v>
      </c>
      <c r="K546" s="4" t="s">
        <v>1166</v>
      </c>
      <c r="L546" s="4" t="s">
        <v>1512</v>
      </c>
      <c r="M546" s="43"/>
      <c r="N546" s="255">
        <v>34000</v>
      </c>
      <c r="O546" s="265">
        <v>65</v>
      </c>
      <c r="P546" s="270">
        <v>1</v>
      </c>
      <c r="Q546" s="255">
        <v>22100</v>
      </c>
      <c r="R546" s="283">
        <v>22100</v>
      </c>
      <c r="S546" s="283">
        <v>4950</v>
      </c>
      <c r="T546" s="287">
        <v>0</v>
      </c>
      <c r="U546" s="287">
        <v>0</v>
      </c>
      <c r="V546" s="287">
        <v>0</v>
      </c>
      <c r="W546" s="283">
        <v>2550</v>
      </c>
      <c r="X546" s="283">
        <v>0</v>
      </c>
      <c r="Y546" s="199" t="s">
        <v>1392</v>
      </c>
      <c r="Z546" s="517" t="s">
        <v>5166</v>
      </c>
      <c r="AA546" s="493" t="s">
        <v>1485</v>
      </c>
      <c r="AB546" s="507"/>
    </row>
    <row r="547" spans="2:28" x14ac:dyDescent="0.15">
      <c r="B547" s="330" t="s">
        <v>3383</v>
      </c>
      <c r="C547" s="527">
        <v>43088</v>
      </c>
      <c r="D547" s="191" t="s">
        <v>2728</v>
      </c>
      <c r="E547" s="43" t="s">
        <v>1396</v>
      </c>
      <c r="F547" s="191" t="s">
        <v>3800</v>
      </c>
      <c r="G547" s="4" t="s">
        <v>50</v>
      </c>
      <c r="H547" s="43" t="s">
        <v>379</v>
      </c>
      <c r="I547" s="4" t="s">
        <v>2551</v>
      </c>
      <c r="J547" s="4" t="s">
        <v>274</v>
      </c>
      <c r="K547" s="4" t="s">
        <v>1162</v>
      </c>
      <c r="L547" s="4" t="s">
        <v>2693</v>
      </c>
      <c r="M547" s="43" t="s">
        <v>2736</v>
      </c>
      <c r="N547" s="255">
        <v>168000</v>
      </c>
      <c r="O547" s="265">
        <v>100</v>
      </c>
      <c r="P547" s="270">
        <v>-1</v>
      </c>
      <c r="Q547" s="255">
        <v>168000</v>
      </c>
      <c r="R547" s="283">
        <v>-168000</v>
      </c>
      <c r="S547" s="283">
        <v>-40221</v>
      </c>
      <c r="T547" s="287">
        <v>0</v>
      </c>
      <c r="U547" s="287">
        <v>-1</v>
      </c>
      <c r="V547" s="287">
        <v>0</v>
      </c>
      <c r="W547" s="283">
        <v>-16800</v>
      </c>
      <c r="X547" s="283">
        <v>0</v>
      </c>
      <c r="Y547" s="199" t="s">
        <v>1392</v>
      </c>
      <c r="Z547" s="517" t="s">
        <v>5166</v>
      </c>
      <c r="AA547" s="493" t="s">
        <v>1485</v>
      </c>
      <c r="AB547" s="507"/>
    </row>
    <row r="548" spans="2:28" x14ac:dyDescent="0.15">
      <c r="B548" s="330" t="s">
        <v>3384</v>
      </c>
      <c r="C548" s="527">
        <v>43089</v>
      </c>
      <c r="D548" s="191" t="s">
        <v>2744</v>
      </c>
      <c r="E548" s="43" t="s">
        <v>1391</v>
      </c>
      <c r="F548" s="191" t="s">
        <v>3794</v>
      </c>
      <c r="G548" s="4" t="s">
        <v>364</v>
      </c>
      <c r="H548" s="43" t="s">
        <v>2385</v>
      </c>
      <c r="I548" s="4" t="s">
        <v>2752</v>
      </c>
      <c r="J548" s="4" t="s">
        <v>264</v>
      </c>
      <c r="K548" s="4" t="s">
        <v>538</v>
      </c>
      <c r="L548" s="4" t="s">
        <v>1670</v>
      </c>
      <c r="M548" s="43" t="s">
        <v>2753</v>
      </c>
      <c r="N548" s="255">
        <v>310000</v>
      </c>
      <c r="O548" s="265">
        <v>65</v>
      </c>
      <c r="P548" s="270">
        <v>1</v>
      </c>
      <c r="Q548" s="255">
        <v>201500</v>
      </c>
      <c r="R548" s="283">
        <v>201500</v>
      </c>
      <c r="S548" s="283">
        <v>55460</v>
      </c>
      <c r="T548" s="287">
        <v>0</v>
      </c>
      <c r="U548" s="287">
        <v>1</v>
      </c>
      <c r="V548" s="287">
        <v>0</v>
      </c>
      <c r="W548" s="283">
        <v>23250</v>
      </c>
      <c r="X548" s="283">
        <v>0</v>
      </c>
      <c r="Y548" s="199" t="s">
        <v>1392</v>
      </c>
      <c r="Z548" s="517" t="s">
        <v>5166</v>
      </c>
      <c r="AA548" s="493" t="s">
        <v>1485</v>
      </c>
      <c r="AB548" s="507"/>
    </row>
    <row r="549" spans="2:28" x14ac:dyDescent="0.15">
      <c r="B549" s="330" t="s">
        <v>3385</v>
      </c>
      <c r="C549" s="527">
        <v>43089</v>
      </c>
      <c r="D549" s="191" t="s">
        <v>2746</v>
      </c>
      <c r="E549" s="43" t="s">
        <v>1391</v>
      </c>
      <c r="F549" s="191" t="s">
        <v>3805</v>
      </c>
      <c r="G549" s="4" t="s">
        <v>1113</v>
      </c>
      <c r="H549" s="43"/>
      <c r="I549" s="4"/>
      <c r="J549" s="4" t="s">
        <v>298</v>
      </c>
      <c r="K549" s="4" t="s">
        <v>1168</v>
      </c>
      <c r="L549" s="4" t="s">
        <v>2754</v>
      </c>
      <c r="M549" s="43"/>
      <c r="N549" s="255">
        <v>31</v>
      </c>
      <c r="O549" s="265">
        <v>100</v>
      </c>
      <c r="P549" s="270">
        <v>500</v>
      </c>
      <c r="Q549" s="255">
        <v>31</v>
      </c>
      <c r="R549" s="283">
        <v>15500</v>
      </c>
      <c r="S549" s="283">
        <v>500</v>
      </c>
      <c r="T549" s="287">
        <v>0</v>
      </c>
      <c r="U549" s="287">
        <v>0</v>
      </c>
      <c r="V549" s="287">
        <v>0</v>
      </c>
      <c r="W549" s="283">
        <v>0</v>
      </c>
      <c r="X549" s="283">
        <v>0</v>
      </c>
      <c r="Y549" s="199" t="s">
        <v>4147</v>
      </c>
      <c r="Z549" s="517" t="s">
        <v>5543</v>
      </c>
      <c r="AA549" s="493" t="s">
        <v>1485</v>
      </c>
      <c r="AB549" s="507"/>
    </row>
    <row r="550" spans="2:28" x14ac:dyDescent="0.15">
      <c r="B550" s="330" t="s">
        <v>3386</v>
      </c>
      <c r="C550" s="527">
        <v>43089</v>
      </c>
      <c r="D550" s="191" t="s">
        <v>2748</v>
      </c>
      <c r="E550" s="43" t="s">
        <v>1391</v>
      </c>
      <c r="F550" s="191" t="s">
        <v>3794</v>
      </c>
      <c r="G550" s="4" t="s">
        <v>364</v>
      </c>
      <c r="H550" s="43" t="s">
        <v>2385</v>
      </c>
      <c r="I550" s="4" t="s">
        <v>2752</v>
      </c>
      <c r="J550" s="4" t="s">
        <v>296</v>
      </c>
      <c r="K550" s="4" t="s">
        <v>1167</v>
      </c>
      <c r="L550" s="4" t="s">
        <v>1468</v>
      </c>
      <c r="M550" s="43"/>
      <c r="N550" s="255">
        <v>3500</v>
      </c>
      <c r="O550" s="265">
        <v>65</v>
      </c>
      <c r="P550" s="270">
        <v>1</v>
      </c>
      <c r="Q550" s="255">
        <v>2275</v>
      </c>
      <c r="R550" s="283">
        <v>2275</v>
      </c>
      <c r="S550" s="283">
        <v>813</v>
      </c>
      <c r="T550" s="287">
        <v>0</v>
      </c>
      <c r="U550" s="287">
        <v>0</v>
      </c>
      <c r="V550" s="287">
        <v>0</v>
      </c>
      <c r="W550" s="283">
        <v>262</v>
      </c>
      <c r="X550" s="283">
        <v>0</v>
      </c>
      <c r="Y550" s="199" t="s">
        <v>1392</v>
      </c>
      <c r="Z550" s="517" t="s">
        <v>5166</v>
      </c>
      <c r="AA550" s="493" t="s">
        <v>1485</v>
      </c>
      <c r="AB550" s="507"/>
    </row>
    <row r="551" spans="2:28" x14ac:dyDescent="0.15">
      <c r="B551" s="330" t="s">
        <v>3387</v>
      </c>
      <c r="C551" s="527">
        <v>43089</v>
      </c>
      <c r="D551" s="191" t="s">
        <v>2748</v>
      </c>
      <c r="E551" s="43" t="s">
        <v>1391</v>
      </c>
      <c r="F551" s="191" t="s">
        <v>3794</v>
      </c>
      <c r="G551" s="4" t="s">
        <v>364</v>
      </c>
      <c r="H551" s="43" t="s">
        <v>2385</v>
      </c>
      <c r="I551" s="4" t="s">
        <v>2752</v>
      </c>
      <c r="J551" s="4"/>
      <c r="K551" s="4"/>
      <c r="L551" s="4" t="s">
        <v>1520</v>
      </c>
      <c r="M551" s="43"/>
      <c r="N551" s="255">
        <v>430</v>
      </c>
      <c r="O551" s="265">
        <v>100</v>
      </c>
      <c r="P551" s="270">
        <v>1</v>
      </c>
      <c r="Q551" s="255">
        <v>430</v>
      </c>
      <c r="R551" s="283">
        <v>430</v>
      </c>
      <c r="S551" s="283">
        <v>0</v>
      </c>
      <c r="T551" s="287">
        <v>0</v>
      </c>
      <c r="U551" s="287">
        <v>0</v>
      </c>
      <c r="V551" s="287">
        <v>0</v>
      </c>
      <c r="W551" s="283">
        <v>0</v>
      </c>
      <c r="X551" s="283">
        <v>0</v>
      </c>
      <c r="Y551" s="199" t="s">
        <v>4146</v>
      </c>
      <c r="Z551" s="517" t="s">
        <v>5166</v>
      </c>
      <c r="AA551" s="493" t="s">
        <v>1485</v>
      </c>
      <c r="AB551" s="507"/>
    </row>
    <row r="552" spans="2:28" x14ac:dyDescent="0.15">
      <c r="B552" s="330" t="s">
        <v>3388</v>
      </c>
      <c r="C552" s="527">
        <v>43089</v>
      </c>
      <c r="D552" s="191" t="s">
        <v>2750</v>
      </c>
      <c r="E552" s="43" t="s">
        <v>1391</v>
      </c>
      <c r="F552" s="191" t="s">
        <v>3797</v>
      </c>
      <c r="G552" s="4" t="s">
        <v>362</v>
      </c>
      <c r="H552" s="43" t="s">
        <v>689</v>
      </c>
      <c r="I552" s="4" t="s">
        <v>1394</v>
      </c>
      <c r="J552" s="4" t="s">
        <v>264</v>
      </c>
      <c r="K552" s="4" t="s">
        <v>538</v>
      </c>
      <c r="L552" s="4" t="s">
        <v>2531</v>
      </c>
      <c r="M552" s="43" t="s">
        <v>2751</v>
      </c>
      <c r="N552" s="255">
        <v>391000</v>
      </c>
      <c r="O552" s="265">
        <v>55</v>
      </c>
      <c r="P552" s="270">
        <v>1</v>
      </c>
      <c r="Q552" s="255">
        <v>215050</v>
      </c>
      <c r="R552" s="283">
        <v>215050</v>
      </c>
      <c r="S552" s="283">
        <v>83126</v>
      </c>
      <c r="T552" s="287">
        <v>1</v>
      </c>
      <c r="U552" s="287">
        <v>0</v>
      </c>
      <c r="V552" s="287">
        <v>0</v>
      </c>
      <c r="W552" s="283">
        <v>0</v>
      </c>
      <c r="X552" s="283">
        <v>0</v>
      </c>
      <c r="Y552" s="199" t="s">
        <v>1395</v>
      </c>
      <c r="Z552" s="517" t="s">
        <v>5166</v>
      </c>
      <c r="AA552" s="493" t="s">
        <v>1485</v>
      </c>
      <c r="AB552" s="507"/>
    </row>
    <row r="553" spans="2:28" x14ac:dyDescent="0.15">
      <c r="B553" s="330" t="s">
        <v>3389</v>
      </c>
      <c r="C553" s="527">
        <v>43089</v>
      </c>
      <c r="D553" s="191" t="s">
        <v>2750</v>
      </c>
      <c r="E553" s="43" t="s">
        <v>1391</v>
      </c>
      <c r="F553" s="191" t="s">
        <v>3794</v>
      </c>
      <c r="G553" s="4" t="s">
        <v>364</v>
      </c>
      <c r="H553" s="43" t="s">
        <v>444</v>
      </c>
      <c r="I553" s="4" t="s">
        <v>1440</v>
      </c>
      <c r="J553" s="4" t="s">
        <v>273</v>
      </c>
      <c r="K553" s="4" t="s">
        <v>1161</v>
      </c>
      <c r="L553" s="4" t="s">
        <v>2755</v>
      </c>
      <c r="M553" s="43" t="s">
        <v>2756</v>
      </c>
      <c r="N553" s="255">
        <v>260000</v>
      </c>
      <c r="O553" s="265">
        <v>60</v>
      </c>
      <c r="P553" s="270">
        <v>1</v>
      </c>
      <c r="Q553" s="255">
        <v>156000</v>
      </c>
      <c r="R553" s="283">
        <v>156000</v>
      </c>
      <c r="S553" s="283">
        <v>53710</v>
      </c>
      <c r="T553" s="287">
        <v>0</v>
      </c>
      <c r="U553" s="287">
        <v>1</v>
      </c>
      <c r="V553" s="287">
        <v>0</v>
      </c>
      <c r="W553" s="283">
        <v>15600</v>
      </c>
      <c r="X553" s="283">
        <v>0</v>
      </c>
      <c r="Y553" s="199" t="s">
        <v>1392</v>
      </c>
      <c r="Z553" s="517" t="s">
        <v>5166</v>
      </c>
      <c r="AA553" s="493" t="s">
        <v>1485</v>
      </c>
      <c r="AB553" s="507"/>
    </row>
    <row r="554" spans="2:28" x14ac:dyDescent="0.15">
      <c r="B554" s="330" t="s">
        <v>3390</v>
      </c>
      <c r="C554" s="527">
        <v>43089</v>
      </c>
      <c r="D554" s="191" t="s">
        <v>2758</v>
      </c>
      <c r="E554" s="43" t="s">
        <v>1391</v>
      </c>
      <c r="F554" s="191" t="s">
        <v>3794</v>
      </c>
      <c r="G554" s="4" t="s">
        <v>364</v>
      </c>
      <c r="H554" s="43" t="s">
        <v>518</v>
      </c>
      <c r="I554" s="4" t="s">
        <v>2759</v>
      </c>
      <c r="J554" s="4" t="s">
        <v>272</v>
      </c>
      <c r="K554" s="4" t="s">
        <v>363</v>
      </c>
      <c r="L554" s="4" t="s">
        <v>2053</v>
      </c>
      <c r="M554" s="43" t="s">
        <v>2760</v>
      </c>
      <c r="N554" s="255">
        <v>280000</v>
      </c>
      <c r="O554" s="265">
        <v>65</v>
      </c>
      <c r="P554" s="270">
        <v>1</v>
      </c>
      <c r="Q554" s="255">
        <v>182000</v>
      </c>
      <c r="R554" s="283">
        <v>182000</v>
      </c>
      <c r="S554" s="283">
        <v>81310</v>
      </c>
      <c r="T554" s="287">
        <v>1</v>
      </c>
      <c r="U554" s="287">
        <v>0</v>
      </c>
      <c r="V554" s="287">
        <v>0</v>
      </c>
      <c r="W554" s="283">
        <v>0</v>
      </c>
      <c r="X554" s="283">
        <v>0</v>
      </c>
      <c r="Y554" s="199" t="s">
        <v>1395</v>
      </c>
      <c r="Z554" s="517" t="s">
        <v>5170</v>
      </c>
      <c r="AA554" s="493" t="s">
        <v>1485</v>
      </c>
      <c r="AB554" s="507"/>
    </row>
    <row r="555" spans="2:28" x14ac:dyDescent="0.15">
      <c r="B555" s="330" t="s">
        <v>3391</v>
      </c>
      <c r="C555" s="527">
        <v>43089</v>
      </c>
      <c r="D555" s="191" t="s">
        <v>2761</v>
      </c>
      <c r="E555" s="43" t="s">
        <v>1391</v>
      </c>
      <c r="F555" s="191" t="s">
        <v>3797</v>
      </c>
      <c r="G555" s="4" t="s">
        <v>362</v>
      </c>
      <c r="H555" s="43" t="s">
        <v>689</v>
      </c>
      <c r="I555" s="4" t="s">
        <v>1394</v>
      </c>
      <c r="J555" s="4" t="s">
        <v>268</v>
      </c>
      <c r="K555" s="4" t="s">
        <v>1158</v>
      </c>
      <c r="L555" s="4" t="s">
        <v>2296</v>
      </c>
      <c r="M555" s="43" t="s">
        <v>2762</v>
      </c>
      <c r="N555" s="255">
        <v>260000</v>
      </c>
      <c r="O555" s="265">
        <v>55</v>
      </c>
      <c r="P555" s="270">
        <v>1</v>
      </c>
      <c r="Q555" s="255">
        <v>143000</v>
      </c>
      <c r="R555" s="283">
        <v>143000</v>
      </c>
      <c r="S555" s="283">
        <v>51492</v>
      </c>
      <c r="T555" s="287">
        <v>1</v>
      </c>
      <c r="U555" s="287">
        <v>0</v>
      </c>
      <c r="V555" s="287">
        <v>0</v>
      </c>
      <c r="W555" s="283">
        <v>0</v>
      </c>
      <c r="X555" s="283">
        <v>0</v>
      </c>
      <c r="Y555" s="199" t="s">
        <v>1395</v>
      </c>
      <c r="Z555" s="517" t="s">
        <v>5166</v>
      </c>
      <c r="AA555" s="493" t="s">
        <v>1485</v>
      </c>
      <c r="AB555" s="507"/>
    </row>
    <row r="556" spans="2:28" x14ac:dyDescent="0.15">
      <c r="B556" s="330" t="s">
        <v>3392</v>
      </c>
      <c r="C556" s="527">
        <v>43089</v>
      </c>
      <c r="D556" s="191" t="s">
        <v>2772</v>
      </c>
      <c r="E556" s="43" t="s">
        <v>1391</v>
      </c>
      <c r="F556" s="191" t="s">
        <v>3794</v>
      </c>
      <c r="G556" s="4" t="s">
        <v>364</v>
      </c>
      <c r="H556" s="43" t="s">
        <v>437</v>
      </c>
      <c r="I556" s="4" t="s">
        <v>2773</v>
      </c>
      <c r="J556" s="4" t="s">
        <v>297</v>
      </c>
      <c r="K556" s="4" t="s">
        <v>369</v>
      </c>
      <c r="L556" s="4" t="s">
        <v>2774</v>
      </c>
      <c r="M556" s="43"/>
      <c r="N556" s="255">
        <v>100</v>
      </c>
      <c r="O556" s="265">
        <v>50</v>
      </c>
      <c r="P556" s="270">
        <v>100</v>
      </c>
      <c r="Q556" s="255">
        <v>50</v>
      </c>
      <c r="R556" s="283">
        <v>5000</v>
      </c>
      <c r="S556" s="283">
        <v>2050</v>
      </c>
      <c r="T556" s="287">
        <v>0</v>
      </c>
      <c r="U556" s="287">
        <v>0</v>
      </c>
      <c r="V556" s="287">
        <v>0</v>
      </c>
      <c r="W556" s="283">
        <v>750</v>
      </c>
      <c r="X556" s="283">
        <v>0</v>
      </c>
      <c r="Y556" s="199" t="s">
        <v>1392</v>
      </c>
      <c r="Z556" s="517" t="s">
        <v>5532</v>
      </c>
      <c r="AA556" s="493" t="s">
        <v>1485</v>
      </c>
      <c r="AB556" s="507"/>
    </row>
    <row r="557" spans="2:28" x14ac:dyDescent="0.15">
      <c r="B557" s="330" t="s">
        <v>3393</v>
      </c>
      <c r="C557" s="527">
        <v>43089</v>
      </c>
      <c r="D557" s="191" t="s">
        <v>2776</v>
      </c>
      <c r="E557" s="43" t="s">
        <v>1396</v>
      </c>
      <c r="F557" s="191" t="s">
        <v>3795</v>
      </c>
      <c r="G557" s="4" t="s">
        <v>1321</v>
      </c>
      <c r="H557" s="43"/>
      <c r="I557" s="4"/>
      <c r="J557" s="4"/>
      <c r="K557" s="4"/>
      <c r="L557" s="4" t="s">
        <v>1418</v>
      </c>
      <c r="M557" s="43"/>
      <c r="N557" s="255">
        <v>7950</v>
      </c>
      <c r="O557" s="265">
        <v>100</v>
      </c>
      <c r="P557" s="270">
        <v>-1</v>
      </c>
      <c r="Q557" s="255">
        <v>-7950</v>
      </c>
      <c r="R557" s="283">
        <v>-7950</v>
      </c>
      <c r="S557" s="283">
        <v>-7950</v>
      </c>
      <c r="T557" s="287">
        <v>0</v>
      </c>
      <c r="U557" s="287">
        <v>0</v>
      </c>
      <c r="V557" s="287">
        <v>0</v>
      </c>
      <c r="W557" s="283">
        <v>7950</v>
      </c>
      <c r="X557" s="283">
        <v>0</v>
      </c>
      <c r="Y557" s="199" t="s">
        <v>1392</v>
      </c>
      <c r="Z557" s="517" t="s">
        <v>5545</v>
      </c>
      <c r="AA557" s="493"/>
      <c r="AB557" s="507"/>
    </row>
    <row r="558" spans="2:28" x14ac:dyDescent="0.15">
      <c r="B558" s="330" t="s">
        <v>3394</v>
      </c>
      <c r="C558" s="527">
        <v>43089</v>
      </c>
      <c r="D558" s="191" t="s">
        <v>2777</v>
      </c>
      <c r="E558" s="43" t="s">
        <v>1391</v>
      </c>
      <c r="F558" s="191" t="s">
        <v>3794</v>
      </c>
      <c r="G558" s="4" t="s">
        <v>364</v>
      </c>
      <c r="H558" s="43" t="s">
        <v>511</v>
      </c>
      <c r="I558" s="4" t="s">
        <v>2377</v>
      </c>
      <c r="J558" s="4" t="s">
        <v>268</v>
      </c>
      <c r="K558" s="4" t="s">
        <v>1158</v>
      </c>
      <c r="L558" s="4" t="s">
        <v>2084</v>
      </c>
      <c r="M558" s="43" t="s">
        <v>2778</v>
      </c>
      <c r="N558" s="255">
        <v>270000</v>
      </c>
      <c r="O558" s="265">
        <v>65</v>
      </c>
      <c r="P558" s="270">
        <v>1</v>
      </c>
      <c r="Q558" s="255">
        <v>175500</v>
      </c>
      <c r="R558" s="283">
        <v>175500</v>
      </c>
      <c r="S558" s="283">
        <v>83492</v>
      </c>
      <c r="T558" s="287">
        <v>1</v>
      </c>
      <c r="U558" s="287">
        <v>0</v>
      </c>
      <c r="V558" s="287">
        <v>0</v>
      </c>
      <c r="W558" s="283">
        <v>0</v>
      </c>
      <c r="X558" s="283">
        <v>0</v>
      </c>
      <c r="Y558" s="199" t="s">
        <v>1395</v>
      </c>
      <c r="Z558" s="517" t="s">
        <v>5170</v>
      </c>
      <c r="AA558" s="493" t="s">
        <v>1485</v>
      </c>
      <c r="AB558" s="507"/>
    </row>
    <row r="559" spans="2:28" x14ac:dyDescent="0.15">
      <c r="B559" s="330" t="s">
        <v>3395</v>
      </c>
      <c r="C559" s="527">
        <v>43089</v>
      </c>
      <c r="D559" s="191" t="s">
        <v>3420</v>
      </c>
      <c r="E559" s="43" t="s">
        <v>1391</v>
      </c>
      <c r="F559" s="375" t="s">
        <v>3794</v>
      </c>
      <c r="G559" s="4" t="s">
        <v>364</v>
      </c>
      <c r="H559" s="43" t="s">
        <v>432</v>
      </c>
      <c r="I559" s="4" t="s">
        <v>375</v>
      </c>
      <c r="J559" s="4" t="s">
        <v>299</v>
      </c>
      <c r="K559" s="4" t="s">
        <v>373</v>
      </c>
      <c r="L559" s="4" t="s">
        <v>3421</v>
      </c>
      <c r="M559" s="43"/>
      <c r="N559" s="255">
        <v>5000</v>
      </c>
      <c r="O559" s="265">
        <v>100</v>
      </c>
      <c r="P559" s="270">
        <v>1</v>
      </c>
      <c r="Q559" s="255">
        <v>5000</v>
      </c>
      <c r="R559" s="283">
        <v>5000</v>
      </c>
      <c r="S559" s="283">
        <v>1347</v>
      </c>
      <c r="T559" s="287">
        <v>0</v>
      </c>
      <c r="U559" s="287">
        <v>0</v>
      </c>
      <c r="V559" s="287">
        <v>0</v>
      </c>
      <c r="W559" s="283">
        <v>3652</v>
      </c>
      <c r="X559" s="283">
        <v>0</v>
      </c>
      <c r="Y559" s="199" t="s">
        <v>1392</v>
      </c>
      <c r="Z559" s="517" t="s">
        <v>5542</v>
      </c>
      <c r="AA559" s="493"/>
      <c r="AB559" s="507"/>
    </row>
    <row r="560" spans="2:28" x14ac:dyDescent="0.15">
      <c r="B560" s="330" t="s">
        <v>3396</v>
      </c>
      <c r="C560" s="527">
        <v>43089</v>
      </c>
      <c r="D560" s="191" t="s">
        <v>3426</v>
      </c>
      <c r="E560" s="43" t="s">
        <v>1391</v>
      </c>
      <c r="F560" s="375" t="s">
        <v>3794</v>
      </c>
      <c r="G560" s="4" t="s">
        <v>364</v>
      </c>
      <c r="H560" s="43" t="s">
        <v>455</v>
      </c>
      <c r="I560" s="4" t="s">
        <v>1404</v>
      </c>
      <c r="J560" s="4" t="s">
        <v>299</v>
      </c>
      <c r="K560" s="4" t="s">
        <v>373</v>
      </c>
      <c r="L560" s="4" t="s">
        <v>3427</v>
      </c>
      <c r="M560" s="43"/>
      <c r="N560" s="255">
        <v>5000</v>
      </c>
      <c r="O560" s="265">
        <v>100</v>
      </c>
      <c r="P560" s="270">
        <v>1</v>
      </c>
      <c r="Q560" s="255">
        <v>5000</v>
      </c>
      <c r="R560" s="283">
        <v>5000</v>
      </c>
      <c r="S560" s="283">
        <v>1347</v>
      </c>
      <c r="T560" s="287">
        <v>0</v>
      </c>
      <c r="U560" s="287">
        <v>0</v>
      </c>
      <c r="V560" s="287">
        <v>0</v>
      </c>
      <c r="W560" s="283">
        <v>3652</v>
      </c>
      <c r="X560" s="283">
        <v>0</v>
      </c>
      <c r="Y560" s="199" t="s">
        <v>1392</v>
      </c>
      <c r="Z560" s="517" t="s">
        <v>5532</v>
      </c>
      <c r="AA560" s="493"/>
      <c r="AB560" s="507"/>
    </row>
    <row r="561" spans="2:28" x14ac:dyDescent="0.15">
      <c r="B561" s="330" t="s">
        <v>3397</v>
      </c>
      <c r="C561" s="527">
        <v>43089</v>
      </c>
      <c r="D561" s="191" t="s">
        <v>3426</v>
      </c>
      <c r="E561" s="43" t="s">
        <v>1391</v>
      </c>
      <c r="F561" s="375" t="s">
        <v>3794</v>
      </c>
      <c r="G561" s="4" t="s">
        <v>364</v>
      </c>
      <c r="H561" s="43" t="s">
        <v>455</v>
      </c>
      <c r="I561" s="4" t="s">
        <v>1404</v>
      </c>
      <c r="J561" s="4" t="s">
        <v>299</v>
      </c>
      <c r="K561" s="4" t="s">
        <v>373</v>
      </c>
      <c r="L561" s="4" t="s">
        <v>3429</v>
      </c>
      <c r="M561" s="43"/>
      <c r="N561" s="255">
        <v>10000</v>
      </c>
      <c r="O561" s="265">
        <v>100</v>
      </c>
      <c r="P561" s="270">
        <v>1</v>
      </c>
      <c r="Q561" s="255">
        <v>10000</v>
      </c>
      <c r="R561" s="283">
        <v>10000</v>
      </c>
      <c r="S561" s="283">
        <v>2694</v>
      </c>
      <c r="T561" s="287">
        <v>0</v>
      </c>
      <c r="U561" s="287">
        <v>0</v>
      </c>
      <c r="V561" s="287">
        <v>0</v>
      </c>
      <c r="W561" s="283">
        <v>7306</v>
      </c>
      <c r="X561" s="283">
        <v>0</v>
      </c>
      <c r="Y561" s="199" t="s">
        <v>1392</v>
      </c>
      <c r="Z561" s="517" t="s">
        <v>5166</v>
      </c>
      <c r="AA561" s="493"/>
      <c r="AB561" s="507"/>
    </row>
    <row r="562" spans="2:28" x14ac:dyDescent="0.15">
      <c r="B562" s="330" t="s">
        <v>3398</v>
      </c>
      <c r="C562" s="527">
        <v>43090</v>
      </c>
      <c r="D562" s="191" t="s">
        <v>2659</v>
      </c>
      <c r="E562" s="43" t="s">
        <v>1396</v>
      </c>
      <c r="F562" s="191" t="s">
        <v>3800</v>
      </c>
      <c r="G562" s="4" t="s">
        <v>50</v>
      </c>
      <c r="H562" s="43" t="s">
        <v>1434</v>
      </c>
      <c r="I562" s="4" t="s">
        <v>1435</v>
      </c>
      <c r="J562" s="4" t="s">
        <v>273</v>
      </c>
      <c r="K562" s="4" t="s">
        <v>1161</v>
      </c>
      <c r="L562" s="4" t="s">
        <v>2697</v>
      </c>
      <c r="M562" s="43" t="s">
        <v>2698</v>
      </c>
      <c r="N562" s="255">
        <v>187000</v>
      </c>
      <c r="O562" s="265">
        <v>100</v>
      </c>
      <c r="P562" s="270">
        <v>1</v>
      </c>
      <c r="Q562" s="255">
        <v>187000</v>
      </c>
      <c r="R562" s="283">
        <v>187000</v>
      </c>
      <c r="S562" s="283">
        <v>56198</v>
      </c>
      <c r="T562" s="287">
        <v>0</v>
      </c>
      <c r="U562" s="287">
        <v>1</v>
      </c>
      <c r="V562" s="287">
        <v>0</v>
      </c>
      <c r="W562" s="283">
        <v>21576</v>
      </c>
      <c r="X562" s="283">
        <v>0</v>
      </c>
      <c r="Y562" s="199" t="s">
        <v>1392</v>
      </c>
      <c r="Z562" s="517" t="s">
        <v>5167</v>
      </c>
      <c r="AA562" s="493" t="s">
        <v>1485</v>
      </c>
      <c r="AB562" s="507"/>
    </row>
    <row r="563" spans="2:28" x14ac:dyDescent="0.15">
      <c r="B563" s="330" t="s">
        <v>3399</v>
      </c>
      <c r="C563" s="527">
        <v>43090</v>
      </c>
      <c r="D563" s="191" t="s">
        <v>2661</v>
      </c>
      <c r="E563" s="43" t="s">
        <v>1396</v>
      </c>
      <c r="F563" s="191" t="s">
        <v>3800</v>
      </c>
      <c r="G563" s="4" t="s">
        <v>50</v>
      </c>
      <c r="H563" s="43" t="s">
        <v>1434</v>
      </c>
      <c r="I563" s="4" t="s">
        <v>1435</v>
      </c>
      <c r="J563" s="4" t="s">
        <v>268</v>
      </c>
      <c r="K563" s="4" t="s">
        <v>1158</v>
      </c>
      <c r="L563" s="4" t="s">
        <v>1949</v>
      </c>
      <c r="M563" s="43" t="s">
        <v>2699</v>
      </c>
      <c r="N563" s="255">
        <v>270000</v>
      </c>
      <c r="O563" s="265">
        <v>60</v>
      </c>
      <c r="P563" s="270">
        <v>1</v>
      </c>
      <c r="Q563" s="255">
        <v>162000</v>
      </c>
      <c r="R563" s="283">
        <v>162000</v>
      </c>
      <c r="S563" s="283">
        <v>51792</v>
      </c>
      <c r="T563" s="287">
        <v>0</v>
      </c>
      <c r="U563" s="287">
        <v>1</v>
      </c>
      <c r="V563" s="287">
        <v>0</v>
      </c>
      <c r="W563" s="283">
        <v>16200</v>
      </c>
      <c r="X563" s="283">
        <v>0</v>
      </c>
      <c r="Y563" s="199" t="s">
        <v>1392</v>
      </c>
      <c r="Z563" s="517" t="s">
        <v>5167</v>
      </c>
      <c r="AA563" s="493" t="s">
        <v>1485</v>
      </c>
      <c r="AB563" s="507"/>
    </row>
    <row r="564" spans="2:28" x14ac:dyDescent="0.15">
      <c r="B564" s="330" t="s">
        <v>3400</v>
      </c>
      <c r="C564" s="527">
        <v>43090</v>
      </c>
      <c r="D564" s="191" t="s">
        <v>2668</v>
      </c>
      <c r="E564" s="43" t="s">
        <v>1396</v>
      </c>
      <c r="F564" s="191" t="s">
        <v>3800</v>
      </c>
      <c r="G564" s="4" t="s">
        <v>50</v>
      </c>
      <c r="H564" s="43" t="s">
        <v>381</v>
      </c>
      <c r="I564" s="4" t="s">
        <v>1408</v>
      </c>
      <c r="J564" s="4" t="s">
        <v>271</v>
      </c>
      <c r="K564" s="4" t="s">
        <v>1160</v>
      </c>
      <c r="L564" s="4" t="s">
        <v>1964</v>
      </c>
      <c r="M564" s="43" t="s">
        <v>2706</v>
      </c>
      <c r="N564" s="255">
        <v>225000</v>
      </c>
      <c r="O564" s="265">
        <v>100</v>
      </c>
      <c r="P564" s="270">
        <v>1</v>
      </c>
      <c r="Q564" s="255">
        <v>225000</v>
      </c>
      <c r="R564" s="283">
        <v>225000</v>
      </c>
      <c r="S564" s="283">
        <v>72551</v>
      </c>
      <c r="T564" s="287">
        <v>0</v>
      </c>
      <c r="U564" s="287">
        <v>1</v>
      </c>
      <c r="V564" s="287">
        <v>0</v>
      </c>
      <c r="W564" s="283">
        <v>25961</v>
      </c>
      <c r="X564" s="283">
        <v>0</v>
      </c>
      <c r="Y564" s="199" t="s">
        <v>1392</v>
      </c>
      <c r="Z564" s="517" t="s">
        <v>5543</v>
      </c>
      <c r="AA564" s="493" t="s">
        <v>1485</v>
      </c>
      <c r="AB564" s="507"/>
    </row>
    <row r="565" spans="2:28" x14ac:dyDescent="0.15">
      <c r="B565" s="330" t="s">
        <v>3401</v>
      </c>
      <c r="C565" s="527">
        <v>43090</v>
      </c>
      <c r="D565" s="191" t="s">
        <v>2670</v>
      </c>
      <c r="E565" s="43" t="s">
        <v>1396</v>
      </c>
      <c r="F565" s="191" t="s">
        <v>3800</v>
      </c>
      <c r="G565" s="4" t="s">
        <v>50</v>
      </c>
      <c r="H565" s="43" t="s">
        <v>381</v>
      </c>
      <c r="I565" s="4" t="s">
        <v>1408</v>
      </c>
      <c r="J565" s="4" t="s">
        <v>270</v>
      </c>
      <c r="K565" s="4" t="s">
        <v>539</v>
      </c>
      <c r="L565" s="4" t="s">
        <v>2343</v>
      </c>
      <c r="M565" s="191" t="s">
        <v>2707</v>
      </c>
      <c r="N565" s="255">
        <v>328000</v>
      </c>
      <c r="O565" s="265">
        <v>50</v>
      </c>
      <c r="P565" s="270">
        <v>1</v>
      </c>
      <c r="Q565" s="255">
        <v>164000</v>
      </c>
      <c r="R565" s="283">
        <v>164000</v>
      </c>
      <c r="S565" s="283">
        <v>36359</v>
      </c>
      <c r="T565" s="287">
        <v>0</v>
      </c>
      <c r="U565" s="287">
        <v>1</v>
      </c>
      <c r="V565" s="287">
        <v>0</v>
      </c>
      <c r="W565" s="283">
        <v>9840</v>
      </c>
      <c r="X565" s="283">
        <v>0</v>
      </c>
      <c r="Y565" s="199" t="s">
        <v>1392</v>
      </c>
      <c r="Z565" s="517" t="s">
        <v>5543</v>
      </c>
      <c r="AA565" s="493" t="s">
        <v>1485</v>
      </c>
      <c r="AB565" s="507"/>
    </row>
    <row r="566" spans="2:28" x14ac:dyDescent="0.15">
      <c r="B566" s="330" t="s">
        <v>3402</v>
      </c>
      <c r="C566" s="527">
        <v>43090</v>
      </c>
      <c r="D566" s="191" t="s">
        <v>2675</v>
      </c>
      <c r="E566" s="43" t="s">
        <v>1396</v>
      </c>
      <c r="F566" s="191" t="s">
        <v>3800</v>
      </c>
      <c r="G566" s="4" t="s">
        <v>50</v>
      </c>
      <c r="H566" s="43" t="s">
        <v>380</v>
      </c>
      <c r="I566" s="4" t="s">
        <v>1976</v>
      </c>
      <c r="J566" s="4" t="s">
        <v>268</v>
      </c>
      <c r="K566" s="4" t="s">
        <v>1158</v>
      </c>
      <c r="L566" s="4" t="s">
        <v>1577</v>
      </c>
      <c r="M566" s="43" t="s">
        <v>2709</v>
      </c>
      <c r="N566" s="255">
        <v>260000</v>
      </c>
      <c r="O566" s="265">
        <v>60</v>
      </c>
      <c r="P566" s="270">
        <v>1</v>
      </c>
      <c r="Q566" s="255">
        <v>156000</v>
      </c>
      <c r="R566" s="283">
        <v>156000</v>
      </c>
      <c r="S566" s="283">
        <v>50892</v>
      </c>
      <c r="T566" s="287">
        <v>0</v>
      </c>
      <c r="U566" s="287">
        <v>1</v>
      </c>
      <c r="V566" s="287">
        <v>0</v>
      </c>
      <c r="W566" s="283">
        <v>15600</v>
      </c>
      <c r="X566" s="283">
        <v>0</v>
      </c>
      <c r="Y566" s="199" t="s">
        <v>1392</v>
      </c>
      <c r="Z566" s="517" t="s">
        <v>5166</v>
      </c>
      <c r="AA566" s="493" t="s">
        <v>1485</v>
      </c>
      <c r="AB566" s="507"/>
    </row>
    <row r="567" spans="2:28" x14ac:dyDescent="0.15">
      <c r="B567" s="330" t="s">
        <v>3403</v>
      </c>
      <c r="C567" s="527">
        <v>43090</v>
      </c>
      <c r="D567" s="191" t="s">
        <v>2716</v>
      </c>
      <c r="E567" s="43" t="s">
        <v>1396</v>
      </c>
      <c r="F567" s="191" t="s">
        <v>3800</v>
      </c>
      <c r="G567" s="4" t="s">
        <v>50</v>
      </c>
      <c r="H567" s="191" t="s">
        <v>2730</v>
      </c>
      <c r="I567" s="4" t="s">
        <v>1976</v>
      </c>
      <c r="J567" s="4" t="s">
        <v>298</v>
      </c>
      <c r="K567" s="4" t="s">
        <v>1168</v>
      </c>
      <c r="L567" s="4" t="s">
        <v>1412</v>
      </c>
      <c r="M567" s="43"/>
      <c r="N567" s="255">
        <v>2400</v>
      </c>
      <c r="O567" s="265">
        <v>60</v>
      </c>
      <c r="P567" s="270">
        <v>5</v>
      </c>
      <c r="Q567" s="255">
        <v>1440</v>
      </c>
      <c r="R567" s="283">
        <v>7200</v>
      </c>
      <c r="S567" s="283">
        <v>2480</v>
      </c>
      <c r="T567" s="287">
        <v>0</v>
      </c>
      <c r="U567" s="287">
        <v>0</v>
      </c>
      <c r="V567" s="287">
        <v>0</v>
      </c>
      <c r="W567" s="283">
        <v>720</v>
      </c>
      <c r="X567" s="283">
        <v>0</v>
      </c>
      <c r="Y567" s="199" t="s">
        <v>1392</v>
      </c>
      <c r="Z567" s="517" t="s">
        <v>5166</v>
      </c>
      <c r="AA567" s="493" t="s">
        <v>1485</v>
      </c>
      <c r="AB567" s="507"/>
    </row>
    <row r="568" spans="2:28" x14ac:dyDescent="0.15">
      <c r="B568" s="330" t="s">
        <v>3404</v>
      </c>
      <c r="C568" s="527">
        <v>43090</v>
      </c>
      <c r="D568" s="191" t="s">
        <v>2726</v>
      </c>
      <c r="E568" s="43" t="s">
        <v>1396</v>
      </c>
      <c r="F568" s="191" t="s">
        <v>3800</v>
      </c>
      <c r="G568" s="4" t="s">
        <v>50</v>
      </c>
      <c r="H568" s="43" t="s">
        <v>379</v>
      </c>
      <c r="I568" s="4" t="s">
        <v>2551</v>
      </c>
      <c r="J568" s="4" t="s">
        <v>265</v>
      </c>
      <c r="K568" s="4" t="s">
        <v>1155</v>
      </c>
      <c r="L568" s="4" t="s">
        <v>1743</v>
      </c>
      <c r="M568" s="43" t="s">
        <v>2735</v>
      </c>
      <c r="N568" s="255">
        <v>340000</v>
      </c>
      <c r="O568" s="265">
        <v>60</v>
      </c>
      <c r="P568" s="270">
        <v>1</v>
      </c>
      <c r="Q568" s="255">
        <v>204000</v>
      </c>
      <c r="R568" s="283">
        <v>204000</v>
      </c>
      <c r="S568" s="283">
        <v>48330</v>
      </c>
      <c r="T568" s="287">
        <v>0</v>
      </c>
      <c r="U568" s="287">
        <v>1</v>
      </c>
      <c r="V568" s="287">
        <v>0</v>
      </c>
      <c r="W568" s="283">
        <v>20400</v>
      </c>
      <c r="X568" s="283">
        <v>0</v>
      </c>
      <c r="Y568" s="199" t="s">
        <v>1392</v>
      </c>
      <c r="Z568" s="517" t="s">
        <v>5532</v>
      </c>
      <c r="AA568" s="493" t="s">
        <v>1485</v>
      </c>
      <c r="AB568" s="507"/>
    </row>
    <row r="569" spans="2:28" x14ac:dyDescent="0.15">
      <c r="B569" s="330" t="s">
        <v>3405</v>
      </c>
      <c r="C569" s="527">
        <v>43090</v>
      </c>
      <c r="D569" s="191" t="s">
        <v>2737</v>
      </c>
      <c r="E569" s="43" t="s">
        <v>1396</v>
      </c>
      <c r="F569" s="191" t="s">
        <v>3800</v>
      </c>
      <c r="G569" s="4" t="s">
        <v>50</v>
      </c>
      <c r="H569" s="43" t="s">
        <v>379</v>
      </c>
      <c r="I569" s="4" t="s">
        <v>2551</v>
      </c>
      <c r="J569" s="4" t="s">
        <v>274</v>
      </c>
      <c r="K569" s="4" t="s">
        <v>1162</v>
      </c>
      <c r="L569" s="4" t="s">
        <v>2693</v>
      </c>
      <c r="M569" s="43" t="s">
        <v>2736</v>
      </c>
      <c r="N569" s="255">
        <v>168000</v>
      </c>
      <c r="O569" s="265">
        <v>100</v>
      </c>
      <c r="P569" s="270">
        <v>1</v>
      </c>
      <c r="Q569" s="255">
        <v>168000</v>
      </c>
      <c r="R569" s="283">
        <v>168000</v>
      </c>
      <c r="S569" s="283">
        <v>40221</v>
      </c>
      <c r="T569" s="287">
        <v>0</v>
      </c>
      <c r="U569" s="287">
        <v>1</v>
      </c>
      <c r="V569" s="287">
        <v>0</v>
      </c>
      <c r="W569" s="283">
        <v>16800</v>
      </c>
      <c r="X569" s="283">
        <v>0</v>
      </c>
      <c r="Y569" s="199" t="s">
        <v>1392</v>
      </c>
      <c r="Z569" s="517" t="s">
        <v>5532</v>
      </c>
      <c r="AA569" s="493" t="s">
        <v>1485</v>
      </c>
      <c r="AB569" s="507"/>
    </row>
    <row r="570" spans="2:28" x14ac:dyDescent="0.15">
      <c r="B570" s="330" t="s">
        <v>3406</v>
      </c>
      <c r="C570" s="527">
        <v>43090</v>
      </c>
      <c r="D570" s="191" t="s">
        <v>2738</v>
      </c>
      <c r="E570" s="43" t="s">
        <v>1396</v>
      </c>
      <c r="F570" s="191" t="s">
        <v>3800</v>
      </c>
      <c r="G570" s="4" t="s">
        <v>50</v>
      </c>
      <c r="H570" s="43" t="s">
        <v>379</v>
      </c>
      <c r="I570" s="4" t="s">
        <v>2551</v>
      </c>
      <c r="J570" s="4" t="s">
        <v>293</v>
      </c>
      <c r="K570" s="4" t="s">
        <v>1164</v>
      </c>
      <c r="L570" s="4" t="s">
        <v>2739</v>
      </c>
      <c r="M570" s="43" t="s">
        <v>2740</v>
      </c>
      <c r="N570" s="255">
        <v>255000</v>
      </c>
      <c r="O570" s="265">
        <v>100</v>
      </c>
      <c r="P570" s="270">
        <v>1</v>
      </c>
      <c r="Q570" s="255">
        <v>255000</v>
      </c>
      <c r="R570" s="283">
        <v>255000</v>
      </c>
      <c r="S570" s="283">
        <v>40110</v>
      </c>
      <c r="T570" s="287">
        <v>0</v>
      </c>
      <c r="U570" s="287">
        <v>1</v>
      </c>
      <c r="V570" s="287">
        <v>0</v>
      </c>
      <c r="W570" s="283">
        <v>25500</v>
      </c>
      <c r="X570" s="283">
        <v>0</v>
      </c>
      <c r="Y570" s="199" t="s">
        <v>1392</v>
      </c>
      <c r="Z570" s="517" t="s">
        <v>5166</v>
      </c>
      <c r="AA570" s="493" t="s">
        <v>1485</v>
      </c>
      <c r="AB570" s="507"/>
    </row>
    <row r="571" spans="2:28" x14ac:dyDescent="0.15">
      <c r="B571" s="330" t="s">
        <v>3407</v>
      </c>
      <c r="C571" s="527">
        <v>43090</v>
      </c>
      <c r="D571" s="191" t="s">
        <v>2744</v>
      </c>
      <c r="E571" s="43" t="s">
        <v>1396</v>
      </c>
      <c r="F571" s="191" t="s">
        <v>3800</v>
      </c>
      <c r="G571" s="4" t="s">
        <v>50</v>
      </c>
      <c r="H571" s="43" t="s">
        <v>381</v>
      </c>
      <c r="I571" s="4" t="s">
        <v>1408</v>
      </c>
      <c r="J571" s="4" t="s">
        <v>264</v>
      </c>
      <c r="K571" s="4" t="s">
        <v>538</v>
      </c>
      <c r="L571" s="4" t="s">
        <v>2587</v>
      </c>
      <c r="M571" s="43" t="s">
        <v>2745</v>
      </c>
      <c r="N571" s="255">
        <v>216000</v>
      </c>
      <c r="O571" s="265">
        <v>100</v>
      </c>
      <c r="P571" s="270">
        <v>1</v>
      </c>
      <c r="Q571" s="255">
        <v>216000</v>
      </c>
      <c r="R571" s="283">
        <v>216000</v>
      </c>
      <c r="S571" s="283">
        <v>52782</v>
      </c>
      <c r="T571" s="287">
        <v>0</v>
      </c>
      <c r="U571" s="287">
        <v>1</v>
      </c>
      <c r="V571" s="287">
        <v>0</v>
      </c>
      <c r="W571" s="283">
        <v>24923</v>
      </c>
      <c r="X571" s="283">
        <v>0</v>
      </c>
      <c r="Y571" s="199" t="s">
        <v>1392</v>
      </c>
      <c r="Z571" s="517" t="s">
        <v>5166</v>
      </c>
      <c r="AA571" s="493" t="s">
        <v>1485</v>
      </c>
      <c r="AB571" s="507"/>
    </row>
    <row r="572" spans="2:28" x14ac:dyDescent="0.15">
      <c r="B572" s="330" t="s">
        <v>3408</v>
      </c>
      <c r="C572" s="527">
        <v>43090</v>
      </c>
      <c r="D572" s="191" t="s">
        <v>2746</v>
      </c>
      <c r="E572" s="43" t="s">
        <v>1396</v>
      </c>
      <c r="F572" s="191" t="s">
        <v>3800</v>
      </c>
      <c r="G572" s="4" t="s">
        <v>50</v>
      </c>
      <c r="H572" s="43" t="s">
        <v>381</v>
      </c>
      <c r="I572" s="4" t="s">
        <v>1408</v>
      </c>
      <c r="J572" s="4" t="s">
        <v>299</v>
      </c>
      <c r="K572" s="4" t="s">
        <v>373</v>
      </c>
      <c r="L572" s="4" t="s">
        <v>2747</v>
      </c>
      <c r="M572" s="43"/>
      <c r="N572" s="255">
        <v>17000</v>
      </c>
      <c r="O572" s="265">
        <v>65</v>
      </c>
      <c r="P572" s="270">
        <v>1</v>
      </c>
      <c r="Q572" s="255">
        <v>11050</v>
      </c>
      <c r="R572" s="283">
        <v>11050</v>
      </c>
      <c r="S572" s="283">
        <v>2575</v>
      </c>
      <c r="T572" s="287">
        <v>0</v>
      </c>
      <c r="U572" s="287">
        <v>0</v>
      </c>
      <c r="V572" s="287">
        <v>0</v>
      </c>
      <c r="W572" s="283">
        <v>1275</v>
      </c>
      <c r="X572" s="283">
        <v>0</v>
      </c>
      <c r="Y572" s="199" t="s">
        <v>1392</v>
      </c>
      <c r="Z572" s="517" t="s">
        <v>5166</v>
      </c>
      <c r="AA572" s="493" t="s">
        <v>1485</v>
      </c>
      <c r="AB572" s="507"/>
    </row>
    <row r="573" spans="2:28" x14ac:dyDescent="0.15">
      <c r="B573" s="330" t="s">
        <v>3409</v>
      </c>
      <c r="C573" s="527">
        <v>43090</v>
      </c>
      <c r="D573" s="191" t="s">
        <v>2748</v>
      </c>
      <c r="E573" s="43" t="s">
        <v>1396</v>
      </c>
      <c r="F573" s="191" t="s">
        <v>3800</v>
      </c>
      <c r="G573" s="4" t="s">
        <v>50</v>
      </c>
      <c r="H573" s="43" t="s">
        <v>380</v>
      </c>
      <c r="I573" s="4" t="s">
        <v>1976</v>
      </c>
      <c r="J573" s="4" t="s">
        <v>299</v>
      </c>
      <c r="K573" s="4" t="s">
        <v>373</v>
      </c>
      <c r="L573" s="4" t="s">
        <v>2749</v>
      </c>
      <c r="M573" s="43"/>
      <c r="N573" s="255">
        <v>25000</v>
      </c>
      <c r="O573" s="265">
        <v>65</v>
      </c>
      <c r="P573" s="270">
        <v>1</v>
      </c>
      <c r="Q573" s="255">
        <v>16250</v>
      </c>
      <c r="R573" s="283">
        <v>16250</v>
      </c>
      <c r="S573" s="283">
        <v>-625</v>
      </c>
      <c r="T573" s="287">
        <v>0</v>
      </c>
      <c r="U573" s="287">
        <v>0</v>
      </c>
      <c r="V573" s="287">
        <v>0</v>
      </c>
      <c r="W573" s="283">
        <v>1875</v>
      </c>
      <c r="X573" s="283">
        <v>0</v>
      </c>
      <c r="Y573" s="199" t="s">
        <v>1392</v>
      </c>
      <c r="Z573" s="517" t="s">
        <v>5166</v>
      </c>
      <c r="AA573" s="493" t="s">
        <v>1485</v>
      </c>
      <c r="AB573" s="507"/>
    </row>
    <row r="574" spans="2:28" x14ac:dyDescent="0.15">
      <c r="B574" s="330" t="s">
        <v>3410</v>
      </c>
      <c r="C574" s="527">
        <v>43094</v>
      </c>
      <c r="D574" s="191" t="s">
        <v>2763</v>
      </c>
      <c r="E574" s="43" t="s">
        <v>2382</v>
      </c>
      <c r="F574" s="191" t="s">
        <v>3819</v>
      </c>
      <c r="G574" s="4" t="s">
        <v>2375</v>
      </c>
      <c r="H574" s="43"/>
      <c r="I574" s="4" t="s">
        <v>2764</v>
      </c>
      <c r="J574" s="4" t="s">
        <v>299</v>
      </c>
      <c r="K574" s="4" t="s">
        <v>373</v>
      </c>
      <c r="L574" s="4" t="s">
        <v>2765</v>
      </c>
      <c r="M574" s="43"/>
      <c r="N574" s="255">
        <v>12500</v>
      </c>
      <c r="O574" s="265">
        <v>100</v>
      </c>
      <c r="P574" s="270">
        <v>1</v>
      </c>
      <c r="Q574" s="255">
        <v>12500</v>
      </c>
      <c r="R574" s="283">
        <v>12500</v>
      </c>
      <c r="S574" s="283">
        <v>7272</v>
      </c>
      <c r="T574" s="287">
        <v>0</v>
      </c>
      <c r="U574" s="287">
        <v>0</v>
      </c>
      <c r="V574" s="287">
        <v>0</v>
      </c>
      <c r="W574" s="283">
        <v>0</v>
      </c>
      <c r="X574" s="283">
        <v>0</v>
      </c>
      <c r="Y574" s="290" t="s">
        <v>2775</v>
      </c>
      <c r="Z574" s="517" t="s">
        <v>5547</v>
      </c>
      <c r="AA574" s="493"/>
      <c r="AB574" s="507"/>
    </row>
    <row r="575" spans="2:28" x14ac:dyDescent="0.15">
      <c r="B575" s="330" t="s">
        <v>3411</v>
      </c>
      <c r="C575" s="527">
        <v>43095</v>
      </c>
      <c r="D575" s="191" t="s">
        <v>2766</v>
      </c>
      <c r="E575" s="43" t="s">
        <v>1396</v>
      </c>
      <c r="F575" s="191" t="s">
        <v>3796</v>
      </c>
      <c r="G575" s="4" t="s">
        <v>368</v>
      </c>
      <c r="H575" s="43" t="s">
        <v>792</v>
      </c>
      <c r="I575" s="4" t="s">
        <v>1413</v>
      </c>
      <c r="J575" s="4" t="s">
        <v>262</v>
      </c>
      <c r="K575" s="4" t="s">
        <v>365</v>
      </c>
      <c r="L575" s="4" t="s">
        <v>2611</v>
      </c>
      <c r="M575" s="43" t="s">
        <v>2767</v>
      </c>
      <c r="N575" s="255">
        <v>250000</v>
      </c>
      <c r="O575" s="265">
        <v>60</v>
      </c>
      <c r="P575" s="270">
        <v>1</v>
      </c>
      <c r="Q575" s="255">
        <v>150000</v>
      </c>
      <c r="R575" s="283">
        <v>150000</v>
      </c>
      <c r="S575" s="283">
        <v>43792</v>
      </c>
      <c r="T575" s="287">
        <v>0</v>
      </c>
      <c r="U575" s="287">
        <v>1</v>
      </c>
      <c r="V575" s="287">
        <v>0</v>
      </c>
      <c r="W575" s="283">
        <v>15000</v>
      </c>
      <c r="X575" s="283">
        <v>0</v>
      </c>
      <c r="Y575" s="199" t="s">
        <v>1392</v>
      </c>
      <c r="Z575" s="517" t="s">
        <v>5166</v>
      </c>
      <c r="AA575" s="493" t="s">
        <v>1485</v>
      </c>
      <c r="AB575" s="507"/>
    </row>
    <row r="576" spans="2:28" x14ac:dyDescent="0.15">
      <c r="B576" s="330" t="s">
        <v>3412</v>
      </c>
      <c r="C576" s="528">
        <v>43096</v>
      </c>
      <c r="D576" s="198" t="s">
        <v>3414</v>
      </c>
      <c r="E576" s="53" t="s">
        <v>1391</v>
      </c>
      <c r="F576" s="376" t="s">
        <v>3820</v>
      </c>
      <c r="G576" s="3" t="s">
        <v>3415</v>
      </c>
      <c r="H576" s="53"/>
      <c r="I576" s="3"/>
      <c r="J576" s="4" t="s">
        <v>292</v>
      </c>
      <c r="K576" s="4" t="s">
        <v>1163</v>
      </c>
      <c r="L576" s="4" t="s">
        <v>1868</v>
      </c>
      <c r="M576" s="43" t="s">
        <v>3416</v>
      </c>
      <c r="N576" s="255">
        <v>380000</v>
      </c>
      <c r="O576" s="265">
        <v>60</v>
      </c>
      <c r="P576" s="270">
        <v>1</v>
      </c>
      <c r="Q576" s="255">
        <v>228000</v>
      </c>
      <c r="R576" s="283">
        <v>228000</v>
      </c>
      <c r="S576" s="283">
        <v>86776</v>
      </c>
      <c r="T576" s="287">
        <v>1</v>
      </c>
      <c r="U576" s="287">
        <v>0</v>
      </c>
      <c r="V576" s="287">
        <v>0</v>
      </c>
      <c r="W576" s="283">
        <v>0</v>
      </c>
      <c r="X576" s="283">
        <v>0</v>
      </c>
      <c r="Y576" s="199" t="s">
        <v>1395</v>
      </c>
      <c r="Z576" s="517" t="s">
        <v>5543</v>
      </c>
      <c r="AA576" s="493"/>
      <c r="AB576" s="507"/>
    </row>
    <row r="577" spans="2:28" x14ac:dyDescent="0.15">
      <c r="B577" s="330" t="s">
        <v>3413</v>
      </c>
      <c r="C577" s="527">
        <v>43101</v>
      </c>
      <c r="D577" s="191" t="s">
        <v>2741</v>
      </c>
      <c r="E577" s="43" t="s">
        <v>1396</v>
      </c>
      <c r="F577" s="191" t="s">
        <v>3799</v>
      </c>
      <c r="G577" s="4" t="s">
        <v>1110</v>
      </c>
      <c r="H577" s="43" t="s">
        <v>801</v>
      </c>
      <c r="I577" s="4" t="s">
        <v>1920</v>
      </c>
      <c r="J577" s="4" t="s">
        <v>270</v>
      </c>
      <c r="K577" s="4" t="s">
        <v>539</v>
      </c>
      <c r="L577" s="4" t="s">
        <v>2742</v>
      </c>
      <c r="M577" s="43" t="s">
        <v>2743</v>
      </c>
      <c r="N577" s="255">
        <v>318000</v>
      </c>
      <c r="O577" s="265">
        <v>60</v>
      </c>
      <c r="P577" s="270">
        <v>1</v>
      </c>
      <c r="Q577" s="255">
        <v>190800</v>
      </c>
      <c r="R577" s="283">
        <v>190800</v>
      </c>
      <c r="S577" s="283">
        <v>50419</v>
      </c>
      <c r="T577" s="287">
        <v>0</v>
      </c>
      <c r="U577" s="287">
        <v>1</v>
      </c>
      <c r="V577" s="287">
        <v>0</v>
      </c>
      <c r="W577" s="283">
        <v>19080</v>
      </c>
      <c r="X577" s="283">
        <v>0</v>
      </c>
      <c r="Y577" s="199" t="s">
        <v>1392</v>
      </c>
      <c r="Z577" s="517" t="s">
        <v>5449</v>
      </c>
      <c r="AA577" s="493" t="s">
        <v>1485</v>
      </c>
      <c r="AB577" s="507"/>
    </row>
    <row r="578" spans="2:28" x14ac:dyDescent="0.15">
      <c r="B578" s="330" t="s">
        <v>3417</v>
      </c>
      <c r="C578" s="527">
        <v>43101</v>
      </c>
      <c r="D578" s="191" t="s">
        <v>2779</v>
      </c>
      <c r="E578" s="43" t="s">
        <v>1396</v>
      </c>
      <c r="F578" s="191" t="s">
        <v>3799</v>
      </c>
      <c r="G578" s="4" t="s">
        <v>1110</v>
      </c>
      <c r="H578" s="43" t="s">
        <v>802</v>
      </c>
      <c r="I578" s="4" t="s">
        <v>1417</v>
      </c>
      <c r="J578" s="4" t="s">
        <v>299</v>
      </c>
      <c r="K578" s="4" t="s">
        <v>373</v>
      </c>
      <c r="L578" s="4" t="s">
        <v>2384</v>
      </c>
      <c r="M578" s="43"/>
      <c r="N578" s="255">
        <v>48000</v>
      </c>
      <c r="O578" s="265">
        <v>100</v>
      </c>
      <c r="P578" s="270">
        <v>1</v>
      </c>
      <c r="Q578" s="255">
        <v>48000</v>
      </c>
      <c r="R578" s="283">
        <v>48000</v>
      </c>
      <c r="S578" s="283">
        <v>12924</v>
      </c>
      <c r="T578" s="287">
        <v>0</v>
      </c>
      <c r="U578" s="287">
        <v>0</v>
      </c>
      <c r="V578" s="287">
        <v>0</v>
      </c>
      <c r="W578" s="283">
        <v>35076</v>
      </c>
      <c r="X578" s="283">
        <v>0</v>
      </c>
      <c r="Y578" s="199" t="s">
        <v>1392</v>
      </c>
      <c r="Z578" s="517" t="s">
        <v>5167</v>
      </c>
      <c r="AA578" s="493" t="s">
        <v>1485</v>
      </c>
      <c r="AB578" s="507"/>
    </row>
    <row r="579" spans="2:28" x14ac:dyDescent="0.15">
      <c r="B579" s="330" t="s">
        <v>3419</v>
      </c>
      <c r="C579" s="527">
        <v>43101</v>
      </c>
      <c r="D579" s="191" t="s">
        <v>2779</v>
      </c>
      <c r="E579" s="43" t="s">
        <v>1396</v>
      </c>
      <c r="F579" s="191" t="s">
        <v>3799</v>
      </c>
      <c r="G579" s="4" t="s">
        <v>1110</v>
      </c>
      <c r="H579" s="43" t="s">
        <v>802</v>
      </c>
      <c r="I579" s="4" t="s">
        <v>1417</v>
      </c>
      <c r="J579" s="4" t="s">
        <v>298</v>
      </c>
      <c r="K579" s="4" t="s">
        <v>1168</v>
      </c>
      <c r="L579" s="4" t="s">
        <v>2780</v>
      </c>
      <c r="M579" s="43"/>
      <c r="N579" s="255">
        <v>17000</v>
      </c>
      <c r="O579" s="265">
        <v>65</v>
      </c>
      <c r="P579" s="270">
        <v>1</v>
      </c>
      <c r="Q579" s="255">
        <v>11050</v>
      </c>
      <c r="R579" s="283">
        <v>11050</v>
      </c>
      <c r="S579" s="283">
        <v>1475</v>
      </c>
      <c r="T579" s="287">
        <v>0</v>
      </c>
      <c r="U579" s="287">
        <v>0</v>
      </c>
      <c r="V579" s="287">
        <v>0</v>
      </c>
      <c r="W579" s="283">
        <v>1275</v>
      </c>
      <c r="X579" s="283">
        <v>0</v>
      </c>
      <c r="Y579" s="199" t="s">
        <v>1392</v>
      </c>
      <c r="Z579" s="517" t="s">
        <v>5167</v>
      </c>
      <c r="AA579" s="493" t="s">
        <v>1485</v>
      </c>
      <c r="AB579" s="507"/>
    </row>
    <row r="580" spans="2:28" x14ac:dyDescent="0.15">
      <c r="B580" s="330" t="s">
        <v>3422</v>
      </c>
      <c r="C580" s="527">
        <v>43101</v>
      </c>
      <c r="D580" s="191" t="s">
        <v>2781</v>
      </c>
      <c r="E580" s="43" t="s">
        <v>1396</v>
      </c>
      <c r="F580" s="191" t="s">
        <v>3799</v>
      </c>
      <c r="G580" s="4" t="s">
        <v>1110</v>
      </c>
      <c r="H580" s="43" t="s">
        <v>802</v>
      </c>
      <c r="I580" s="4" t="s">
        <v>1417</v>
      </c>
      <c r="J580" s="4" t="s">
        <v>299</v>
      </c>
      <c r="K580" s="4" t="s">
        <v>373</v>
      </c>
      <c r="L580" s="4" t="s">
        <v>1507</v>
      </c>
      <c r="M580" s="43"/>
      <c r="N580" s="255">
        <v>48000</v>
      </c>
      <c r="O580" s="265">
        <v>100</v>
      </c>
      <c r="P580" s="270">
        <v>1</v>
      </c>
      <c r="Q580" s="255">
        <v>48000</v>
      </c>
      <c r="R580" s="283">
        <v>48000</v>
      </c>
      <c r="S580" s="283">
        <v>12924</v>
      </c>
      <c r="T580" s="287">
        <v>0</v>
      </c>
      <c r="U580" s="287">
        <v>0</v>
      </c>
      <c r="V580" s="287">
        <v>0</v>
      </c>
      <c r="W580" s="283">
        <v>35076</v>
      </c>
      <c r="X580" s="283">
        <v>0</v>
      </c>
      <c r="Y580" s="199" t="s">
        <v>1392</v>
      </c>
      <c r="Z580" s="517" t="s">
        <v>5535</v>
      </c>
      <c r="AA580" s="493" t="s">
        <v>1485</v>
      </c>
      <c r="AB580" s="507"/>
    </row>
    <row r="581" spans="2:28" x14ac:dyDescent="0.15">
      <c r="B581" s="330" t="s">
        <v>3425</v>
      </c>
      <c r="C581" s="527">
        <v>43101</v>
      </c>
      <c r="D581" s="191" t="s">
        <v>2781</v>
      </c>
      <c r="E581" s="43" t="s">
        <v>1396</v>
      </c>
      <c r="F581" s="191" t="s">
        <v>3799</v>
      </c>
      <c r="G581" s="4" t="s">
        <v>1110</v>
      </c>
      <c r="H581" s="43" t="s">
        <v>802</v>
      </c>
      <c r="I581" s="4" t="s">
        <v>1417</v>
      </c>
      <c r="J581" s="4" t="s">
        <v>298</v>
      </c>
      <c r="K581" s="4" t="s">
        <v>1168</v>
      </c>
      <c r="L581" s="4" t="s">
        <v>2780</v>
      </c>
      <c r="M581" s="43"/>
      <c r="N581" s="255">
        <v>17000</v>
      </c>
      <c r="O581" s="265">
        <v>65</v>
      </c>
      <c r="P581" s="270">
        <v>1</v>
      </c>
      <c r="Q581" s="255">
        <v>11050</v>
      </c>
      <c r="R581" s="283">
        <v>11050</v>
      </c>
      <c r="S581" s="283">
        <v>1475</v>
      </c>
      <c r="T581" s="287">
        <v>0</v>
      </c>
      <c r="U581" s="287">
        <v>0</v>
      </c>
      <c r="V581" s="287">
        <v>0</v>
      </c>
      <c r="W581" s="283">
        <v>1275</v>
      </c>
      <c r="X581" s="283">
        <v>0</v>
      </c>
      <c r="Y581" s="199" t="s">
        <v>1392</v>
      </c>
      <c r="Z581" s="517" t="s">
        <v>5167</v>
      </c>
      <c r="AA581" s="493" t="s">
        <v>1485</v>
      </c>
      <c r="AB581" s="507"/>
    </row>
    <row r="582" spans="2:28" x14ac:dyDescent="0.15">
      <c r="B582" s="330" t="s">
        <v>3428</v>
      </c>
      <c r="C582" s="527">
        <v>43109</v>
      </c>
      <c r="D582" s="191" t="s">
        <v>3414</v>
      </c>
      <c r="E582" s="43" t="s">
        <v>1391</v>
      </c>
      <c r="F582" s="375" t="s">
        <v>3794</v>
      </c>
      <c r="G582" s="4" t="s">
        <v>364</v>
      </c>
      <c r="H582" s="43" t="s">
        <v>465</v>
      </c>
      <c r="I582" s="4" t="s">
        <v>3418</v>
      </c>
      <c r="J582" s="4" t="s">
        <v>297</v>
      </c>
      <c r="K582" s="4" t="s">
        <v>369</v>
      </c>
      <c r="L582" s="4" t="s">
        <v>1509</v>
      </c>
      <c r="M582" s="43"/>
      <c r="N582" s="255">
        <v>200</v>
      </c>
      <c r="O582" s="265">
        <v>50</v>
      </c>
      <c r="P582" s="270">
        <v>100</v>
      </c>
      <c r="Q582" s="255">
        <v>100</v>
      </c>
      <c r="R582" s="283">
        <v>10000</v>
      </c>
      <c r="S582" s="283">
        <v>7200</v>
      </c>
      <c r="T582" s="287">
        <v>0</v>
      </c>
      <c r="U582" s="287">
        <v>0</v>
      </c>
      <c r="V582" s="287">
        <v>0</v>
      </c>
      <c r="W582" s="283">
        <v>0</v>
      </c>
      <c r="X582" s="283">
        <v>0</v>
      </c>
      <c r="Y582" s="199" t="s">
        <v>1395</v>
      </c>
      <c r="Z582" s="517" t="s">
        <v>5539</v>
      </c>
      <c r="AA582" s="493" t="s">
        <v>1485</v>
      </c>
      <c r="AB582" s="507"/>
    </row>
    <row r="583" spans="2:28" x14ac:dyDescent="0.15">
      <c r="B583" s="330" t="s">
        <v>3430</v>
      </c>
      <c r="C583" s="527">
        <v>43109</v>
      </c>
      <c r="D583" s="191" t="s">
        <v>3423</v>
      </c>
      <c r="E583" s="43" t="s">
        <v>1391</v>
      </c>
      <c r="F583" s="375" t="s">
        <v>3794</v>
      </c>
      <c r="G583" s="4" t="s">
        <v>364</v>
      </c>
      <c r="H583" s="43" t="s">
        <v>437</v>
      </c>
      <c r="I583" s="4" t="s">
        <v>2773</v>
      </c>
      <c r="J583" s="4" t="s">
        <v>297</v>
      </c>
      <c r="K583" s="4" t="s">
        <v>369</v>
      </c>
      <c r="L583" s="4" t="s">
        <v>3424</v>
      </c>
      <c r="M583" s="43"/>
      <c r="N583" s="255">
        <v>100</v>
      </c>
      <c r="O583" s="265">
        <v>50</v>
      </c>
      <c r="P583" s="270">
        <v>100</v>
      </c>
      <c r="Q583" s="255">
        <v>50</v>
      </c>
      <c r="R583" s="283">
        <v>5000</v>
      </c>
      <c r="S583" s="283">
        <v>2050</v>
      </c>
      <c r="T583" s="287">
        <v>0</v>
      </c>
      <c r="U583" s="287">
        <v>0</v>
      </c>
      <c r="V583" s="287">
        <v>0</v>
      </c>
      <c r="W583" s="283">
        <v>750</v>
      </c>
      <c r="X583" s="283">
        <v>0</v>
      </c>
      <c r="Y583" s="199" t="s">
        <v>1392</v>
      </c>
      <c r="Z583" s="517" t="s">
        <v>5166</v>
      </c>
      <c r="AA583" s="493" t="s">
        <v>1485</v>
      </c>
      <c r="AB583" s="507"/>
    </row>
    <row r="584" spans="2:28" x14ac:dyDescent="0.15">
      <c r="B584" s="330" t="s">
        <v>3434</v>
      </c>
      <c r="C584" s="527">
        <v>43109</v>
      </c>
      <c r="D584" s="191" t="s">
        <v>3439</v>
      </c>
      <c r="E584" s="43" t="s">
        <v>2382</v>
      </c>
      <c r="F584" s="375" t="s">
        <v>3819</v>
      </c>
      <c r="G584" s="4" t="s">
        <v>2375</v>
      </c>
      <c r="H584" s="43"/>
      <c r="I584" s="4" t="s">
        <v>3440</v>
      </c>
      <c r="J584" s="4" t="s">
        <v>299</v>
      </c>
      <c r="K584" s="4" t="s">
        <v>373</v>
      </c>
      <c r="L584" s="4" t="s">
        <v>3441</v>
      </c>
      <c r="M584" s="43"/>
      <c r="N584" s="255">
        <v>10000</v>
      </c>
      <c r="O584" s="265">
        <v>100</v>
      </c>
      <c r="P584" s="270">
        <v>1</v>
      </c>
      <c r="Q584" s="255">
        <v>10000</v>
      </c>
      <c r="R584" s="283">
        <v>10000</v>
      </c>
      <c r="S584" s="283">
        <v>6000</v>
      </c>
      <c r="T584" s="287">
        <v>0</v>
      </c>
      <c r="U584" s="287">
        <v>0</v>
      </c>
      <c r="V584" s="287">
        <v>0</v>
      </c>
      <c r="W584" s="283">
        <v>0</v>
      </c>
      <c r="X584" s="283">
        <v>0</v>
      </c>
      <c r="Y584" s="199" t="s">
        <v>1395</v>
      </c>
      <c r="Z584" s="517" t="s">
        <v>5451</v>
      </c>
      <c r="AA584" s="493"/>
      <c r="AB584" s="507"/>
    </row>
    <row r="585" spans="2:28" x14ac:dyDescent="0.15">
      <c r="B585" s="330" t="s">
        <v>3438</v>
      </c>
      <c r="C585" s="527">
        <v>43113</v>
      </c>
      <c r="D585" s="191" t="s">
        <v>3453</v>
      </c>
      <c r="E585" s="43" t="s">
        <v>1396</v>
      </c>
      <c r="F585" s="375" t="s">
        <v>3796</v>
      </c>
      <c r="G585" s="4" t="s">
        <v>368</v>
      </c>
      <c r="H585" s="43" t="s">
        <v>792</v>
      </c>
      <c r="I585" s="4" t="s">
        <v>1413</v>
      </c>
      <c r="J585" s="4" t="s">
        <v>262</v>
      </c>
      <c r="K585" s="4" t="s">
        <v>365</v>
      </c>
      <c r="L585" s="4" t="s">
        <v>3454</v>
      </c>
      <c r="M585" s="43" t="s">
        <v>3455</v>
      </c>
      <c r="N585" s="255">
        <v>250000</v>
      </c>
      <c r="O585" s="265">
        <v>60</v>
      </c>
      <c r="P585" s="270">
        <v>1</v>
      </c>
      <c r="Q585" s="255">
        <v>150000</v>
      </c>
      <c r="R585" s="283">
        <v>150000</v>
      </c>
      <c r="S585" s="283">
        <v>41792</v>
      </c>
      <c r="T585" s="287">
        <v>0</v>
      </c>
      <c r="U585" s="287">
        <v>1</v>
      </c>
      <c r="V585" s="287">
        <v>0</v>
      </c>
      <c r="W585" s="283">
        <v>15000</v>
      </c>
      <c r="X585" s="283">
        <v>0</v>
      </c>
      <c r="Y585" s="199" t="s">
        <v>1392</v>
      </c>
      <c r="Z585" s="517" t="s">
        <v>5166</v>
      </c>
      <c r="AA585" s="493" t="s">
        <v>1485</v>
      </c>
      <c r="AB585" s="507"/>
    </row>
    <row r="586" spans="2:28" x14ac:dyDescent="0.15">
      <c r="B586" s="330" t="s">
        <v>3442</v>
      </c>
      <c r="C586" s="527">
        <v>43117</v>
      </c>
      <c r="D586" s="308" t="s">
        <v>3457</v>
      </c>
      <c r="E586" s="43" t="s">
        <v>1396</v>
      </c>
      <c r="F586" s="375" t="s">
        <v>3800</v>
      </c>
      <c r="G586" s="4" t="s">
        <v>50</v>
      </c>
      <c r="H586" s="43" t="s">
        <v>381</v>
      </c>
      <c r="I586" s="4" t="s">
        <v>1408</v>
      </c>
      <c r="J586" s="4" t="s">
        <v>298</v>
      </c>
      <c r="K586" s="4" t="s">
        <v>1168</v>
      </c>
      <c r="L586" s="4" t="s">
        <v>3458</v>
      </c>
      <c r="M586" s="43"/>
      <c r="N586" s="255">
        <v>2400</v>
      </c>
      <c r="O586" s="265">
        <v>60</v>
      </c>
      <c r="P586" s="270">
        <v>2</v>
      </c>
      <c r="Q586" s="255">
        <v>1440</v>
      </c>
      <c r="R586" s="283">
        <v>2880</v>
      </c>
      <c r="S586" s="283">
        <v>992</v>
      </c>
      <c r="T586" s="287">
        <v>0</v>
      </c>
      <c r="U586" s="287">
        <v>0</v>
      </c>
      <c r="V586" s="287">
        <v>0</v>
      </c>
      <c r="W586" s="283">
        <v>288</v>
      </c>
      <c r="X586" s="283">
        <v>0</v>
      </c>
      <c r="Y586" s="199" t="s">
        <v>1392</v>
      </c>
      <c r="Z586" s="517" t="s">
        <v>5166</v>
      </c>
      <c r="AA586" s="493"/>
      <c r="AB586" s="507"/>
    </row>
    <row r="587" spans="2:28" x14ac:dyDescent="0.15">
      <c r="B587" s="330" t="s">
        <v>3445</v>
      </c>
      <c r="C587" s="527">
        <v>43119</v>
      </c>
      <c r="D587" s="191" t="s">
        <v>3460</v>
      </c>
      <c r="E587" s="43" t="s">
        <v>1396</v>
      </c>
      <c r="F587" s="375" t="s">
        <v>3796</v>
      </c>
      <c r="G587" s="4" t="s">
        <v>368</v>
      </c>
      <c r="H587" s="43" t="s">
        <v>792</v>
      </c>
      <c r="I587" s="4" t="s">
        <v>1413</v>
      </c>
      <c r="J587" s="4" t="s">
        <v>1402</v>
      </c>
      <c r="K587" s="4" t="s">
        <v>1403</v>
      </c>
      <c r="L587" s="4" t="s">
        <v>3461</v>
      </c>
      <c r="M587" s="43" t="s">
        <v>3462</v>
      </c>
      <c r="N587" s="255">
        <v>290000</v>
      </c>
      <c r="O587" s="265">
        <v>55</v>
      </c>
      <c r="P587" s="270">
        <v>1</v>
      </c>
      <c r="Q587" s="255">
        <v>159500</v>
      </c>
      <c r="R587" s="283">
        <v>159500</v>
      </c>
      <c r="S587" s="283">
        <v>31122</v>
      </c>
      <c r="T587" s="287">
        <v>0</v>
      </c>
      <c r="U587" s="287">
        <v>1</v>
      </c>
      <c r="V587" s="287">
        <v>0</v>
      </c>
      <c r="W587" s="283">
        <v>13050</v>
      </c>
      <c r="X587" s="283">
        <v>0</v>
      </c>
      <c r="Y587" s="199" t="s">
        <v>1392</v>
      </c>
      <c r="Z587" s="517" t="s">
        <v>5542</v>
      </c>
      <c r="AA587" s="493" t="s">
        <v>1485</v>
      </c>
      <c r="AB587" s="507"/>
    </row>
    <row r="588" spans="2:28" x14ac:dyDescent="0.15">
      <c r="B588" s="330" t="s">
        <v>3449</v>
      </c>
      <c r="C588" s="527">
        <v>43119</v>
      </c>
      <c r="D588" s="191" t="s">
        <v>3471</v>
      </c>
      <c r="E588" s="43" t="s">
        <v>1396</v>
      </c>
      <c r="F588" s="375" t="s">
        <v>3796</v>
      </c>
      <c r="G588" s="4" t="s">
        <v>368</v>
      </c>
      <c r="H588" s="43" t="s">
        <v>792</v>
      </c>
      <c r="I588" s="4" t="s">
        <v>1413</v>
      </c>
      <c r="J588" s="4" t="s">
        <v>1402</v>
      </c>
      <c r="K588" s="4" t="s">
        <v>1403</v>
      </c>
      <c r="L588" s="4" t="s">
        <v>2466</v>
      </c>
      <c r="M588" s="43" t="s">
        <v>3472</v>
      </c>
      <c r="N588" s="255">
        <v>282000</v>
      </c>
      <c r="O588" s="265">
        <v>100</v>
      </c>
      <c r="P588" s="270">
        <v>1</v>
      </c>
      <c r="Q588" s="255">
        <v>282000</v>
      </c>
      <c r="R588" s="283">
        <v>282000</v>
      </c>
      <c r="S588" s="283">
        <v>87642</v>
      </c>
      <c r="T588" s="287">
        <v>0</v>
      </c>
      <c r="U588" s="287">
        <v>1</v>
      </c>
      <c r="V588" s="287">
        <v>0</v>
      </c>
      <c r="W588" s="283">
        <v>28200</v>
      </c>
      <c r="X588" s="283">
        <v>0</v>
      </c>
      <c r="Y588" s="199" t="s">
        <v>1392</v>
      </c>
      <c r="Z588" s="517" t="s">
        <v>5166</v>
      </c>
      <c r="AA588" s="493" t="s">
        <v>1485</v>
      </c>
      <c r="AB588" s="507"/>
    </row>
    <row r="589" spans="2:28" x14ac:dyDescent="0.15">
      <c r="B589" s="330" t="s">
        <v>3452</v>
      </c>
      <c r="C589" s="527">
        <v>43120</v>
      </c>
      <c r="D589" s="191" t="s">
        <v>3487</v>
      </c>
      <c r="E589" s="43" t="s">
        <v>1391</v>
      </c>
      <c r="F589" s="375" t="s">
        <v>3794</v>
      </c>
      <c r="G589" s="4" t="s">
        <v>364</v>
      </c>
      <c r="H589" s="43" t="s">
        <v>431</v>
      </c>
      <c r="I589" s="190" t="s">
        <v>3488</v>
      </c>
      <c r="J589" s="4" t="s">
        <v>298</v>
      </c>
      <c r="K589" s="4" t="s">
        <v>1168</v>
      </c>
      <c r="L589" s="4" t="s">
        <v>3489</v>
      </c>
      <c r="M589" s="43"/>
      <c r="N589" s="255">
        <v>500</v>
      </c>
      <c r="O589" s="265">
        <v>65</v>
      </c>
      <c r="P589" s="270">
        <v>1</v>
      </c>
      <c r="Q589" s="255">
        <v>325</v>
      </c>
      <c r="R589" s="283">
        <v>325</v>
      </c>
      <c r="S589" s="283">
        <v>188</v>
      </c>
      <c r="T589" s="287">
        <v>0</v>
      </c>
      <c r="U589" s="287">
        <v>0</v>
      </c>
      <c r="V589" s="287">
        <v>0</v>
      </c>
      <c r="W589" s="283">
        <v>37</v>
      </c>
      <c r="X589" s="283">
        <v>0</v>
      </c>
      <c r="Y589" s="199" t="s">
        <v>1392</v>
      </c>
      <c r="Z589" s="517" t="s">
        <v>5532</v>
      </c>
      <c r="AA589" s="493" t="s">
        <v>1485</v>
      </c>
      <c r="AB589" s="507"/>
    </row>
    <row r="590" spans="2:28" x14ac:dyDescent="0.15">
      <c r="B590" s="330" t="s">
        <v>3456</v>
      </c>
      <c r="C590" s="527">
        <v>43120</v>
      </c>
      <c r="D590" s="191" t="s">
        <v>1463</v>
      </c>
      <c r="E590" s="43" t="s">
        <v>1396</v>
      </c>
      <c r="F590" s="375" t="s">
        <v>3795</v>
      </c>
      <c r="G590" s="4" t="s">
        <v>1321</v>
      </c>
      <c r="H590" s="43"/>
      <c r="I590" s="4"/>
      <c r="J590" s="4" t="s">
        <v>299</v>
      </c>
      <c r="K590" s="4" t="s">
        <v>373</v>
      </c>
      <c r="L590" s="4" t="s">
        <v>3493</v>
      </c>
      <c r="M590" s="43"/>
      <c r="N590" s="255">
        <v>-800</v>
      </c>
      <c r="O590" s="265">
        <v>100</v>
      </c>
      <c r="P590" s="270">
        <v>1</v>
      </c>
      <c r="Q590" s="255">
        <v>-800</v>
      </c>
      <c r="R590" s="283">
        <v>-800</v>
      </c>
      <c r="S590" s="283">
        <v>-800</v>
      </c>
      <c r="T590" s="287">
        <v>0</v>
      </c>
      <c r="U590" s="287">
        <v>0</v>
      </c>
      <c r="V590" s="287">
        <v>0</v>
      </c>
      <c r="W590" s="283">
        <v>800</v>
      </c>
      <c r="X590" s="283">
        <v>0</v>
      </c>
      <c r="Y590" s="199" t="s">
        <v>1392</v>
      </c>
      <c r="Z590" s="517" t="s">
        <v>5545</v>
      </c>
      <c r="AA590" s="493"/>
      <c r="AB590" s="507"/>
    </row>
    <row r="591" spans="2:28" x14ac:dyDescent="0.15">
      <c r="B591" s="330" t="s">
        <v>3459</v>
      </c>
      <c r="C591" s="527">
        <v>43120</v>
      </c>
      <c r="D591" s="191" t="s">
        <v>1461</v>
      </c>
      <c r="E591" s="43" t="s">
        <v>1391</v>
      </c>
      <c r="F591" s="375" t="s">
        <v>3794</v>
      </c>
      <c r="G591" s="4" t="s">
        <v>364</v>
      </c>
      <c r="H591" s="43" t="s">
        <v>473</v>
      </c>
      <c r="I591" s="4" t="s">
        <v>1400</v>
      </c>
      <c r="J591" s="4" t="s">
        <v>262</v>
      </c>
      <c r="K591" s="4" t="s">
        <v>365</v>
      </c>
      <c r="L591" s="4" t="s">
        <v>1690</v>
      </c>
      <c r="M591" s="43" t="s">
        <v>3495</v>
      </c>
      <c r="N591" s="255">
        <v>260000</v>
      </c>
      <c r="O591" s="265">
        <v>65</v>
      </c>
      <c r="P591" s="270">
        <v>1</v>
      </c>
      <c r="Q591" s="255">
        <v>169000</v>
      </c>
      <c r="R591" s="283">
        <v>169000</v>
      </c>
      <c r="S591" s="283">
        <v>55792</v>
      </c>
      <c r="T591" s="287">
        <v>0</v>
      </c>
      <c r="U591" s="287">
        <v>1</v>
      </c>
      <c r="V591" s="287">
        <v>0</v>
      </c>
      <c r="W591" s="283">
        <v>19500</v>
      </c>
      <c r="X591" s="283">
        <v>0</v>
      </c>
      <c r="Y591" s="199" t="s">
        <v>1392</v>
      </c>
      <c r="Z591" s="517" t="s">
        <v>5537</v>
      </c>
      <c r="AA591" s="493" t="s">
        <v>1485</v>
      </c>
      <c r="AB591" s="507"/>
    </row>
    <row r="592" spans="2:28" x14ac:dyDescent="0.15">
      <c r="B592" s="330" t="s">
        <v>3463</v>
      </c>
      <c r="C592" s="527">
        <v>43120</v>
      </c>
      <c r="D592" s="191" t="s">
        <v>3503</v>
      </c>
      <c r="E592" s="43" t="s">
        <v>1391</v>
      </c>
      <c r="F592" s="375" t="s">
        <v>3794</v>
      </c>
      <c r="G592" s="4" t="s">
        <v>364</v>
      </c>
      <c r="H592" s="191" t="s">
        <v>5178</v>
      </c>
      <c r="I592" s="190" t="s">
        <v>5179</v>
      </c>
      <c r="J592" s="4" t="s">
        <v>262</v>
      </c>
      <c r="K592" s="4" t="s">
        <v>365</v>
      </c>
      <c r="L592" s="4" t="s">
        <v>1690</v>
      </c>
      <c r="M592" s="43" t="s">
        <v>3504</v>
      </c>
      <c r="N592" s="255">
        <v>260000</v>
      </c>
      <c r="O592" s="265">
        <v>65</v>
      </c>
      <c r="P592" s="270">
        <v>1</v>
      </c>
      <c r="Q592" s="255">
        <v>169000</v>
      </c>
      <c r="R592" s="283">
        <v>169000</v>
      </c>
      <c r="S592" s="283">
        <v>55792</v>
      </c>
      <c r="T592" s="287">
        <v>0</v>
      </c>
      <c r="U592" s="287">
        <v>1</v>
      </c>
      <c r="V592" s="287">
        <v>0</v>
      </c>
      <c r="W592" s="283">
        <v>19500</v>
      </c>
      <c r="X592" s="283">
        <v>0</v>
      </c>
      <c r="Y592" s="199" t="s">
        <v>1392</v>
      </c>
      <c r="Z592" s="517" t="s">
        <v>5544</v>
      </c>
      <c r="AA592" s="493" t="s">
        <v>1485</v>
      </c>
      <c r="AB592" s="507"/>
    </row>
    <row r="593" spans="2:28" x14ac:dyDescent="0.15">
      <c r="B593" s="330" t="s">
        <v>3466</v>
      </c>
      <c r="C593" s="527">
        <v>43120</v>
      </c>
      <c r="D593" s="191" t="s">
        <v>3508</v>
      </c>
      <c r="E593" s="43" t="s">
        <v>1391</v>
      </c>
      <c r="F593" s="375" t="s">
        <v>3794</v>
      </c>
      <c r="G593" s="4" t="s">
        <v>364</v>
      </c>
      <c r="H593" s="43" t="s">
        <v>420</v>
      </c>
      <c r="I593" s="4" t="s">
        <v>3509</v>
      </c>
      <c r="J593" s="4" t="s">
        <v>297</v>
      </c>
      <c r="K593" s="4" t="s">
        <v>369</v>
      </c>
      <c r="L593" s="4" t="s">
        <v>1484</v>
      </c>
      <c r="M593" s="43"/>
      <c r="N593" s="255">
        <v>200</v>
      </c>
      <c r="O593" s="265">
        <v>50</v>
      </c>
      <c r="P593" s="270">
        <v>100</v>
      </c>
      <c r="Q593" s="255">
        <v>100</v>
      </c>
      <c r="R593" s="283">
        <v>10000</v>
      </c>
      <c r="S593" s="283">
        <v>5700</v>
      </c>
      <c r="T593" s="287">
        <v>0</v>
      </c>
      <c r="U593" s="287">
        <v>0</v>
      </c>
      <c r="V593" s="287">
        <v>0</v>
      </c>
      <c r="W593" s="283">
        <v>1500</v>
      </c>
      <c r="X593" s="283">
        <v>0</v>
      </c>
      <c r="Y593" s="199" t="s">
        <v>1392</v>
      </c>
      <c r="Z593" s="517" t="s">
        <v>5166</v>
      </c>
      <c r="AA593" s="493" t="s">
        <v>1485</v>
      </c>
      <c r="AB593" s="507"/>
    </row>
    <row r="594" spans="2:28" x14ac:dyDescent="0.15">
      <c r="B594" s="330" t="s">
        <v>3470</v>
      </c>
      <c r="C594" s="527">
        <v>43120</v>
      </c>
      <c r="D594" s="191" t="s">
        <v>3565</v>
      </c>
      <c r="E594" s="43" t="s">
        <v>1396</v>
      </c>
      <c r="F594" s="375" t="s">
        <v>3795</v>
      </c>
      <c r="G594" s="4" t="s">
        <v>1321</v>
      </c>
      <c r="H594" s="43"/>
      <c r="I594" s="4"/>
      <c r="J594" s="4"/>
      <c r="K594" s="4"/>
      <c r="L594" s="4" t="s">
        <v>1418</v>
      </c>
      <c r="M594" s="43"/>
      <c r="N594" s="255">
        <v>37525</v>
      </c>
      <c r="O594" s="265">
        <v>100</v>
      </c>
      <c r="P594" s="270">
        <v>-1</v>
      </c>
      <c r="Q594" s="255">
        <v>37525</v>
      </c>
      <c r="R594" s="283">
        <v>-37525</v>
      </c>
      <c r="S594" s="283">
        <v>-37525</v>
      </c>
      <c r="T594" s="287">
        <v>0</v>
      </c>
      <c r="U594" s="287">
        <v>0</v>
      </c>
      <c r="V594" s="287">
        <v>0</v>
      </c>
      <c r="W594" s="283">
        <v>37525</v>
      </c>
      <c r="X594" s="283">
        <v>0</v>
      </c>
      <c r="Y594" s="199" t="s">
        <v>1392</v>
      </c>
      <c r="Z594" s="517" t="s">
        <v>5449</v>
      </c>
      <c r="AA594" s="493"/>
      <c r="AB594" s="507"/>
    </row>
    <row r="595" spans="2:28" x14ac:dyDescent="0.15">
      <c r="B595" s="330" t="s">
        <v>3473</v>
      </c>
      <c r="C595" s="528">
        <v>43121</v>
      </c>
      <c r="D595" s="198" t="s">
        <v>3467</v>
      </c>
      <c r="E595" s="53" t="s">
        <v>1396</v>
      </c>
      <c r="F595" s="376" t="s">
        <v>3800</v>
      </c>
      <c r="G595" s="3" t="s">
        <v>50</v>
      </c>
      <c r="H595" s="53" t="s">
        <v>379</v>
      </c>
      <c r="I595" s="3" t="s">
        <v>2551</v>
      </c>
      <c r="J595" s="4" t="s">
        <v>271</v>
      </c>
      <c r="K595" s="4" t="s">
        <v>1160</v>
      </c>
      <c r="L595" s="4" t="s">
        <v>3468</v>
      </c>
      <c r="M595" s="43" t="s">
        <v>3469</v>
      </c>
      <c r="N595" s="255">
        <v>311000</v>
      </c>
      <c r="O595" s="265">
        <v>55</v>
      </c>
      <c r="P595" s="270">
        <v>1</v>
      </c>
      <c r="Q595" s="255">
        <v>171050</v>
      </c>
      <c r="R595" s="283">
        <v>171050</v>
      </c>
      <c r="S595" s="283">
        <v>28541</v>
      </c>
      <c r="T595" s="287">
        <v>0</v>
      </c>
      <c r="U595" s="287">
        <v>1</v>
      </c>
      <c r="V595" s="287">
        <v>0</v>
      </c>
      <c r="W595" s="283">
        <v>13995</v>
      </c>
      <c r="X595" s="283">
        <v>0</v>
      </c>
      <c r="Y595" s="199" t="s">
        <v>1392</v>
      </c>
      <c r="Z595" s="517" t="s">
        <v>5166</v>
      </c>
      <c r="AA595" s="493" t="s">
        <v>1485</v>
      </c>
      <c r="AB595" s="507"/>
    </row>
    <row r="596" spans="2:28" x14ac:dyDescent="0.15">
      <c r="B596" s="330" t="s">
        <v>3476</v>
      </c>
      <c r="C596" s="528">
        <v>43125</v>
      </c>
      <c r="D596" s="198" t="s">
        <v>3520</v>
      </c>
      <c r="E596" s="53" t="s">
        <v>2382</v>
      </c>
      <c r="F596" s="376" t="s">
        <v>3819</v>
      </c>
      <c r="G596" s="3" t="s">
        <v>2375</v>
      </c>
      <c r="H596" s="53"/>
      <c r="I596" s="3" t="s">
        <v>3521</v>
      </c>
      <c r="J596" s="4" t="s">
        <v>298</v>
      </c>
      <c r="K596" s="4" t="s">
        <v>1168</v>
      </c>
      <c r="L596" s="4" t="s">
        <v>3522</v>
      </c>
      <c r="M596" s="43"/>
      <c r="N596" s="255">
        <v>16000</v>
      </c>
      <c r="O596" s="265">
        <v>100</v>
      </c>
      <c r="P596" s="270">
        <v>1</v>
      </c>
      <c r="Q596" s="255">
        <v>16000</v>
      </c>
      <c r="R596" s="283">
        <v>16000</v>
      </c>
      <c r="S596" s="283">
        <v>13300</v>
      </c>
      <c r="T596" s="287">
        <v>0</v>
      </c>
      <c r="U596" s="287">
        <v>0</v>
      </c>
      <c r="V596" s="287">
        <v>0</v>
      </c>
      <c r="W596" s="283">
        <v>0</v>
      </c>
      <c r="X596" s="283">
        <v>0</v>
      </c>
      <c r="Y596" s="199" t="s">
        <v>1395</v>
      </c>
      <c r="Z596" s="517" t="s">
        <v>5451</v>
      </c>
      <c r="AA596" s="493"/>
      <c r="AB596" s="507"/>
    </row>
    <row r="597" spans="2:28" x14ac:dyDescent="0.15">
      <c r="B597" s="330" t="s">
        <v>3481</v>
      </c>
      <c r="C597" s="528">
        <v>43126</v>
      </c>
      <c r="D597" s="198" t="s">
        <v>1462</v>
      </c>
      <c r="E597" s="53" t="s">
        <v>1396</v>
      </c>
      <c r="F597" s="376" t="s">
        <v>3800</v>
      </c>
      <c r="G597" s="3" t="s">
        <v>50</v>
      </c>
      <c r="H597" s="53" t="s">
        <v>380</v>
      </c>
      <c r="I597" s="3" t="s">
        <v>1976</v>
      </c>
      <c r="J597" s="4"/>
      <c r="K597" s="4"/>
      <c r="L597" s="4" t="s">
        <v>3491</v>
      </c>
      <c r="M597" s="43"/>
      <c r="N597" s="255">
        <v>25000</v>
      </c>
      <c r="O597" s="265">
        <v>100</v>
      </c>
      <c r="P597" s="270">
        <v>1</v>
      </c>
      <c r="Q597" s="255">
        <v>25000</v>
      </c>
      <c r="R597" s="283">
        <v>25000</v>
      </c>
      <c r="S597" s="283">
        <v>0</v>
      </c>
      <c r="T597" s="287">
        <v>0</v>
      </c>
      <c r="U597" s="287">
        <v>0</v>
      </c>
      <c r="V597" s="287">
        <v>0</v>
      </c>
      <c r="W597" s="283">
        <v>0</v>
      </c>
      <c r="X597" s="283">
        <v>0</v>
      </c>
      <c r="Y597" s="199" t="s">
        <v>4146</v>
      </c>
      <c r="Z597" s="517" t="s">
        <v>5166</v>
      </c>
      <c r="AA597" s="493" t="s">
        <v>1485</v>
      </c>
      <c r="AB597" s="507"/>
    </row>
    <row r="598" spans="2:28" x14ac:dyDescent="0.15">
      <c r="B598" s="330" t="s">
        <v>3483</v>
      </c>
      <c r="C598" s="527">
        <v>43129</v>
      </c>
      <c r="D598" s="191" t="s">
        <v>3615</v>
      </c>
      <c r="E598" s="43" t="s">
        <v>1396</v>
      </c>
      <c r="F598" s="375" t="s">
        <v>3800</v>
      </c>
      <c r="G598" s="4" t="s">
        <v>50</v>
      </c>
      <c r="H598" s="43" t="s">
        <v>379</v>
      </c>
      <c r="I598" s="4" t="s">
        <v>2551</v>
      </c>
      <c r="J598" s="4" t="s">
        <v>299</v>
      </c>
      <c r="K598" s="4" t="s">
        <v>373</v>
      </c>
      <c r="L598" s="4" t="s">
        <v>3616</v>
      </c>
      <c r="M598" s="43"/>
      <c r="N598" s="255">
        <v>2000</v>
      </c>
      <c r="O598" s="265">
        <v>100</v>
      </c>
      <c r="P598" s="270">
        <v>1</v>
      </c>
      <c r="Q598" s="255">
        <v>2000</v>
      </c>
      <c r="R598" s="283">
        <v>2000</v>
      </c>
      <c r="S598" s="283">
        <v>770</v>
      </c>
      <c r="T598" s="287">
        <v>0</v>
      </c>
      <c r="U598" s="287">
        <v>0</v>
      </c>
      <c r="V598" s="287">
        <v>0</v>
      </c>
      <c r="W598" s="283">
        <v>1460</v>
      </c>
      <c r="X598" s="283">
        <v>0</v>
      </c>
      <c r="Y598" s="199" t="s">
        <v>1392</v>
      </c>
      <c r="Z598" s="517" t="s">
        <v>5166</v>
      </c>
      <c r="AA598" s="493"/>
      <c r="AB598" s="507"/>
    </row>
    <row r="599" spans="2:28" x14ac:dyDescent="0.15">
      <c r="B599" s="330" t="s">
        <v>3486</v>
      </c>
      <c r="C599" s="528">
        <v>43131</v>
      </c>
      <c r="D599" s="198" t="s">
        <v>3508</v>
      </c>
      <c r="E599" s="53" t="s">
        <v>1396</v>
      </c>
      <c r="F599" s="376" t="s">
        <v>3800</v>
      </c>
      <c r="G599" s="3" t="s">
        <v>50</v>
      </c>
      <c r="H599" s="53" t="s">
        <v>381</v>
      </c>
      <c r="I599" s="3" t="s">
        <v>1408</v>
      </c>
      <c r="J599" s="4" t="s">
        <v>292</v>
      </c>
      <c r="K599" s="4" t="s">
        <v>1163</v>
      </c>
      <c r="L599" s="4" t="s">
        <v>3511</v>
      </c>
      <c r="M599" s="43" t="s">
        <v>3512</v>
      </c>
      <c r="N599" s="255">
        <v>410000</v>
      </c>
      <c r="O599" s="265">
        <v>65</v>
      </c>
      <c r="P599" s="270">
        <v>1</v>
      </c>
      <c r="Q599" s="255">
        <v>266500</v>
      </c>
      <c r="R599" s="283">
        <v>266500</v>
      </c>
      <c r="S599" s="283">
        <v>83526</v>
      </c>
      <c r="T599" s="287">
        <v>0</v>
      </c>
      <c r="U599" s="287">
        <v>1</v>
      </c>
      <c r="V599" s="287">
        <v>0</v>
      </c>
      <c r="W599" s="283">
        <v>30750</v>
      </c>
      <c r="X599" s="283">
        <v>0</v>
      </c>
      <c r="Y599" s="199" t="s">
        <v>1392</v>
      </c>
      <c r="Z599" s="517" t="s">
        <v>5532</v>
      </c>
      <c r="AA599" s="493" t="s">
        <v>1485</v>
      </c>
      <c r="AB599" s="507"/>
    </row>
    <row r="600" spans="2:28" x14ac:dyDescent="0.15">
      <c r="B600" s="330" t="s">
        <v>3490</v>
      </c>
      <c r="C600" s="528">
        <v>43132</v>
      </c>
      <c r="D600" s="198" t="s">
        <v>3431</v>
      </c>
      <c r="E600" s="53" t="s">
        <v>1391</v>
      </c>
      <c r="F600" s="376" t="s">
        <v>3797</v>
      </c>
      <c r="G600" s="3" t="s">
        <v>362</v>
      </c>
      <c r="H600" s="53" t="s">
        <v>689</v>
      </c>
      <c r="I600" s="3" t="s">
        <v>1394</v>
      </c>
      <c r="J600" s="4" t="s">
        <v>1402</v>
      </c>
      <c r="K600" s="4" t="s">
        <v>1403</v>
      </c>
      <c r="L600" s="4" t="s">
        <v>3432</v>
      </c>
      <c r="M600" s="43" t="s">
        <v>3433</v>
      </c>
      <c r="N600" s="255">
        <v>260000</v>
      </c>
      <c r="O600" s="265">
        <v>55</v>
      </c>
      <c r="P600" s="270">
        <v>1</v>
      </c>
      <c r="Q600" s="255">
        <v>143000</v>
      </c>
      <c r="R600" s="283">
        <v>143000</v>
      </c>
      <c r="S600" s="283">
        <v>36222</v>
      </c>
      <c r="T600" s="287">
        <v>1</v>
      </c>
      <c r="U600" s="287">
        <v>0</v>
      </c>
      <c r="V600" s="287">
        <v>0</v>
      </c>
      <c r="W600" s="283">
        <v>0</v>
      </c>
      <c r="X600" s="283">
        <v>0</v>
      </c>
      <c r="Y600" s="199" t="s">
        <v>1395</v>
      </c>
      <c r="Z600" s="517" t="s">
        <v>5166</v>
      </c>
      <c r="AA600" s="493" t="s">
        <v>1485</v>
      </c>
      <c r="AB600" s="507"/>
    </row>
    <row r="601" spans="2:28" s="557" customFormat="1" x14ac:dyDescent="0.15">
      <c r="B601" s="555" t="s">
        <v>3492</v>
      </c>
      <c r="C601" s="530">
        <v>43132</v>
      </c>
      <c r="D601" s="481" t="s">
        <v>3435</v>
      </c>
      <c r="E601" s="482" t="s">
        <v>1391</v>
      </c>
      <c r="F601" s="556" t="s">
        <v>3797</v>
      </c>
      <c r="G601" s="483" t="s">
        <v>362</v>
      </c>
      <c r="H601" s="482" t="s">
        <v>689</v>
      </c>
      <c r="I601" s="483" t="s">
        <v>1394</v>
      </c>
      <c r="J601" s="483" t="s">
        <v>293</v>
      </c>
      <c r="K601" s="483" t="s">
        <v>1164</v>
      </c>
      <c r="L601" s="483" t="s">
        <v>3436</v>
      </c>
      <c r="M601" s="482" t="s">
        <v>3437</v>
      </c>
      <c r="N601" s="484">
        <v>470000</v>
      </c>
      <c r="O601" s="485">
        <v>55</v>
      </c>
      <c r="P601" s="486">
        <v>1</v>
      </c>
      <c r="Q601" s="484">
        <v>258500</v>
      </c>
      <c r="R601" s="487">
        <v>258500</v>
      </c>
      <c r="S601" s="487">
        <v>83310</v>
      </c>
      <c r="T601" s="488">
        <v>1</v>
      </c>
      <c r="U601" s="488">
        <v>0</v>
      </c>
      <c r="V601" s="488">
        <v>0</v>
      </c>
      <c r="W601" s="487">
        <v>0</v>
      </c>
      <c r="X601" s="487">
        <v>0</v>
      </c>
      <c r="Y601" s="489" t="s">
        <v>1395</v>
      </c>
      <c r="Z601" s="518" t="s">
        <v>5166</v>
      </c>
      <c r="AA601" s="503" t="s">
        <v>1485</v>
      </c>
      <c r="AB601" s="511"/>
    </row>
    <row r="602" spans="2:28" x14ac:dyDescent="0.15">
      <c r="B602" s="330" t="s">
        <v>3494</v>
      </c>
      <c r="C602" s="528">
        <v>43132</v>
      </c>
      <c r="D602" s="198" t="s">
        <v>3443</v>
      </c>
      <c r="E602" s="53" t="s">
        <v>1391</v>
      </c>
      <c r="F602" s="376" t="s">
        <v>3797</v>
      </c>
      <c r="G602" s="3" t="s">
        <v>362</v>
      </c>
      <c r="H602" s="53" t="s">
        <v>689</v>
      </c>
      <c r="I602" s="3" t="s">
        <v>1394</v>
      </c>
      <c r="J602" s="4" t="s">
        <v>271</v>
      </c>
      <c r="K602" s="4" t="s">
        <v>1160</v>
      </c>
      <c r="L602" s="4" t="s">
        <v>1951</v>
      </c>
      <c r="M602" s="43" t="s">
        <v>3444</v>
      </c>
      <c r="N602" s="255">
        <v>213000</v>
      </c>
      <c r="O602" s="265">
        <v>100</v>
      </c>
      <c r="P602" s="270">
        <v>1</v>
      </c>
      <c r="Q602" s="255">
        <v>213000</v>
      </c>
      <c r="R602" s="283">
        <v>213000</v>
      </c>
      <c r="S602" s="283">
        <v>88171</v>
      </c>
      <c r="T602" s="287">
        <v>1</v>
      </c>
      <c r="U602" s="287">
        <v>0</v>
      </c>
      <c r="V602" s="287">
        <v>0</v>
      </c>
      <c r="W602" s="283">
        <v>0</v>
      </c>
      <c r="X602" s="283">
        <v>0</v>
      </c>
      <c r="Y602" s="199" t="s">
        <v>1395</v>
      </c>
      <c r="Z602" s="517" t="s">
        <v>5166</v>
      </c>
      <c r="AA602" s="493" t="s">
        <v>1485</v>
      </c>
      <c r="AB602" s="507"/>
    </row>
    <row r="603" spans="2:28" x14ac:dyDescent="0.15">
      <c r="B603" s="330" t="s">
        <v>3496</v>
      </c>
      <c r="C603" s="528">
        <v>43132</v>
      </c>
      <c r="D603" s="198" t="s">
        <v>3446</v>
      </c>
      <c r="E603" s="53" t="s">
        <v>1391</v>
      </c>
      <c r="F603" s="376" t="s">
        <v>3797</v>
      </c>
      <c r="G603" s="3" t="s">
        <v>362</v>
      </c>
      <c r="H603" s="53" t="s">
        <v>689</v>
      </c>
      <c r="I603" s="3" t="s">
        <v>1394</v>
      </c>
      <c r="J603" s="4" t="s">
        <v>271</v>
      </c>
      <c r="K603" s="4" t="s">
        <v>1160</v>
      </c>
      <c r="L603" s="4" t="s">
        <v>3447</v>
      </c>
      <c r="M603" s="43" t="s">
        <v>3448</v>
      </c>
      <c r="N603" s="255">
        <v>358000</v>
      </c>
      <c r="O603" s="265">
        <v>55</v>
      </c>
      <c r="P603" s="270">
        <v>1</v>
      </c>
      <c r="Q603" s="255">
        <v>196900</v>
      </c>
      <c r="R603" s="283">
        <v>196900</v>
      </c>
      <c r="S603" s="283">
        <v>68386</v>
      </c>
      <c r="T603" s="287">
        <v>1</v>
      </c>
      <c r="U603" s="287">
        <v>0</v>
      </c>
      <c r="V603" s="287">
        <v>0</v>
      </c>
      <c r="W603" s="283">
        <v>0</v>
      </c>
      <c r="X603" s="283">
        <v>0</v>
      </c>
      <c r="Y603" s="199" t="s">
        <v>1395</v>
      </c>
      <c r="Z603" s="517" t="s">
        <v>5166</v>
      </c>
      <c r="AA603" s="493" t="s">
        <v>1485</v>
      </c>
      <c r="AB603" s="507"/>
    </row>
    <row r="604" spans="2:28" x14ac:dyDescent="0.15">
      <c r="B604" s="330" t="s">
        <v>3500</v>
      </c>
      <c r="C604" s="528">
        <v>43132</v>
      </c>
      <c r="D604" s="198" t="s">
        <v>3450</v>
      </c>
      <c r="E604" s="53" t="s">
        <v>1391</v>
      </c>
      <c r="F604" s="376" t="s">
        <v>3797</v>
      </c>
      <c r="G604" s="3" t="s">
        <v>362</v>
      </c>
      <c r="H604" s="53" t="s">
        <v>689</v>
      </c>
      <c r="I604" s="3" t="s">
        <v>1394</v>
      </c>
      <c r="J604" s="4" t="s">
        <v>271</v>
      </c>
      <c r="K604" s="4" t="s">
        <v>1160</v>
      </c>
      <c r="L604" s="4" t="s">
        <v>1503</v>
      </c>
      <c r="M604" s="43" t="s">
        <v>3451</v>
      </c>
      <c r="N604" s="255">
        <v>234000</v>
      </c>
      <c r="O604" s="265">
        <v>100</v>
      </c>
      <c r="P604" s="270">
        <v>1</v>
      </c>
      <c r="Q604" s="255">
        <v>234000</v>
      </c>
      <c r="R604" s="283">
        <v>234000</v>
      </c>
      <c r="S604" s="283">
        <v>85786</v>
      </c>
      <c r="T604" s="287">
        <v>1</v>
      </c>
      <c r="U604" s="287">
        <v>0</v>
      </c>
      <c r="V604" s="287">
        <v>0</v>
      </c>
      <c r="W604" s="283">
        <v>0</v>
      </c>
      <c r="X604" s="283">
        <v>0</v>
      </c>
      <c r="Y604" s="199" t="s">
        <v>1395</v>
      </c>
      <c r="Z604" s="517" t="s">
        <v>5166</v>
      </c>
      <c r="AA604" s="493" t="s">
        <v>1485</v>
      </c>
      <c r="AB604" s="507"/>
    </row>
    <row r="605" spans="2:28" x14ac:dyDescent="0.15">
      <c r="B605" s="330" t="s">
        <v>3502</v>
      </c>
      <c r="C605" s="528">
        <v>43132</v>
      </c>
      <c r="D605" s="198" t="s">
        <v>3464</v>
      </c>
      <c r="E605" s="53" t="s">
        <v>1391</v>
      </c>
      <c r="F605" s="376" t="s">
        <v>3797</v>
      </c>
      <c r="G605" s="3" t="s">
        <v>362</v>
      </c>
      <c r="H605" s="53" t="s">
        <v>689</v>
      </c>
      <c r="I605" s="3" t="s">
        <v>1394</v>
      </c>
      <c r="J605" s="4" t="s">
        <v>261</v>
      </c>
      <c r="K605" s="4" t="s">
        <v>1153</v>
      </c>
      <c r="L605" s="4" t="s">
        <v>2682</v>
      </c>
      <c r="M605" s="43" t="s">
        <v>3465</v>
      </c>
      <c r="N605" s="255">
        <v>270000</v>
      </c>
      <c r="O605" s="265">
        <v>55</v>
      </c>
      <c r="P605" s="270">
        <v>1</v>
      </c>
      <c r="Q605" s="255">
        <v>148500</v>
      </c>
      <c r="R605" s="283">
        <v>148500</v>
      </c>
      <c r="S605" s="283">
        <v>42862</v>
      </c>
      <c r="T605" s="287">
        <v>1</v>
      </c>
      <c r="U605" s="287">
        <v>0</v>
      </c>
      <c r="V605" s="287">
        <v>0</v>
      </c>
      <c r="W605" s="283">
        <v>0</v>
      </c>
      <c r="X605" s="283">
        <v>0</v>
      </c>
      <c r="Y605" s="199" t="s">
        <v>1395</v>
      </c>
      <c r="Z605" s="517" t="s">
        <v>5543</v>
      </c>
      <c r="AA605" s="493" t="s">
        <v>1485</v>
      </c>
      <c r="AB605" s="507"/>
    </row>
    <row r="606" spans="2:28" x14ac:dyDescent="0.15">
      <c r="B606" s="330" t="s">
        <v>3505</v>
      </c>
      <c r="C606" s="528">
        <v>43132</v>
      </c>
      <c r="D606" s="198" t="s">
        <v>3474</v>
      </c>
      <c r="E606" s="53" t="s">
        <v>1391</v>
      </c>
      <c r="F606" s="376" t="s">
        <v>3797</v>
      </c>
      <c r="G606" s="3" t="s">
        <v>362</v>
      </c>
      <c r="H606" s="53" t="s">
        <v>689</v>
      </c>
      <c r="I606" s="3" t="s">
        <v>1394</v>
      </c>
      <c r="J606" s="4" t="s">
        <v>271</v>
      </c>
      <c r="K606" s="4" t="s">
        <v>1160</v>
      </c>
      <c r="L606" s="4" t="s">
        <v>1594</v>
      </c>
      <c r="M606" s="43" t="s">
        <v>3475</v>
      </c>
      <c r="N606" s="255">
        <v>358000</v>
      </c>
      <c r="O606" s="265">
        <v>55</v>
      </c>
      <c r="P606" s="270">
        <v>1</v>
      </c>
      <c r="Q606" s="255">
        <v>196900</v>
      </c>
      <c r="R606" s="283">
        <v>196900</v>
      </c>
      <c r="S606" s="283">
        <v>52276</v>
      </c>
      <c r="T606" s="287">
        <v>1</v>
      </c>
      <c r="U606" s="287">
        <v>0</v>
      </c>
      <c r="V606" s="287">
        <v>0</v>
      </c>
      <c r="W606" s="283">
        <v>0</v>
      </c>
      <c r="X606" s="283">
        <v>0</v>
      </c>
      <c r="Y606" s="199" t="s">
        <v>1395</v>
      </c>
      <c r="Z606" s="517" t="s">
        <v>5166</v>
      </c>
      <c r="AA606" s="493" t="s">
        <v>1485</v>
      </c>
      <c r="AB606" s="507"/>
    </row>
    <row r="607" spans="2:28" x14ac:dyDescent="0.15">
      <c r="B607" s="330" t="s">
        <v>3507</v>
      </c>
      <c r="C607" s="528">
        <v>43132</v>
      </c>
      <c r="D607" s="198" t="s">
        <v>3477</v>
      </c>
      <c r="E607" s="53" t="s">
        <v>1391</v>
      </c>
      <c r="F607" s="376" t="s">
        <v>3807</v>
      </c>
      <c r="G607" s="3" t="s">
        <v>1421</v>
      </c>
      <c r="H607" s="53" t="s">
        <v>3478</v>
      </c>
      <c r="I607" s="3" t="s">
        <v>3479</v>
      </c>
      <c r="J607" s="4" t="s">
        <v>271</v>
      </c>
      <c r="K607" s="4" t="s">
        <v>1160</v>
      </c>
      <c r="L607" s="4" t="s">
        <v>1951</v>
      </c>
      <c r="M607" s="43" t="s">
        <v>3480</v>
      </c>
      <c r="N607" s="255">
        <v>218000</v>
      </c>
      <c r="O607" s="265">
        <v>100</v>
      </c>
      <c r="P607" s="270">
        <v>1</v>
      </c>
      <c r="Q607" s="255">
        <v>218000</v>
      </c>
      <c r="R607" s="283">
        <v>218000</v>
      </c>
      <c r="S607" s="283">
        <v>88171</v>
      </c>
      <c r="T607" s="287">
        <v>1</v>
      </c>
      <c r="U607" s="287">
        <v>0</v>
      </c>
      <c r="V607" s="287">
        <v>0</v>
      </c>
      <c r="W607" s="283">
        <v>0</v>
      </c>
      <c r="X607" s="283">
        <v>0</v>
      </c>
      <c r="Y607" s="199" t="s">
        <v>1395</v>
      </c>
      <c r="Z607" s="517" t="s">
        <v>5449</v>
      </c>
      <c r="AA607" s="493" t="s">
        <v>1485</v>
      </c>
      <c r="AB607" s="507"/>
    </row>
    <row r="608" spans="2:28" x14ac:dyDescent="0.15">
      <c r="B608" s="330" t="s">
        <v>3510</v>
      </c>
      <c r="C608" s="528">
        <v>43132</v>
      </c>
      <c r="D608" s="198" t="s">
        <v>3482</v>
      </c>
      <c r="E608" s="53" t="s">
        <v>1391</v>
      </c>
      <c r="F608" s="376" t="s">
        <v>3807</v>
      </c>
      <c r="G608" s="3" t="s">
        <v>1421</v>
      </c>
      <c r="H608" s="53" t="s">
        <v>3478</v>
      </c>
      <c r="I608" s="3" t="s">
        <v>3479</v>
      </c>
      <c r="J608" s="4" t="s">
        <v>270</v>
      </c>
      <c r="K608" s="4" t="s">
        <v>539</v>
      </c>
      <c r="L608" s="4" t="s">
        <v>2524</v>
      </c>
      <c r="M608" s="43" t="s">
        <v>2701</v>
      </c>
      <c r="N608" s="255">
        <v>328000</v>
      </c>
      <c r="O608" s="265">
        <v>55</v>
      </c>
      <c r="P608" s="270">
        <v>1</v>
      </c>
      <c r="Q608" s="255">
        <v>180400</v>
      </c>
      <c r="R608" s="283">
        <v>180400</v>
      </c>
      <c r="S608" s="283">
        <v>62599</v>
      </c>
      <c r="T608" s="287">
        <v>1</v>
      </c>
      <c r="U608" s="287">
        <v>0</v>
      </c>
      <c r="V608" s="287">
        <v>0</v>
      </c>
      <c r="W608" s="283">
        <v>0</v>
      </c>
      <c r="X608" s="283">
        <v>0</v>
      </c>
      <c r="Y608" s="199" t="s">
        <v>1395</v>
      </c>
      <c r="Z608" s="517" t="s">
        <v>5449</v>
      </c>
      <c r="AA608" s="493" t="s">
        <v>1485</v>
      </c>
      <c r="AB608" s="507"/>
    </row>
    <row r="609" spans="2:28" x14ac:dyDescent="0.15">
      <c r="B609" s="330" t="s">
        <v>3513</v>
      </c>
      <c r="C609" s="528">
        <v>43132</v>
      </c>
      <c r="D609" s="198" t="s">
        <v>3484</v>
      </c>
      <c r="E609" s="53" t="s">
        <v>1391</v>
      </c>
      <c r="F609" s="376" t="s">
        <v>3807</v>
      </c>
      <c r="G609" s="3" t="s">
        <v>1421</v>
      </c>
      <c r="H609" s="53" t="s">
        <v>3478</v>
      </c>
      <c r="I609" s="3" t="s">
        <v>3479</v>
      </c>
      <c r="J609" s="4" t="s">
        <v>268</v>
      </c>
      <c r="K609" s="4" t="s">
        <v>1158</v>
      </c>
      <c r="L609" s="4" t="s">
        <v>1949</v>
      </c>
      <c r="M609" s="43" t="s">
        <v>3485</v>
      </c>
      <c r="N609" s="255">
        <v>270000</v>
      </c>
      <c r="O609" s="265">
        <v>55</v>
      </c>
      <c r="P609" s="270">
        <v>1</v>
      </c>
      <c r="Q609" s="255">
        <v>148500</v>
      </c>
      <c r="R609" s="283">
        <v>148500</v>
      </c>
      <c r="S609" s="283">
        <v>54492</v>
      </c>
      <c r="T609" s="287">
        <v>1</v>
      </c>
      <c r="U609" s="287">
        <v>0</v>
      </c>
      <c r="V609" s="287">
        <v>0</v>
      </c>
      <c r="W609" s="283">
        <v>0</v>
      </c>
      <c r="X609" s="283">
        <v>0</v>
      </c>
      <c r="Y609" s="199" t="s">
        <v>1395</v>
      </c>
      <c r="Z609" s="517" t="s">
        <v>5533</v>
      </c>
      <c r="AA609" s="493" t="s">
        <v>1485</v>
      </c>
      <c r="AB609" s="507"/>
    </row>
    <row r="610" spans="2:28" x14ac:dyDescent="0.15">
      <c r="B610" s="330" t="s">
        <v>3518</v>
      </c>
      <c r="C610" s="528">
        <v>43132</v>
      </c>
      <c r="D610" s="198" t="s">
        <v>3497</v>
      </c>
      <c r="E610" s="53" t="s">
        <v>1391</v>
      </c>
      <c r="F610" s="376" t="s">
        <v>3797</v>
      </c>
      <c r="G610" s="3" t="s">
        <v>362</v>
      </c>
      <c r="H610" s="53" t="s">
        <v>689</v>
      </c>
      <c r="I610" s="3" t="s">
        <v>1394</v>
      </c>
      <c r="J610" s="4" t="s">
        <v>1402</v>
      </c>
      <c r="K610" s="4" t="s">
        <v>1403</v>
      </c>
      <c r="L610" s="4" t="s">
        <v>3498</v>
      </c>
      <c r="M610" s="43" t="s">
        <v>3499</v>
      </c>
      <c r="N610" s="255">
        <v>260000</v>
      </c>
      <c r="O610" s="265">
        <v>55</v>
      </c>
      <c r="P610" s="270">
        <v>1</v>
      </c>
      <c r="Q610" s="255">
        <v>143000</v>
      </c>
      <c r="R610" s="283">
        <v>143000</v>
      </c>
      <c r="S610" s="283">
        <v>35222</v>
      </c>
      <c r="T610" s="287">
        <v>1</v>
      </c>
      <c r="U610" s="287">
        <v>0</v>
      </c>
      <c r="V610" s="287">
        <v>0</v>
      </c>
      <c r="W610" s="283">
        <v>0</v>
      </c>
      <c r="X610" s="283">
        <v>0</v>
      </c>
      <c r="Y610" s="199" t="s">
        <v>1395</v>
      </c>
      <c r="Z610" s="517" t="s">
        <v>5166</v>
      </c>
      <c r="AA610" s="493" t="s">
        <v>1485</v>
      </c>
      <c r="AB610" s="507"/>
    </row>
    <row r="611" spans="2:28" x14ac:dyDescent="0.15">
      <c r="B611" s="330" t="s">
        <v>3519</v>
      </c>
      <c r="C611" s="528">
        <v>43132</v>
      </c>
      <c r="D611" s="198" t="s">
        <v>1465</v>
      </c>
      <c r="E611" s="53" t="s">
        <v>1391</v>
      </c>
      <c r="F611" s="376" t="s">
        <v>3797</v>
      </c>
      <c r="G611" s="3" t="s">
        <v>362</v>
      </c>
      <c r="H611" s="53" t="s">
        <v>689</v>
      </c>
      <c r="I611" s="3" t="s">
        <v>1394</v>
      </c>
      <c r="J611" s="4" t="s">
        <v>1402</v>
      </c>
      <c r="K611" s="4" t="s">
        <v>1403</v>
      </c>
      <c r="L611" s="4" t="s">
        <v>2177</v>
      </c>
      <c r="M611" s="43" t="s">
        <v>3501</v>
      </c>
      <c r="N611" s="255">
        <v>260000</v>
      </c>
      <c r="O611" s="265">
        <v>55</v>
      </c>
      <c r="P611" s="270">
        <v>1</v>
      </c>
      <c r="Q611" s="255">
        <v>143000</v>
      </c>
      <c r="R611" s="283">
        <v>143000</v>
      </c>
      <c r="S611" s="283">
        <v>37222</v>
      </c>
      <c r="T611" s="287">
        <v>1</v>
      </c>
      <c r="U611" s="287">
        <v>0</v>
      </c>
      <c r="V611" s="287">
        <v>0</v>
      </c>
      <c r="W611" s="283">
        <v>0</v>
      </c>
      <c r="X611" s="283">
        <v>0</v>
      </c>
      <c r="Y611" s="199" t="s">
        <v>1395</v>
      </c>
      <c r="Z611" s="517" t="s">
        <v>5166</v>
      </c>
      <c r="AA611" s="493" t="s">
        <v>1485</v>
      </c>
      <c r="AB611" s="507"/>
    </row>
    <row r="612" spans="2:28" x14ac:dyDescent="0.15">
      <c r="B612" s="330" t="s">
        <v>3523</v>
      </c>
      <c r="C612" s="528">
        <v>43132</v>
      </c>
      <c r="D612" s="198" t="s">
        <v>3506</v>
      </c>
      <c r="E612" s="53" t="s">
        <v>1391</v>
      </c>
      <c r="F612" s="376" t="s">
        <v>3794</v>
      </c>
      <c r="G612" s="3" t="s">
        <v>364</v>
      </c>
      <c r="H612" s="53" t="s">
        <v>418</v>
      </c>
      <c r="I612" s="3" t="s">
        <v>1443</v>
      </c>
      <c r="J612" s="4" t="s">
        <v>297</v>
      </c>
      <c r="K612" s="4" t="s">
        <v>369</v>
      </c>
      <c r="L612" s="4" t="s">
        <v>1484</v>
      </c>
      <c r="M612" s="43"/>
      <c r="N612" s="255">
        <v>200</v>
      </c>
      <c r="O612" s="265">
        <v>50</v>
      </c>
      <c r="P612" s="270">
        <v>100</v>
      </c>
      <c r="Q612" s="255">
        <v>100</v>
      </c>
      <c r="R612" s="283">
        <v>10000</v>
      </c>
      <c r="S612" s="283">
        <v>7200</v>
      </c>
      <c r="T612" s="287">
        <v>0</v>
      </c>
      <c r="U612" s="287">
        <v>0</v>
      </c>
      <c r="V612" s="287">
        <v>0</v>
      </c>
      <c r="W612" s="283">
        <v>0</v>
      </c>
      <c r="X612" s="283">
        <v>0</v>
      </c>
      <c r="Y612" s="199" t="s">
        <v>1395</v>
      </c>
      <c r="Z612" s="517" t="s">
        <v>5551</v>
      </c>
      <c r="AA612" s="493" t="s">
        <v>1485</v>
      </c>
      <c r="AB612" s="507"/>
    </row>
    <row r="613" spans="2:28" x14ac:dyDescent="0.15">
      <c r="B613" s="330" t="s">
        <v>3524</v>
      </c>
      <c r="C613" s="528">
        <v>43132</v>
      </c>
      <c r="D613" s="198" t="s">
        <v>3514</v>
      </c>
      <c r="E613" s="53" t="s">
        <v>1391</v>
      </c>
      <c r="F613" s="376" t="s">
        <v>3807</v>
      </c>
      <c r="G613" s="3" t="s">
        <v>1421</v>
      </c>
      <c r="H613" s="53" t="s">
        <v>1422</v>
      </c>
      <c r="I613" s="3" t="s">
        <v>1423</v>
      </c>
      <c r="J613" s="4" t="s">
        <v>294</v>
      </c>
      <c r="K613" s="4" t="s">
        <v>1165</v>
      </c>
      <c r="L613" s="4" t="s">
        <v>1409</v>
      </c>
      <c r="M613" s="43"/>
      <c r="N613" s="255">
        <v>42000</v>
      </c>
      <c r="O613" s="265">
        <v>65</v>
      </c>
      <c r="P613" s="270">
        <v>1</v>
      </c>
      <c r="Q613" s="255">
        <v>27300</v>
      </c>
      <c r="R613" s="283">
        <v>27300</v>
      </c>
      <c r="S613" s="283">
        <v>11780</v>
      </c>
      <c r="T613" s="287">
        <v>0</v>
      </c>
      <c r="U613" s="287">
        <v>0</v>
      </c>
      <c r="V613" s="287">
        <v>0</v>
      </c>
      <c r="W613" s="283">
        <v>0</v>
      </c>
      <c r="X613" s="283">
        <v>0</v>
      </c>
      <c r="Y613" s="199" t="s">
        <v>1395</v>
      </c>
      <c r="Z613" s="517" t="s">
        <v>5166</v>
      </c>
      <c r="AA613" s="493" t="s">
        <v>1485</v>
      </c>
      <c r="AB613" s="507"/>
    </row>
    <row r="614" spans="2:28" x14ac:dyDescent="0.15">
      <c r="B614" s="330" t="s">
        <v>3527</v>
      </c>
      <c r="C614" s="528">
        <v>43132</v>
      </c>
      <c r="D614" s="198" t="s">
        <v>3520</v>
      </c>
      <c r="E614" s="53" t="s">
        <v>1391</v>
      </c>
      <c r="F614" s="376" t="s">
        <v>3797</v>
      </c>
      <c r="G614" s="3" t="s">
        <v>362</v>
      </c>
      <c r="H614" s="53" t="s">
        <v>689</v>
      </c>
      <c r="I614" s="3" t="s">
        <v>1394</v>
      </c>
      <c r="J614" s="4" t="s">
        <v>262</v>
      </c>
      <c r="K614" s="4" t="s">
        <v>365</v>
      </c>
      <c r="L614" s="4" t="s">
        <v>1818</v>
      </c>
      <c r="M614" s="43" t="s">
        <v>2277</v>
      </c>
      <c r="N614" s="255">
        <v>290000</v>
      </c>
      <c r="O614" s="265">
        <v>55</v>
      </c>
      <c r="P614" s="270">
        <v>1</v>
      </c>
      <c r="Q614" s="255">
        <v>159500</v>
      </c>
      <c r="R614" s="283">
        <v>159500</v>
      </c>
      <c r="S614" s="283">
        <v>46642</v>
      </c>
      <c r="T614" s="287">
        <v>1</v>
      </c>
      <c r="U614" s="287">
        <v>0</v>
      </c>
      <c r="V614" s="287">
        <v>0</v>
      </c>
      <c r="W614" s="283">
        <v>0</v>
      </c>
      <c r="X614" s="283">
        <v>0</v>
      </c>
      <c r="Y614" s="199" t="s">
        <v>1395</v>
      </c>
      <c r="Z614" s="517" t="s">
        <v>5166</v>
      </c>
      <c r="AA614" s="493" t="s">
        <v>1485</v>
      </c>
      <c r="AB614" s="507"/>
    </row>
    <row r="615" spans="2:28" x14ac:dyDescent="0.15">
      <c r="B615" s="330" t="s">
        <v>3529</v>
      </c>
      <c r="C615" s="527">
        <v>43132</v>
      </c>
      <c r="D615" s="191" t="s">
        <v>3612</v>
      </c>
      <c r="E615" s="43" t="s">
        <v>1396</v>
      </c>
      <c r="F615" s="375" t="s">
        <v>3800</v>
      </c>
      <c r="G615" s="4" t="s">
        <v>50</v>
      </c>
      <c r="H615" s="43" t="s">
        <v>381</v>
      </c>
      <c r="I615" s="4" t="s">
        <v>1408</v>
      </c>
      <c r="J615" s="4" t="s">
        <v>298</v>
      </c>
      <c r="K615" s="4" t="s">
        <v>1168</v>
      </c>
      <c r="L615" s="4" t="s">
        <v>3613</v>
      </c>
      <c r="M615" s="43"/>
      <c r="N615" s="255">
        <v>100</v>
      </c>
      <c r="O615" s="265">
        <v>100</v>
      </c>
      <c r="P615" s="270">
        <v>6</v>
      </c>
      <c r="Q615" s="255">
        <v>100</v>
      </c>
      <c r="R615" s="283">
        <v>600</v>
      </c>
      <c r="S615" s="283">
        <v>354</v>
      </c>
      <c r="T615" s="287">
        <v>0</v>
      </c>
      <c r="U615" s="287">
        <v>0</v>
      </c>
      <c r="V615" s="287">
        <v>0</v>
      </c>
      <c r="W615" s="283">
        <v>66</v>
      </c>
      <c r="X615" s="283">
        <v>0</v>
      </c>
      <c r="Y615" s="199" t="s">
        <v>1392</v>
      </c>
      <c r="Z615" s="517" t="s">
        <v>5543</v>
      </c>
      <c r="AA615" s="493"/>
      <c r="AB615" s="507"/>
    </row>
    <row r="616" spans="2:28" x14ac:dyDescent="0.15">
      <c r="B616" s="330" t="s">
        <v>3533</v>
      </c>
      <c r="C616" s="528">
        <v>43136</v>
      </c>
      <c r="D616" s="198" t="s">
        <v>3525</v>
      </c>
      <c r="E616" s="53" t="s">
        <v>1396</v>
      </c>
      <c r="F616" s="376" t="s">
        <v>3796</v>
      </c>
      <c r="G616" s="3" t="s">
        <v>368</v>
      </c>
      <c r="H616" s="53" t="s">
        <v>792</v>
      </c>
      <c r="I616" s="3" t="s">
        <v>1413</v>
      </c>
      <c r="J616" s="4" t="s">
        <v>262</v>
      </c>
      <c r="K616" s="4" t="s">
        <v>365</v>
      </c>
      <c r="L616" s="4" t="s">
        <v>1728</v>
      </c>
      <c r="M616" s="43" t="s">
        <v>3526</v>
      </c>
      <c r="N616" s="255">
        <v>260000</v>
      </c>
      <c r="O616" s="265">
        <v>60</v>
      </c>
      <c r="P616" s="270">
        <v>1</v>
      </c>
      <c r="Q616" s="255">
        <v>156000</v>
      </c>
      <c r="R616" s="283">
        <v>156000</v>
      </c>
      <c r="S616" s="283">
        <v>47422</v>
      </c>
      <c r="T616" s="287">
        <v>0</v>
      </c>
      <c r="U616" s="287">
        <v>1</v>
      </c>
      <c r="V616" s="287">
        <v>0</v>
      </c>
      <c r="W616" s="283">
        <v>13770</v>
      </c>
      <c r="X616" s="283">
        <v>0</v>
      </c>
      <c r="Y616" s="199" t="s">
        <v>1392</v>
      </c>
      <c r="Z616" s="517" t="s">
        <v>5166</v>
      </c>
      <c r="AA616" s="493" t="s">
        <v>1485</v>
      </c>
      <c r="AB616" s="507"/>
    </row>
    <row r="617" spans="2:28" x14ac:dyDescent="0.15">
      <c r="B617" s="330" t="s">
        <v>3536</v>
      </c>
      <c r="C617" s="528">
        <v>43136</v>
      </c>
      <c r="D617" s="198" t="s">
        <v>3528</v>
      </c>
      <c r="E617" s="53" t="s">
        <v>1396</v>
      </c>
      <c r="F617" s="376" t="s">
        <v>3800</v>
      </c>
      <c r="G617" s="3" t="s">
        <v>50</v>
      </c>
      <c r="H617" s="53" t="s">
        <v>1434</v>
      </c>
      <c r="I617" s="3" t="s">
        <v>1435</v>
      </c>
      <c r="J617" s="4" t="s">
        <v>268</v>
      </c>
      <c r="K617" s="4" t="s">
        <v>1158</v>
      </c>
      <c r="L617" s="4" t="s">
        <v>2084</v>
      </c>
      <c r="M617" s="43" t="s">
        <v>2778</v>
      </c>
      <c r="N617" s="255">
        <v>270000</v>
      </c>
      <c r="O617" s="265">
        <v>55</v>
      </c>
      <c r="P617" s="270">
        <v>1</v>
      </c>
      <c r="Q617" s="255">
        <v>148500</v>
      </c>
      <c r="R617" s="283">
        <v>148500</v>
      </c>
      <c r="S617" s="283">
        <v>44342</v>
      </c>
      <c r="T617" s="287">
        <v>0</v>
      </c>
      <c r="U617" s="287">
        <v>1</v>
      </c>
      <c r="V617" s="287">
        <v>0</v>
      </c>
      <c r="W617" s="283">
        <v>12150</v>
      </c>
      <c r="X617" s="283">
        <v>0</v>
      </c>
      <c r="Y617" s="199" t="s">
        <v>1392</v>
      </c>
      <c r="Z617" s="517" t="s">
        <v>5549</v>
      </c>
      <c r="AA617" s="493" t="s">
        <v>1485</v>
      </c>
      <c r="AB617" s="507"/>
    </row>
    <row r="618" spans="2:28" x14ac:dyDescent="0.15">
      <c r="B618" s="330" t="s">
        <v>3539</v>
      </c>
      <c r="C618" s="528">
        <v>43136</v>
      </c>
      <c r="D618" s="198" t="s">
        <v>3530</v>
      </c>
      <c r="E618" s="53" t="s">
        <v>1396</v>
      </c>
      <c r="F618" s="376" t="s">
        <v>3800</v>
      </c>
      <c r="G618" s="3" t="s">
        <v>50</v>
      </c>
      <c r="H618" s="53" t="s">
        <v>1434</v>
      </c>
      <c r="I618" s="3" t="s">
        <v>1435</v>
      </c>
      <c r="J618" s="4" t="s">
        <v>310</v>
      </c>
      <c r="K618" s="4" t="s">
        <v>1539</v>
      </c>
      <c r="L618" s="4" t="s">
        <v>3531</v>
      </c>
      <c r="M618" s="43" t="s">
        <v>3532</v>
      </c>
      <c r="N618" s="255">
        <v>430000</v>
      </c>
      <c r="O618" s="265">
        <v>55</v>
      </c>
      <c r="P618" s="270">
        <v>1</v>
      </c>
      <c r="Q618" s="255">
        <v>236500</v>
      </c>
      <c r="R618" s="283">
        <v>236500</v>
      </c>
      <c r="S618" s="283">
        <v>67770</v>
      </c>
      <c r="T618" s="287">
        <v>0</v>
      </c>
      <c r="U618" s="287">
        <v>1</v>
      </c>
      <c r="V618" s="287">
        <v>0</v>
      </c>
      <c r="W618" s="283">
        <v>19350</v>
      </c>
      <c r="X618" s="283">
        <v>0</v>
      </c>
      <c r="Y618" s="199" t="s">
        <v>1392</v>
      </c>
      <c r="Z618" s="517" t="s">
        <v>5535</v>
      </c>
      <c r="AA618" s="493" t="s">
        <v>1485</v>
      </c>
      <c r="AB618" s="507"/>
    </row>
    <row r="619" spans="2:28" x14ac:dyDescent="0.15">
      <c r="B619" s="330" t="s">
        <v>3542</v>
      </c>
      <c r="C619" s="528">
        <v>43136</v>
      </c>
      <c r="D619" s="198" t="s">
        <v>3534</v>
      </c>
      <c r="E619" s="53" t="s">
        <v>1396</v>
      </c>
      <c r="F619" s="376" t="s">
        <v>3800</v>
      </c>
      <c r="G619" s="3" t="s">
        <v>50</v>
      </c>
      <c r="H619" s="53" t="s">
        <v>381</v>
      </c>
      <c r="I619" s="3" t="s">
        <v>1408</v>
      </c>
      <c r="J619" s="4" t="s">
        <v>272</v>
      </c>
      <c r="K619" s="4" t="s">
        <v>363</v>
      </c>
      <c r="L619" s="4" t="s">
        <v>2043</v>
      </c>
      <c r="M619" s="43" t="s">
        <v>3535</v>
      </c>
      <c r="N619" s="255">
        <v>173600</v>
      </c>
      <c r="O619" s="265">
        <v>100</v>
      </c>
      <c r="P619" s="270">
        <v>1</v>
      </c>
      <c r="Q619" s="255">
        <v>173600</v>
      </c>
      <c r="R619" s="283">
        <v>173600</v>
      </c>
      <c r="S619" s="283">
        <v>48365</v>
      </c>
      <c r="T619" s="287">
        <v>0</v>
      </c>
      <c r="U619" s="287">
        <v>1</v>
      </c>
      <c r="V619" s="287">
        <v>0</v>
      </c>
      <c r="W619" s="283">
        <v>17169</v>
      </c>
      <c r="X619" s="283">
        <v>0</v>
      </c>
      <c r="Y619" s="199" t="s">
        <v>1392</v>
      </c>
      <c r="Z619" s="517" t="s">
        <v>5542</v>
      </c>
      <c r="AA619" s="493" t="s">
        <v>1485</v>
      </c>
      <c r="AB619" s="507"/>
    </row>
    <row r="620" spans="2:28" x14ac:dyDescent="0.15">
      <c r="B620" s="330" t="s">
        <v>3544</v>
      </c>
      <c r="C620" s="528">
        <v>43136</v>
      </c>
      <c r="D620" s="198" t="s">
        <v>3537</v>
      </c>
      <c r="E620" s="53" t="s">
        <v>1396</v>
      </c>
      <c r="F620" s="376" t="s">
        <v>3800</v>
      </c>
      <c r="G620" s="3" t="s">
        <v>50</v>
      </c>
      <c r="H620" s="53" t="s">
        <v>379</v>
      </c>
      <c r="I620" s="3" t="s">
        <v>2551</v>
      </c>
      <c r="J620" s="4" t="s">
        <v>264</v>
      </c>
      <c r="K620" s="4" t="s">
        <v>538</v>
      </c>
      <c r="L620" s="4" t="s">
        <v>2515</v>
      </c>
      <c r="M620" s="43" t="s">
        <v>3538</v>
      </c>
      <c r="N620" s="255">
        <v>340000</v>
      </c>
      <c r="O620" s="265">
        <v>55</v>
      </c>
      <c r="P620" s="270">
        <v>1</v>
      </c>
      <c r="Q620" s="255">
        <v>187000</v>
      </c>
      <c r="R620" s="283">
        <v>187000</v>
      </c>
      <c r="S620" s="283">
        <v>33178</v>
      </c>
      <c r="T620" s="287">
        <v>0</v>
      </c>
      <c r="U620" s="287">
        <v>1</v>
      </c>
      <c r="V620" s="287">
        <v>0</v>
      </c>
      <c r="W620" s="283">
        <v>15300</v>
      </c>
      <c r="X620" s="283">
        <v>0</v>
      </c>
      <c r="Y620" s="199" t="s">
        <v>1392</v>
      </c>
      <c r="Z620" s="517" t="s">
        <v>5543</v>
      </c>
      <c r="AA620" s="493" t="s">
        <v>1485</v>
      </c>
      <c r="AB620" s="507"/>
    </row>
    <row r="621" spans="2:28" x14ac:dyDescent="0.15">
      <c r="B621" s="330" t="s">
        <v>3545</v>
      </c>
      <c r="C621" s="528">
        <v>43136</v>
      </c>
      <c r="D621" s="198" t="s">
        <v>3540</v>
      </c>
      <c r="E621" s="53" t="s">
        <v>1396</v>
      </c>
      <c r="F621" s="376" t="s">
        <v>3800</v>
      </c>
      <c r="G621" s="3" t="s">
        <v>50</v>
      </c>
      <c r="H621" s="53" t="s">
        <v>380</v>
      </c>
      <c r="I621" s="3" t="s">
        <v>1976</v>
      </c>
      <c r="J621" s="4" t="s">
        <v>271</v>
      </c>
      <c r="K621" s="4" t="s">
        <v>1160</v>
      </c>
      <c r="L621" s="4" t="s">
        <v>1964</v>
      </c>
      <c r="M621" s="43" t="s">
        <v>3541</v>
      </c>
      <c r="N621" s="255">
        <v>210000</v>
      </c>
      <c r="O621" s="265">
        <v>100</v>
      </c>
      <c r="P621" s="270">
        <v>1</v>
      </c>
      <c r="Q621" s="255">
        <v>210000</v>
      </c>
      <c r="R621" s="283">
        <v>210000</v>
      </c>
      <c r="S621" s="283">
        <v>62743</v>
      </c>
      <c r="T621" s="287">
        <v>0</v>
      </c>
      <c r="U621" s="287">
        <v>0</v>
      </c>
      <c r="V621" s="287">
        <v>0</v>
      </c>
      <c r="W621" s="283">
        <v>20769</v>
      </c>
      <c r="X621" s="283">
        <v>0</v>
      </c>
      <c r="Y621" s="199" t="s">
        <v>1392</v>
      </c>
      <c r="Z621" s="517" t="s">
        <v>5166</v>
      </c>
      <c r="AA621" s="493" t="s">
        <v>1485</v>
      </c>
      <c r="AB621" s="507"/>
    </row>
    <row r="622" spans="2:28" x14ac:dyDescent="0.15">
      <c r="B622" s="330" t="s">
        <v>3549</v>
      </c>
      <c r="C622" s="528">
        <v>43136</v>
      </c>
      <c r="D622" s="198" t="s">
        <v>3543</v>
      </c>
      <c r="E622" s="53" t="s">
        <v>1396</v>
      </c>
      <c r="F622" s="376" t="s">
        <v>3800</v>
      </c>
      <c r="G622" s="3" t="s">
        <v>50</v>
      </c>
      <c r="H622" s="53" t="s">
        <v>381</v>
      </c>
      <c r="I622" s="3" t="s">
        <v>1408</v>
      </c>
      <c r="J622" s="4" t="s">
        <v>296</v>
      </c>
      <c r="K622" s="4" t="s">
        <v>1167</v>
      </c>
      <c r="L622" s="4" t="s">
        <v>1468</v>
      </c>
      <c r="M622" s="43"/>
      <c r="N622" s="255">
        <v>3500</v>
      </c>
      <c r="O622" s="265">
        <v>60</v>
      </c>
      <c r="P622" s="270">
        <v>5</v>
      </c>
      <c r="Q622" s="255">
        <v>2100</v>
      </c>
      <c r="R622" s="283">
        <v>10500</v>
      </c>
      <c r="S622" s="283">
        <v>3450</v>
      </c>
      <c r="T622" s="287">
        <v>0</v>
      </c>
      <c r="U622" s="287">
        <v>0</v>
      </c>
      <c r="V622" s="287">
        <v>0</v>
      </c>
      <c r="W622" s="283">
        <v>1050</v>
      </c>
      <c r="X622" s="283">
        <v>0</v>
      </c>
      <c r="Y622" s="199" t="s">
        <v>1392</v>
      </c>
      <c r="Z622" s="517" t="s">
        <v>5166</v>
      </c>
      <c r="AA622" s="493" t="s">
        <v>1485</v>
      </c>
      <c r="AB622" s="507"/>
    </row>
    <row r="623" spans="2:28" x14ac:dyDescent="0.15">
      <c r="B623" s="330" t="s">
        <v>3552</v>
      </c>
      <c r="C623" s="528">
        <v>43136</v>
      </c>
      <c r="D623" s="198" t="s">
        <v>3543</v>
      </c>
      <c r="E623" s="53" t="s">
        <v>1396</v>
      </c>
      <c r="F623" s="376" t="s">
        <v>3800</v>
      </c>
      <c r="G623" s="3" t="s">
        <v>50</v>
      </c>
      <c r="H623" s="53" t="s">
        <v>381</v>
      </c>
      <c r="I623" s="3" t="s">
        <v>1408</v>
      </c>
      <c r="J623" s="4" t="s">
        <v>294</v>
      </c>
      <c r="K623" s="4" t="s">
        <v>1165</v>
      </c>
      <c r="L623" s="4" t="s">
        <v>1165</v>
      </c>
      <c r="M623" s="43"/>
      <c r="N623" s="255">
        <v>42000</v>
      </c>
      <c r="O623" s="265">
        <v>60</v>
      </c>
      <c r="P623" s="270">
        <v>2</v>
      </c>
      <c r="Q623" s="255">
        <v>25200</v>
      </c>
      <c r="R623" s="283">
        <v>50400</v>
      </c>
      <c r="S623" s="283">
        <v>14320</v>
      </c>
      <c r="T623" s="287">
        <v>0</v>
      </c>
      <c r="U623" s="287">
        <v>0</v>
      </c>
      <c r="V623" s="287">
        <v>0</v>
      </c>
      <c r="W623" s="283">
        <v>5040</v>
      </c>
      <c r="X623" s="283">
        <v>0</v>
      </c>
      <c r="Y623" s="199" t="s">
        <v>1392</v>
      </c>
      <c r="Z623" s="517" t="s">
        <v>5166</v>
      </c>
      <c r="AA623" s="493" t="s">
        <v>1485</v>
      </c>
      <c r="AB623" s="507"/>
    </row>
    <row r="624" spans="2:28" x14ac:dyDescent="0.15">
      <c r="B624" s="330" t="s">
        <v>3555</v>
      </c>
      <c r="C624" s="528">
        <v>43136</v>
      </c>
      <c r="D624" s="198" t="s">
        <v>3546</v>
      </c>
      <c r="E624" s="53" t="s">
        <v>1396</v>
      </c>
      <c r="F624" s="376" t="s">
        <v>3799</v>
      </c>
      <c r="G624" s="3" t="s">
        <v>1110</v>
      </c>
      <c r="H624" s="53" t="s">
        <v>802</v>
      </c>
      <c r="I624" s="3" t="s">
        <v>1417</v>
      </c>
      <c r="J624" s="4" t="s">
        <v>270</v>
      </c>
      <c r="K624" s="4" t="s">
        <v>539</v>
      </c>
      <c r="L624" s="4" t="s">
        <v>3547</v>
      </c>
      <c r="M624" s="43" t="s">
        <v>3548</v>
      </c>
      <c r="N624" s="255">
        <v>334000</v>
      </c>
      <c r="O624" s="265">
        <v>60</v>
      </c>
      <c r="P624" s="270">
        <v>1</v>
      </c>
      <c r="Q624" s="255">
        <v>200400</v>
      </c>
      <c r="R624" s="283">
        <v>200400</v>
      </c>
      <c r="S624" s="283">
        <v>11509</v>
      </c>
      <c r="T624" s="287">
        <v>0</v>
      </c>
      <c r="U624" s="287">
        <v>1</v>
      </c>
      <c r="V624" s="287">
        <v>0</v>
      </c>
      <c r="W624" s="283">
        <v>20040</v>
      </c>
      <c r="X624" s="283">
        <v>0</v>
      </c>
      <c r="Y624" s="199" t="s">
        <v>1392</v>
      </c>
      <c r="Z624" s="517" t="s">
        <v>5167</v>
      </c>
      <c r="AA624" s="493" t="s">
        <v>1485</v>
      </c>
      <c r="AB624" s="507"/>
    </row>
    <row r="625" spans="2:28" x14ac:dyDescent="0.15">
      <c r="B625" s="330" t="s">
        <v>3557</v>
      </c>
      <c r="C625" s="528">
        <v>43136</v>
      </c>
      <c r="D625" s="198" t="s">
        <v>3550</v>
      </c>
      <c r="E625" s="53" t="s">
        <v>1391</v>
      </c>
      <c r="F625" s="376" t="s">
        <v>3794</v>
      </c>
      <c r="G625" s="3" t="s">
        <v>364</v>
      </c>
      <c r="H625" s="53" t="s">
        <v>461</v>
      </c>
      <c r="I625" s="3" t="s">
        <v>1600</v>
      </c>
      <c r="J625" s="4" t="s">
        <v>1402</v>
      </c>
      <c r="K625" s="4" t="s">
        <v>1403</v>
      </c>
      <c r="L625" s="4" t="s">
        <v>1725</v>
      </c>
      <c r="M625" s="43" t="s">
        <v>3551</v>
      </c>
      <c r="N625" s="255">
        <v>162000</v>
      </c>
      <c r="O625" s="265">
        <v>100</v>
      </c>
      <c r="P625" s="270">
        <v>1</v>
      </c>
      <c r="Q625" s="255">
        <v>162000</v>
      </c>
      <c r="R625" s="283">
        <v>162000</v>
      </c>
      <c r="S625" s="283">
        <v>19821</v>
      </c>
      <c r="T625" s="287">
        <v>0</v>
      </c>
      <c r="U625" s="287">
        <v>1</v>
      </c>
      <c r="V625" s="287">
        <v>0</v>
      </c>
      <c r="W625" s="283">
        <v>18692</v>
      </c>
      <c r="X625" s="283">
        <v>0</v>
      </c>
      <c r="Y625" s="199" t="s">
        <v>1392</v>
      </c>
      <c r="Z625" s="517" t="s">
        <v>5166</v>
      </c>
      <c r="AA625" s="493" t="s">
        <v>1485</v>
      </c>
      <c r="AB625" s="507"/>
    </row>
    <row r="626" spans="2:28" x14ac:dyDescent="0.15">
      <c r="B626" s="330" t="s">
        <v>3560</v>
      </c>
      <c r="C626" s="528">
        <v>43136</v>
      </c>
      <c r="D626" s="198" t="s">
        <v>3553</v>
      </c>
      <c r="E626" s="53" t="s">
        <v>1391</v>
      </c>
      <c r="F626" s="376" t="s">
        <v>3794</v>
      </c>
      <c r="G626" s="3" t="s">
        <v>364</v>
      </c>
      <c r="H626" s="53" t="s">
        <v>444</v>
      </c>
      <c r="I626" s="3" t="s">
        <v>1440</v>
      </c>
      <c r="J626" s="4" t="s">
        <v>273</v>
      </c>
      <c r="K626" s="4" t="s">
        <v>1161</v>
      </c>
      <c r="L626" s="4" t="s">
        <v>2755</v>
      </c>
      <c r="M626" s="191" t="s">
        <v>3554</v>
      </c>
      <c r="N626" s="255">
        <v>270000</v>
      </c>
      <c r="O626" s="265">
        <v>60</v>
      </c>
      <c r="P626" s="270">
        <v>1</v>
      </c>
      <c r="Q626" s="255">
        <v>162000</v>
      </c>
      <c r="R626" s="283">
        <v>162000</v>
      </c>
      <c r="S626" s="283">
        <v>48210</v>
      </c>
      <c r="T626" s="287">
        <v>0</v>
      </c>
      <c r="U626" s="287">
        <v>1</v>
      </c>
      <c r="V626" s="287">
        <v>0</v>
      </c>
      <c r="W626" s="283">
        <v>16200</v>
      </c>
      <c r="X626" s="283">
        <v>0</v>
      </c>
      <c r="Y626" s="199" t="s">
        <v>1392</v>
      </c>
      <c r="Z626" s="517" t="s">
        <v>5166</v>
      </c>
      <c r="AA626" s="493" t="s">
        <v>1485</v>
      </c>
      <c r="AB626" s="507"/>
    </row>
    <row r="627" spans="2:28" x14ac:dyDescent="0.15">
      <c r="B627" s="330" t="s">
        <v>3561</v>
      </c>
      <c r="C627" s="528">
        <v>43136</v>
      </c>
      <c r="D627" s="198" t="s">
        <v>3556</v>
      </c>
      <c r="E627" s="53" t="s">
        <v>1391</v>
      </c>
      <c r="F627" s="376" t="s">
        <v>3794</v>
      </c>
      <c r="G627" s="3" t="s">
        <v>364</v>
      </c>
      <c r="H627" s="53" t="s">
        <v>444</v>
      </c>
      <c r="I627" s="3" t="s">
        <v>1440</v>
      </c>
      <c r="J627" s="4" t="s">
        <v>273</v>
      </c>
      <c r="K627" s="4" t="s">
        <v>1161</v>
      </c>
      <c r="L627" s="4" t="s">
        <v>2755</v>
      </c>
      <c r="M627" s="43" t="s">
        <v>2756</v>
      </c>
      <c r="N627" s="255">
        <v>260000</v>
      </c>
      <c r="O627" s="265">
        <v>60</v>
      </c>
      <c r="P627" s="270">
        <v>-1</v>
      </c>
      <c r="Q627" s="255">
        <v>156000</v>
      </c>
      <c r="R627" s="283">
        <v>-156000</v>
      </c>
      <c r="S627" s="283">
        <v>-53710</v>
      </c>
      <c r="T627" s="287">
        <v>0</v>
      </c>
      <c r="U627" s="287">
        <v>-1</v>
      </c>
      <c r="V627" s="287">
        <v>0</v>
      </c>
      <c r="W627" s="283">
        <v>-15600</v>
      </c>
      <c r="X627" s="283">
        <v>0</v>
      </c>
      <c r="Y627" s="199" t="s">
        <v>1392</v>
      </c>
      <c r="Z627" s="517" t="s">
        <v>5542</v>
      </c>
      <c r="AA627" s="493" t="s">
        <v>1485</v>
      </c>
      <c r="AB627" s="507"/>
    </row>
    <row r="628" spans="2:28" x14ac:dyDescent="0.15">
      <c r="B628" s="330" t="s">
        <v>3563</v>
      </c>
      <c r="C628" s="528">
        <v>43137</v>
      </c>
      <c r="D628" s="198" t="s">
        <v>3558</v>
      </c>
      <c r="E628" s="53" t="s">
        <v>1391</v>
      </c>
      <c r="F628" s="376" t="s">
        <v>3821</v>
      </c>
      <c r="G628" s="3" t="s">
        <v>3559</v>
      </c>
      <c r="H628" s="53"/>
      <c r="I628" s="3"/>
      <c r="J628" s="4" t="s">
        <v>297</v>
      </c>
      <c r="K628" s="4" t="s">
        <v>369</v>
      </c>
      <c r="L628" s="4" t="s">
        <v>1484</v>
      </c>
      <c r="M628" s="43"/>
      <c r="N628" s="255">
        <v>200</v>
      </c>
      <c r="O628" s="265">
        <v>50</v>
      </c>
      <c r="P628" s="270">
        <v>100</v>
      </c>
      <c r="Q628" s="255">
        <v>100</v>
      </c>
      <c r="R628" s="283">
        <v>10000</v>
      </c>
      <c r="S628" s="283">
        <v>7200</v>
      </c>
      <c r="T628" s="287">
        <v>0</v>
      </c>
      <c r="U628" s="287">
        <v>0</v>
      </c>
      <c r="V628" s="287">
        <v>0</v>
      </c>
      <c r="W628" s="283">
        <v>0</v>
      </c>
      <c r="X628" s="283">
        <v>0</v>
      </c>
      <c r="Y628" s="199" t="s">
        <v>1395</v>
      </c>
      <c r="Z628" s="517" t="s">
        <v>5170</v>
      </c>
      <c r="AA628" s="493" t="s">
        <v>1485</v>
      </c>
      <c r="AB628" s="507"/>
    </row>
    <row r="629" spans="2:28" x14ac:dyDescent="0.15">
      <c r="B629" s="330" t="s">
        <v>3564</v>
      </c>
      <c r="C629" s="528">
        <v>43137</v>
      </c>
      <c r="D629" s="198" t="s">
        <v>3558</v>
      </c>
      <c r="E629" s="53" t="s">
        <v>1391</v>
      </c>
      <c r="F629" s="376" t="s">
        <v>3821</v>
      </c>
      <c r="G629" s="3" t="s">
        <v>3559</v>
      </c>
      <c r="H629" s="53"/>
      <c r="I629" s="3"/>
      <c r="J629" s="4" t="s">
        <v>296</v>
      </c>
      <c r="K629" s="4" t="s">
        <v>1167</v>
      </c>
      <c r="L629" s="4" t="s">
        <v>2542</v>
      </c>
      <c r="M629" s="43"/>
      <c r="N629" s="255">
        <v>3500</v>
      </c>
      <c r="O629" s="265">
        <v>60</v>
      </c>
      <c r="P629" s="270">
        <v>1</v>
      </c>
      <c r="Q629" s="255">
        <v>2100</v>
      </c>
      <c r="R629" s="283">
        <v>2100</v>
      </c>
      <c r="S629" s="283">
        <v>900</v>
      </c>
      <c r="T629" s="287">
        <v>0</v>
      </c>
      <c r="U629" s="287">
        <v>0</v>
      </c>
      <c r="V629" s="287">
        <v>0</v>
      </c>
      <c r="W629" s="283">
        <v>0</v>
      </c>
      <c r="X629" s="283">
        <v>0</v>
      </c>
      <c r="Y629" s="199" t="s">
        <v>1395</v>
      </c>
      <c r="Z629" s="517" t="s">
        <v>5170</v>
      </c>
      <c r="AA629" s="493" t="s">
        <v>1485</v>
      </c>
      <c r="AB629" s="507"/>
    </row>
    <row r="630" spans="2:28" x14ac:dyDescent="0.15">
      <c r="B630" s="330" t="s">
        <v>3566</v>
      </c>
      <c r="C630" s="528">
        <v>43137</v>
      </c>
      <c r="D630" s="198" t="s">
        <v>3558</v>
      </c>
      <c r="E630" s="53" t="s">
        <v>1391</v>
      </c>
      <c r="F630" s="376" t="s">
        <v>3821</v>
      </c>
      <c r="G630" s="3" t="s">
        <v>3559</v>
      </c>
      <c r="H630" s="53"/>
      <c r="I630" s="3"/>
      <c r="J630" s="4" t="s">
        <v>298</v>
      </c>
      <c r="K630" s="4" t="s">
        <v>1168</v>
      </c>
      <c r="L630" s="4" t="s">
        <v>3562</v>
      </c>
      <c r="M630" s="43"/>
      <c r="N630" s="255">
        <v>2400</v>
      </c>
      <c r="O630" s="265">
        <v>60</v>
      </c>
      <c r="P630" s="270">
        <v>1</v>
      </c>
      <c r="Q630" s="255">
        <v>1440</v>
      </c>
      <c r="R630" s="283">
        <v>1440</v>
      </c>
      <c r="S630" s="283">
        <v>640</v>
      </c>
      <c r="T630" s="287">
        <v>0</v>
      </c>
      <c r="U630" s="287">
        <v>0</v>
      </c>
      <c r="V630" s="287">
        <v>0</v>
      </c>
      <c r="W630" s="283">
        <v>0</v>
      </c>
      <c r="X630" s="283">
        <v>0</v>
      </c>
      <c r="Y630" s="199" t="s">
        <v>1395</v>
      </c>
      <c r="Z630" s="517" t="s">
        <v>5170</v>
      </c>
      <c r="AA630" s="493" t="s">
        <v>1485</v>
      </c>
      <c r="AB630" s="507"/>
    </row>
    <row r="631" spans="2:28" x14ac:dyDescent="0.15">
      <c r="B631" s="330" t="s">
        <v>3570</v>
      </c>
      <c r="C631" s="528">
        <v>43137</v>
      </c>
      <c r="D631" s="198" t="s">
        <v>3558</v>
      </c>
      <c r="E631" s="53" t="s">
        <v>1391</v>
      </c>
      <c r="F631" s="376" t="s">
        <v>3821</v>
      </c>
      <c r="G631" s="3" t="s">
        <v>3559</v>
      </c>
      <c r="H631" s="53"/>
      <c r="I631" s="3"/>
      <c r="J631" s="4" t="s">
        <v>297</v>
      </c>
      <c r="K631" s="4" t="s">
        <v>369</v>
      </c>
      <c r="L631" s="4" t="s">
        <v>1509</v>
      </c>
      <c r="M631" s="43"/>
      <c r="N631" s="255">
        <v>200</v>
      </c>
      <c r="O631" s="265">
        <v>50</v>
      </c>
      <c r="P631" s="270">
        <v>100</v>
      </c>
      <c r="Q631" s="255">
        <v>100</v>
      </c>
      <c r="R631" s="283">
        <v>10000</v>
      </c>
      <c r="S631" s="283">
        <v>7200</v>
      </c>
      <c r="T631" s="287">
        <v>0</v>
      </c>
      <c r="U631" s="287">
        <v>0</v>
      </c>
      <c r="V631" s="287">
        <v>0</v>
      </c>
      <c r="W631" s="283">
        <v>0</v>
      </c>
      <c r="X631" s="283">
        <v>0</v>
      </c>
      <c r="Y631" s="199" t="s">
        <v>1395</v>
      </c>
      <c r="Z631" s="517" t="s">
        <v>5170</v>
      </c>
      <c r="AA631" s="493" t="s">
        <v>1485</v>
      </c>
      <c r="AB631" s="507"/>
    </row>
    <row r="632" spans="2:28" x14ac:dyDescent="0.15">
      <c r="B632" s="330" t="s">
        <v>3573</v>
      </c>
      <c r="C632" s="528">
        <v>43140</v>
      </c>
      <c r="D632" s="198" t="s">
        <v>3565</v>
      </c>
      <c r="E632" s="53" t="s">
        <v>1391</v>
      </c>
      <c r="F632" s="376" t="s">
        <v>3822</v>
      </c>
      <c r="G632" s="3" t="s">
        <v>3567</v>
      </c>
      <c r="H632" s="53"/>
      <c r="I632" s="3"/>
      <c r="J632" s="4" t="s">
        <v>1402</v>
      </c>
      <c r="K632" s="4" t="s">
        <v>1403</v>
      </c>
      <c r="L632" s="4" t="s">
        <v>3568</v>
      </c>
      <c r="M632" s="43" t="s">
        <v>3569</v>
      </c>
      <c r="N632" s="255">
        <v>440000</v>
      </c>
      <c r="O632" s="265">
        <v>65</v>
      </c>
      <c r="P632" s="270">
        <v>1</v>
      </c>
      <c r="Q632" s="255">
        <v>286000</v>
      </c>
      <c r="R632" s="283">
        <v>286000</v>
      </c>
      <c r="S632" s="283">
        <v>50592</v>
      </c>
      <c r="T632" s="287">
        <v>0</v>
      </c>
      <c r="U632" s="287">
        <v>1</v>
      </c>
      <c r="V632" s="287">
        <v>0</v>
      </c>
      <c r="W632" s="283">
        <v>33000</v>
      </c>
      <c r="X632" s="283">
        <v>0</v>
      </c>
      <c r="Y632" s="199" t="s">
        <v>1392</v>
      </c>
      <c r="Z632" s="517" t="s">
        <v>5537</v>
      </c>
      <c r="AA632" s="493" t="s">
        <v>1485</v>
      </c>
      <c r="AB632" s="507"/>
    </row>
    <row r="633" spans="2:28" x14ac:dyDescent="0.15">
      <c r="B633" s="330" t="s">
        <v>3574</v>
      </c>
      <c r="C633" s="527">
        <v>43142</v>
      </c>
      <c r="D633" s="191" t="s">
        <v>3571</v>
      </c>
      <c r="E633" s="43" t="s">
        <v>1396</v>
      </c>
      <c r="F633" s="375" t="s">
        <v>3801</v>
      </c>
      <c r="G633" s="4" t="s">
        <v>374</v>
      </c>
      <c r="H633" s="43"/>
      <c r="I633" s="4"/>
      <c r="J633" s="4" t="s">
        <v>299</v>
      </c>
      <c r="K633" s="4" t="s">
        <v>373</v>
      </c>
      <c r="L633" s="4" t="s">
        <v>3572</v>
      </c>
      <c r="M633" s="43"/>
      <c r="N633" s="255">
        <v>8000</v>
      </c>
      <c r="O633" s="265">
        <v>100</v>
      </c>
      <c r="P633" s="270">
        <v>1</v>
      </c>
      <c r="Q633" s="255">
        <v>8000</v>
      </c>
      <c r="R633" s="283">
        <v>8000</v>
      </c>
      <c r="S633" s="283">
        <v>3600</v>
      </c>
      <c r="T633" s="287">
        <v>0</v>
      </c>
      <c r="U633" s="287">
        <v>0</v>
      </c>
      <c r="V633" s="287">
        <v>0</v>
      </c>
      <c r="W633" s="283">
        <v>2400</v>
      </c>
      <c r="X633" s="283">
        <v>0</v>
      </c>
      <c r="Y633" s="199" t="s">
        <v>1395</v>
      </c>
      <c r="Z633" s="517" t="s">
        <v>5552</v>
      </c>
      <c r="AA633" s="493" t="s">
        <v>1485</v>
      </c>
      <c r="AB633" s="507"/>
    </row>
    <row r="634" spans="2:28" x14ac:dyDescent="0.15">
      <c r="B634" s="330" t="s">
        <v>3576</v>
      </c>
      <c r="C634" s="527">
        <v>43142</v>
      </c>
      <c r="D634" s="191" t="s">
        <v>3571</v>
      </c>
      <c r="E634" s="43" t="s">
        <v>1396</v>
      </c>
      <c r="F634" s="375" t="s">
        <v>3801</v>
      </c>
      <c r="G634" s="4" t="s">
        <v>374</v>
      </c>
      <c r="H634" s="43"/>
      <c r="I634" s="4"/>
      <c r="J634" s="4"/>
      <c r="K634" s="4"/>
      <c r="L634" s="4" t="s">
        <v>1520</v>
      </c>
      <c r="M634" s="43"/>
      <c r="N634" s="255">
        <v>900</v>
      </c>
      <c r="O634" s="265">
        <v>100</v>
      </c>
      <c r="P634" s="270">
        <v>1</v>
      </c>
      <c r="Q634" s="255">
        <v>900</v>
      </c>
      <c r="R634" s="283">
        <v>900</v>
      </c>
      <c r="S634" s="283">
        <v>0</v>
      </c>
      <c r="T634" s="287">
        <v>0</v>
      </c>
      <c r="U634" s="287">
        <v>0</v>
      </c>
      <c r="V634" s="287">
        <v>0</v>
      </c>
      <c r="W634" s="283">
        <v>0</v>
      </c>
      <c r="X634" s="283">
        <v>0</v>
      </c>
      <c r="Y634" s="199" t="s">
        <v>4146</v>
      </c>
      <c r="Z634" s="517" t="s">
        <v>5168</v>
      </c>
      <c r="AA634" s="493" t="s">
        <v>1485</v>
      </c>
      <c r="AB634" s="507"/>
    </row>
    <row r="635" spans="2:28" x14ac:dyDescent="0.15">
      <c r="B635" s="330" t="s">
        <v>3577</v>
      </c>
      <c r="C635" s="527">
        <v>43147</v>
      </c>
      <c r="D635" s="191" t="s">
        <v>3575</v>
      </c>
      <c r="E635" s="43" t="s">
        <v>1391</v>
      </c>
      <c r="F635" s="375" t="s">
        <v>3821</v>
      </c>
      <c r="G635" s="4" t="s">
        <v>3559</v>
      </c>
      <c r="H635" s="43"/>
      <c r="I635" s="4"/>
      <c r="J635" s="4" t="s">
        <v>298</v>
      </c>
      <c r="K635" s="4" t="s">
        <v>1168</v>
      </c>
      <c r="L635" s="4" t="s">
        <v>1412</v>
      </c>
      <c r="M635" s="43"/>
      <c r="N635" s="255">
        <v>2400</v>
      </c>
      <c r="O635" s="265">
        <v>60</v>
      </c>
      <c r="P635" s="270">
        <v>1</v>
      </c>
      <c r="Q635" s="255">
        <v>1440</v>
      </c>
      <c r="R635" s="283">
        <v>1440</v>
      </c>
      <c r="S635" s="283">
        <v>640</v>
      </c>
      <c r="T635" s="287">
        <v>0</v>
      </c>
      <c r="U635" s="287">
        <v>0</v>
      </c>
      <c r="V635" s="287">
        <v>0</v>
      </c>
      <c r="W635" s="283">
        <v>0</v>
      </c>
      <c r="X635" s="283">
        <v>0</v>
      </c>
      <c r="Y635" s="199" t="s">
        <v>1395</v>
      </c>
      <c r="Z635" s="517" t="s">
        <v>5170</v>
      </c>
      <c r="AA635" s="493" t="s">
        <v>1485</v>
      </c>
      <c r="AB635" s="507"/>
    </row>
    <row r="636" spans="2:28" x14ac:dyDescent="0.15">
      <c r="B636" s="330" t="s">
        <v>3579</v>
      </c>
      <c r="C636" s="527">
        <v>43147</v>
      </c>
      <c r="D636" s="191" t="s">
        <v>3575</v>
      </c>
      <c r="E636" s="43" t="s">
        <v>1391</v>
      </c>
      <c r="F636" s="375" t="s">
        <v>3821</v>
      </c>
      <c r="G636" s="4" t="s">
        <v>3559</v>
      </c>
      <c r="H636" s="43"/>
      <c r="I636" s="4"/>
      <c r="J636" s="4" t="s">
        <v>298</v>
      </c>
      <c r="K636" s="4" t="s">
        <v>1168</v>
      </c>
      <c r="L636" s="4" t="s">
        <v>1412</v>
      </c>
      <c r="M636" s="43"/>
      <c r="N636" s="255">
        <v>2400</v>
      </c>
      <c r="O636" s="265">
        <v>60</v>
      </c>
      <c r="P636" s="270">
        <v>5</v>
      </c>
      <c r="Q636" s="255">
        <v>1440</v>
      </c>
      <c r="R636" s="283">
        <v>7200</v>
      </c>
      <c r="S636" s="283">
        <v>3200</v>
      </c>
      <c r="T636" s="287">
        <v>0</v>
      </c>
      <c r="U636" s="287">
        <v>0</v>
      </c>
      <c r="V636" s="287">
        <v>0</v>
      </c>
      <c r="W636" s="283">
        <v>0</v>
      </c>
      <c r="X636" s="283">
        <v>0</v>
      </c>
      <c r="Y636" s="199" t="s">
        <v>1395</v>
      </c>
      <c r="Z636" s="517" t="s">
        <v>5170</v>
      </c>
      <c r="AA636" s="493" t="s">
        <v>1485</v>
      </c>
      <c r="AB636" s="507"/>
    </row>
    <row r="637" spans="2:28" x14ac:dyDescent="0.15">
      <c r="B637" s="330" t="s">
        <v>3582</v>
      </c>
      <c r="C637" s="527">
        <v>43147</v>
      </c>
      <c r="D637" s="191" t="s">
        <v>3575</v>
      </c>
      <c r="E637" s="43" t="s">
        <v>1391</v>
      </c>
      <c r="F637" s="375" t="s">
        <v>3821</v>
      </c>
      <c r="G637" s="4" t="s">
        <v>3559</v>
      </c>
      <c r="H637" s="43"/>
      <c r="I637" s="4"/>
      <c r="J637" s="4" t="s">
        <v>298</v>
      </c>
      <c r="K637" s="4" t="s">
        <v>1168</v>
      </c>
      <c r="L637" s="4" t="s">
        <v>3578</v>
      </c>
      <c r="M637" s="43"/>
      <c r="N637" s="255">
        <v>3500</v>
      </c>
      <c r="O637" s="265">
        <v>65</v>
      </c>
      <c r="P637" s="270">
        <v>1</v>
      </c>
      <c r="Q637" s="255">
        <v>2275</v>
      </c>
      <c r="R637" s="283">
        <v>2275</v>
      </c>
      <c r="S637" s="283">
        <v>995</v>
      </c>
      <c r="T637" s="287">
        <v>0</v>
      </c>
      <c r="U637" s="287">
        <v>0</v>
      </c>
      <c r="V637" s="287">
        <v>0</v>
      </c>
      <c r="W637" s="283">
        <v>0</v>
      </c>
      <c r="X637" s="283">
        <v>0</v>
      </c>
      <c r="Y637" s="199" t="s">
        <v>1395</v>
      </c>
      <c r="Z637" s="517" t="s">
        <v>5548</v>
      </c>
      <c r="AA637" s="493" t="s">
        <v>1485</v>
      </c>
      <c r="AB637" s="507"/>
    </row>
    <row r="638" spans="2:28" x14ac:dyDescent="0.15">
      <c r="B638" s="330" t="s">
        <v>3585</v>
      </c>
      <c r="C638" s="527">
        <v>43147</v>
      </c>
      <c r="D638" s="191" t="s">
        <v>3580</v>
      </c>
      <c r="E638" s="43" t="s">
        <v>1391</v>
      </c>
      <c r="F638" s="375" t="s">
        <v>3797</v>
      </c>
      <c r="G638" s="4" t="s">
        <v>362</v>
      </c>
      <c r="H638" s="43" t="s">
        <v>689</v>
      </c>
      <c r="I638" s="4" t="s">
        <v>1394</v>
      </c>
      <c r="J638" s="4" t="s">
        <v>1402</v>
      </c>
      <c r="K638" s="4" t="s">
        <v>1403</v>
      </c>
      <c r="L638" s="4" t="s">
        <v>2731</v>
      </c>
      <c r="M638" s="43" t="s">
        <v>3581</v>
      </c>
      <c r="N638" s="255">
        <v>260000</v>
      </c>
      <c r="O638" s="265">
        <v>55</v>
      </c>
      <c r="P638" s="270">
        <v>1</v>
      </c>
      <c r="Q638" s="255">
        <v>143000</v>
      </c>
      <c r="R638" s="283">
        <v>143000</v>
      </c>
      <c r="S638" s="283">
        <v>37222</v>
      </c>
      <c r="T638" s="287">
        <v>1</v>
      </c>
      <c r="U638" s="287">
        <v>0</v>
      </c>
      <c r="V638" s="287">
        <v>0</v>
      </c>
      <c r="W638" s="283">
        <v>0</v>
      </c>
      <c r="X638" s="283">
        <v>0</v>
      </c>
      <c r="Y638" s="199" t="s">
        <v>1395</v>
      </c>
      <c r="Z638" s="517" t="s">
        <v>5543</v>
      </c>
      <c r="AA638" s="493" t="s">
        <v>1485</v>
      </c>
      <c r="AB638" s="507"/>
    </row>
    <row r="639" spans="2:28" x14ac:dyDescent="0.15">
      <c r="B639" s="330" t="s">
        <v>3589</v>
      </c>
      <c r="C639" s="527">
        <v>43151</v>
      </c>
      <c r="D639" s="191" t="s">
        <v>3586</v>
      </c>
      <c r="E639" s="43" t="s">
        <v>1396</v>
      </c>
      <c r="F639" s="375" t="s">
        <v>3795</v>
      </c>
      <c r="G639" s="4" t="s">
        <v>1321</v>
      </c>
      <c r="H639" s="43"/>
      <c r="I639" s="4"/>
      <c r="J639" s="4" t="s">
        <v>299</v>
      </c>
      <c r="K639" s="4" t="s">
        <v>373</v>
      </c>
      <c r="L639" s="4" t="s">
        <v>3592</v>
      </c>
      <c r="M639" s="43"/>
      <c r="N639" s="255">
        <v>800</v>
      </c>
      <c r="O639" s="265">
        <v>100</v>
      </c>
      <c r="P639" s="270">
        <v>-1</v>
      </c>
      <c r="Q639" s="255">
        <v>800</v>
      </c>
      <c r="R639" s="283">
        <v>-800</v>
      </c>
      <c r="S639" s="283">
        <v>-800</v>
      </c>
      <c r="T639" s="287">
        <v>0</v>
      </c>
      <c r="U639" s="287">
        <v>0</v>
      </c>
      <c r="V639" s="287">
        <v>0</v>
      </c>
      <c r="W639" s="283">
        <v>800</v>
      </c>
      <c r="X639" s="283">
        <v>0</v>
      </c>
      <c r="Y639" s="199" t="s">
        <v>1392</v>
      </c>
      <c r="Z639" s="517" t="s">
        <v>5449</v>
      </c>
      <c r="AA639" s="493"/>
      <c r="AB639" s="507"/>
    </row>
    <row r="640" spans="2:28" x14ac:dyDescent="0.15">
      <c r="B640" s="330" t="s">
        <v>3591</v>
      </c>
      <c r="C640" s="527">
        <v>43151</v>
      </c>
      <c r="D640" s="191" t="s">
        <v>3594</v>
      </c>
      <c r="E640" s="43" t="s">
        <v>1391</v>
      </c>
      <c r="F640" s="375" t="s">
        <v>3794</v>
      </c>
      <c r="G640" s="4" t="s">
        <v>364</v>
      </c>
      <c r="H640" s="43" t="s">
        <v>2385</v>
      </c>
      <c r="I640" s="4" t="s">
        <v>2752</v>
      </c>
      <c r="J640" s="4" t="s">
        <v>298</v>
      </c>
      <c r="K640" s="4" t="s">
        <v>1168</v>
      </c>
      <c r="L640" s="4" t="s">
        <v>3595</v>
      </c>
      <c r="M640" s="43"/>
      <c r="N640" s="255">
        <v>3500</v>
      </c>
      <c r="O640" s="265">
        <v>65</v>
      </c>
      <c r="P640" s="270">
        <v>2</v>
      </c>
      <c r="Q640" s="255">
        <v>2275</v>
      </c>
      <c r="R640" s="283">
        <v>4550</v>
      </c>
      <c r="S640" s="283">
        <v>2746</v>
      </c>
      <c r="T640" s="287">
        <v>0</v>
      </c>
      <c r="U640" s="287">
        <v>0</v>
      </c>
      <c r="V640" s="287">
        <v>0</v>
      </c>
      <c r="W640" s="283">
        <v>524</v>
      </c>
      <c r="X640" s="283">
        <v>0</v>
      </c>
      <c r="Y640" s="199" t="s">
        <v>1392</v>
      </c>
      <c r="Z640" s="517" t="s">
        <v>5543</v>
      </c>
      <c r="AA640" s="493" t="s">
        <v>1485</v>
      </c>
      <c r="AB640" s="507"/>
    </row>
    <row r="641" spans="2:28" x14ac:dyDescent="0.15">
      <c r="B641" s="330" t="s">
        <v>3593</v>
      </c>
      <c r="C641" s="527">
        <v>43151</v>
      </c>
      <c r="D641" s="191" t="s">
        <v>3594</v>
      </c>
      <c r="E641" s="43" t="s">
        <v>1391</v>
      </c>
      <c r="F641" s="375" t="s">
        <v>3794</v>
      </c>
      <c r="G641" s="4" t="s">
        <v>364</v>
      </c>
      <c r="H641" s="43" t="s">
        <v>2385</v>
      </c>
      <c r="I641" s="4" t="s">
        <v>2752</v>
      </c>
      <c r="J641" s="4" t="s">
        <v>296</v>
      </c>
      <c r="K641" s="4" t="s">
        <v>1167</v>
      </c>
      <c r="L641" s="4" t="s">
        <v>1468</v>
      </c>
      <c r="M641" s="43"/>
      <c r="N641" s="255">
        <v>3500</v>
      </c>
      <c r="O641" s="265">
        <v>65</v>
      </c>
      <c r="P641" s="270">
        <v>1</v>
      </c>
      <c r="Q641" s="255">
        <v>2275</v>
      </c>
      <c r="R641" s="283">
        <v>2275</v>
      </c>
      <c r="S641" s="283">
        <v>813</v>
      </c>
      <c r="T641" s="287">
        <v>0</v>
      </c>
      <c r="U641" s="287">
        <v>0</v>
      </c>
      <c r="V641" s="287">
        <v>0</v>
      </c>
      <c r="W641" s="283">
        <v>262</v>
      </c>
      <c r="X641" s="283">
        <v>0</v>
      </c>
      <c r="Y641" s="199" t="s">
        <v>1392</v>
      </c>
      <c r="Z641" s="517" t="s">
        <v>5166</v>
      </c>
      <c r="AA641" s="493" t="s">
        <v>1485</v>
      </c>
      <c r="AB641" s="507"/>
    </row>
    <row r="642" spans="2:28" x14ac:dyDescent="0.15">
      <c r="B642" s="330" t="s">
        <v>3596</v>
      </c>
      <c r="C642" s="527">
        <v>43151</v>
      </c>
      <c r="D642" s="191" t="s">
        <v>3594</v>
      </c>
      <c r="E642" s="43" t="s">
        <v>1391</v>
      </c>
      <c r="F642" s="375" t="s">
        <v>3794</v>
      </c>
      <c r="G642" s="4" t="s">
        <v>364</v>
      </c>
      <c r="H642" s="43" t="s">
        <v>2385</v>
      </c>
      <c r="I642" s="4" t="s">
        <v>2752</v>
      </c>
      <c r="J642" s="4"/>
      <c r="K642" s="4"/>
      <c r="L642" s="4" t="s">
        <v>1520</v>
      </c>
      <c r="M642" s="43"/>
      <c r="N642" s="255">
        <v>430</v>
      </c>
      <c r="O642" s="265">
        <v>100</v>
      </c>
      <c r="P642" s="270">
        <v>1</v>
      </c>
      <c r="Q642" s="255">
        <v>430</v>
      </c>
      <c r="R642" s="283">
        <v>430</v>
      </c>
      <c r="S642" s="283">
        <v>0</v>
      </c>
      <c r="T642" s="287">
        <v>0</v>
      </c>
      <c r="U642" s="287">
        <v>0</v>
      </c>
      <c r="V642" s="287">
        <v>0</v>
      </c>
      <c r="W642" s="283">
        <v>0</v>
      </c>
      <c r="X642" s="283">
        <v>0</v>
      </c>
      <c r="Y642" s="199" t="s">
        <v>4146</v>
      </c>
      <c r="Z642" s="517" t="s">
        <v>5166</v>
      </c>
      <c r="AA642" s="493" t="s">
        <v>1485</v>
      </c>
      <c r="AB642" s="507"/>
    </row>
    <row r="643" spans="2:28" x14ac:dyDescent="0.15">
      <c r="B643" s="330" t="s">
        <v>3597</v>
      </c>
      <c r="C643" s="527">
        <v>43151</v>
      </c>
      <c r="D643" s="191" t="s">
        <v>3601</v>
      </c>
      <c r="E643" s="43" t="s">
        <v>1391</v>
      </c>
      <c r="F643" s="375" t="s">
        <v>3794</v>
      </c>
      <c r="G643" s="4" t="s">
        <v>364</v>
      </c>
      <c r="H643" s="43" t="s">
        <v>432</v>
      </c>
      <c r="I643" s="4" t="s">
        <v>375</v>
      </c>
      <c r="J643" s="4" t="s">
        <v>299</v>
      </c>
      <c r="K643" s="4" t="s">
        <v>373</v>
      </c>
      <c r="L643" s="4" t="s">
        <v>3421</v>
      </c>
      <c r="M643" s="43"/>
      <c r="N643" s="255">
        <v>4000</v>
      </c>
      <c r="O643" s="265">
        <v>100</v>
      </c>
      <c r="P643" s="270">
        <v>1</v>
      </c>
      <c r="Q643" s="255">
        <v>4000</v>
      </c>
      <c r="R643" s="283">
        <v>4000</v>
      </c>
      <c r="S643" s="283">
        <v>1078</v>
      </c>
      <c r="T643" s="287">
        <v>0</v>
      </c>
      <c r="U643" s="287">
        <v>0</v>
      </c>
      <c r="V643" s="287">
        <v>0</v>
      </c>
      <c r="W643" s="283">
        <v>2922</v>
      </c>
      <c r="X643" s="283">
        <v>0</v>
      </c>
      <c r="Y643" s="199" t="s">
        <v>1392</v>
      </c>
      <c r="Z643" s="517" t="s">
        <v>5166</v>
      </c>
      <c r="AA643" s="493" t="s">
        <v>1485</v>
      </c>
      <c r="AB643" s="507"/>
    </row>
    <row r="644" spans="2:28" x14ac:dyDescent="0.15">
      <c r="B644" s="330" t="s">
        <v>3598</v>
      </c>
      <c r="C644" s="527">
        <v>43151</v>
      </c>
      <c r="D644" s="191" t="s">
        <v>3605</v>
      </c>
      <c r="E644" s="43" t="s">
        <v>1396</v>
      </c>
      <c r="F644" s="375" t="s">
        <v>3791</v>
      </c>
      <c r="G644" s="4" t="s">
        <v>1321</v>
      </c>
      <c r="H644" s="191" t="s">
        <v>534</v>
      </c>
      <c r="I644" s="4"/>
      <c r="J644" s="4"/>
      <c r="K644" s="4"/>
      <c r="L644" s="4" t="s">
        <v>2406</v>
      </c>
      <c r="M644" s="43"/>
      <c r="N644" s="255">
        <v>3750</v>
      </c>
      <c r="O644" s="265">
        <v>100</v>
      </c>
      <c r="P644" s="270">
        <v>-1</v>
      </c>
      <c r="Q644" s="255">
        <v>3750</v>
      </c>
      <c r="R644" s="283">
        <v>-3750</v>
      </c>
      <c r="S644" s="283">
        <v>-3750</v>
      </c>
      <c r="T644" s="287">
        <v>0</v>
      </c>
      <c r="U644" s="287">
        <v>0</v>
      </c>
      <c r="V644" s="287">
        <v>0</v>
      </c>
      <c r="W644" s="283">
        <v>3750</v>
      </c>
      <c r="X644" s="283">
        <v>0</v>
      </c>
      <c r="Y644" s="199" t="s">
        <v>1392</v>
      </c>
      <c r="Z644" s="517" t="s">
        <v>5449</v>
      </c>
      <c r="AA644" s="493"/>
      <c r="AB644" s="507"/>
    </row>
    <row r="645" spans="2:28" x14ac:dyDescent="0.15">
      <c r="B645" s="331" t="s">
        <v>3600</v>
      </c>
      <c r="C645" s="309">
        <v>43151</v>
      </c>
      <c r="D645" s="191" t="s">
        <v>3608</v>
      </c>
      <c r="E645" s="43" t="s">
        <v>1396</v>
      </c>
      <c r="F645" s="375" t="s">
        <v>3792</v>
      </c>
      <c r="G645" s="4" t="s">
        <v>50</v>
      </c>
      <c r="H645" s="43" t="s">
        <v>2685</v>
      </c>
      <c r="I645" s="4" t="s">
        <v>2376</v>
      </c>
      <c r="J645" s="4"/>
      <c r="K645" s="4"/>
      <c r="L645" s="4" t="s">
        <v>3610</v>
      </c>
      <c r="M645" s="43"/>
      <c r="N645" s="255">
        <v>201122</v>
      </c>
      <c r="O645" s="265">
        <v>100</v>
      </c>
      <c r="P645" s="270">
        <v>-1</v>
      </c>
      <c r="Q645" s="255">
        <v>201122</v>
      </c>
      <c r="R645" s="283">
        <v>-201122</v>
      </c>
      <c r="S645" s="283">
        <v>-201122</v>
      </c>
      <c r="T645" s="287">
        <v>0</v>
      </c>
      <c r="U645" s="287">
        <v>0</v>
      </c>
      <c r="V645" s="287">
        <v>0</v>
      </c>
      <c r="W645" s="283">
        <v>0</v>
      </c>
      <c r="X645" s="283">
        <v>0</v>
      </c>
      <c r="Y645" s="199" t="s">
        <v>4146</v>
      </c>
      <c r="Z645" s="517" t="s">
        <v>5166</v>
      </c>
      <c r="AA645" s="493"/>
      <c r="AB645" s="507"/>
    </row>
    <row r="646" spans="2:28" x14ac:dyDescent="0.15">
      <c r="B646" s="331" t="s">
        <v>3603</v>
      </c>
      <c r="C646" s="528">
        <v>43152</v>
      </c>
      <c r="D646" s="198" t="s">
        <v>3586</v>
      </c>
      <c r="E646" s="53" t="s">
        <v>2382</v>
      </c>
      <c r="F646" s="376" t="s">
        <v>3819</v>
      </c>
      <c r="G646" s="3" t="s">
        <v>2375</v>
      </c>
      <c r="H646" s="53"/>
      <c r="I646" s="3" t="s">
        <v>3587</v>
      </c>
      <c r="J646" s="4" t="s">
        <v>298</v>
      </c>
      <c r="K646" s="4" t="s">
        <v>1168</v>
      </c>
      <c r="L646" s="4" t="s">
        <v>3588</v>
      </c>
      <c r="M646" s="43"/>
      <c r="N646" s="255">
        <v>600</v>
      </c>
      <c r="O646" s="265">
        <v>100</v>
      </c>
      <c r="P646" s="270">
        <v>1</v>
      </c>
      <c r="Q646" s="255">
        <v>600</v>
      </c>
      <c r="R646" s="283">
        <v>600</v>
      </c>
      <c r="S646" s="283">
        <v>450</v>
      </c>
      <c r="T646" s="287">
        <v>0</v>
      </c>
      <c r="U646" s="287">
        <v>0</v>
      </c>
      <c r="V646" s="287">
        <v>0</v>
      </c>
      <c r="W646" s="283">
        <v>0</v>
      </c>
      <c r="X646" s="283">
        <v>0</v>
      </c>
      <c r="Y646" s="199" t="s">
        <v>1395</v>
      </c>
      <c r="Z646" s="517" t="s">
        <v>5451</v>
      </c>
      <c r="AA646" s="493"/>
      <c r="AB646" s="507"/>
    </row>
    <row r="647" spans="2:28" x14ac:dyDescent="0.15">
      <c r="B647" s="331" t="s">
        <v>3604</v>
      </c>
      <c r="C647" s="528">
        <v>43152</v>
      </c>
      <c r="D647" s="198" t="s">
        <v>3586</v>
      </c>
      <c r="E647" s="53" t="s">
        <v>2382</v>
      </c>
      <c r="F647" s="376" t="s">
        <v>3819</v>
      </c>
      <c r="G647" s="3" t="s">
        <v>2375</v>
      </c>
      <c r="H647" s="53"/>
      <c r="I647" s="3" t="s">
        <v>3587</v>
      </c>
      <c r="J647" s="4" t="s">
        <v>298</v>
      </c>
      <c r="K647" s="4" t="s">
        <v>1168</v>
      </c>
      <c r="L647" s="4" t="s">
        <v>3590</v>
      </c>
      <c r="M647" s="43"/>
      <c r="N647" s="255">
        <v>500</v>
      </c>
      <c r="O647" s="265">
        <v>100</v>
      </c>
      <c r="P647" s="270">
        <v>1</v>
      </c>
      <c r="Q647" s="255">
        <v>500</v>
      </c>
      <c r="R647" s="283">
        <v>500</v>
      </c>
      <c r="S647" s="283">
        <v>400</v>
      </c>
      <c r="T647" s="287">
        <v>0</v>
      </c>
      <c r="U647" s="287">
        <v>0</v>
      </c>
      <c r="V647" s="287">
        <v>0</v>
      </c>
      <c r="W647" s="283">
        <v>0</v>
      </c>
      <c r="X647" s="283">
        <v>0</v>
      </c>
      <c r="Y647" s="199" t="s">
        <v>1395</v>
      </c>
      <c r="Z647" s="517" t="s">
        <v>5547</v>
      </c>
      <c r="AA647" s="493"/>
      <c r="AB647" s="507"/>
    </row>
    <row r="648" spans="2:28" x14ac:dyDescent="0.15">
      <c r="B648" s="331" t="s">
        <v>3607</v>
      </c>
      <c r="C648" s="528">
        <v>43154</v>
      </c>
      <c r="D648" s="198" t="s">
        <v>3601</v>
      </c>
      <c r="E648" s="53" t="s">
        <v>1396</v>
      </c>
      <c r="F648" s="376" t="s">
        <v>3792</v>
      </c>
      <c r="G648" s="3" t="s">
        <v>50</v>
      </c>
      <c r="H648" s="53" t="s">
        <v>381</v>
      </c>
      <c r="I648" s="3" t="s">
        <v>1408</v>
      </c>
      <c r="J648" s="4" t="s">
        <v>271</v>
      </c>
      <c r="K648" s="4" t="s">
        <v>1160</v>
      </c>
      <c r="L648" s="4" t="s">
        <v>1951</v>
      </c>
      <c r="M648" s="43" t="s">
        <v>3602</v>
      </c>
      <c r="N648" s="255">
        <v>220000</v>
      </c>
      <c r="O648" s="265">
        <v>100</v>
      </c>
      <c r="P648" s="270">
        <v>1</v>
      </c>
      <c r="Q648" s="255">
        <v>220000</v>
      </c>
      <c r="R648" s="283">
        <v>220000</v>
      </c>
      <c r="S648" s="283">
        <v>63786</v>
      </c>
      <c r="T648" s="287">
        <v>0</v>
      </c>
      <c r="U648" s="287">
        <v>1</v>
      </c>
      <c r="V648" s="287">
        <v>0</v>
      </c>
      <c r="W648" s="283">
        <v>25384</v>
      </c>
      <c r="X648" s="283">
        <v>0</v>
      </c>
      <c r="Y648" s="199" t="s">
        <v>1392</v>
      </c>
      <c r="Z648" s="517" t="s">
        <v>5532</v>
      </c>
      <c r="AA648" s="493" t="s">
        <v>1485</v>
      </c>
      <c r="AB648" s="507"/>
    </row>
    <row r="649" spans="2:28" x14ac:dyDescent="0.15">
      <c r="B649" s="331" t="s">
        <v>3609</v>
      </c>
      <c r="C649" s="528">
        <v>43154</v>
      </c>
      <c r="D649" s="198" t="s">
        <v>3605</v>
      </c>
      <c r="E649" s="53" t="s">
        <v>1396</v>
      </c>
      <c r="F649" s="376" t="s">
        <v>3792</v>
      </c>
      <c r="G649" s="3" t="s">
        <v>50</v>
      </c>
      <c r="H649" s="53" t="s">
        <v>381</v>
      </c>
      <c r="I649" s="3" t="s">
        <v>1408</v>
      </c>
      <c r="J649" s="4" t="s">
        <v>271</v>
      </c>
      <c r="K649" s="4" t="s">
        <v>1160</v>
      </c>
      <c r="L649" s="4" t="s">
        <v>1503</v>
      </c>
      <c r="M649" s="43" t="s">
        <v>3606</v>
      </c>
      <c r="N649" s="255">
        <v>234000</v>
      </c>
      <c r="O649" s="265">
        <v>100</v>
      </c>
      <c r="P649" s="270">
        <v>1</v>
      </c>
      <c r="Q649" s="255">
        <v>234000</v>
      </c>
      <c r="R649" s="283">
        <v>234000</v>
      </c>
      <c r="S649" s="283">
        <v>58786</v>
      </c>
      <c r="T649" s="287">
        <v>0</v>
      </c>
      <c r="U649" s="287">
        <v>1</v>
      </c>
      <c r="V649" s="287">
        <v>0</v>
      </c>
      <c r="W649" s="283">
        <v>27000</v>
      </c>
      <c r="X649" s="283">
        <v>0</v>
      </c>
      <c r="Y649" s="199" t="s">
        <v>1392</v>
      </c>
      <c r="Z649" s="517" t="s">
        <v>5166</v>
      </c>
      <c r="AA649" s="493" t="s">
        <v>1485</v>
      </c>
      <c r="AB649" s="507"/>
    </row>
    <row r="650" spans="2:28" x14ac:dyDescent="0.15">
      <c r="B650" s="331" t="s">
        <v>3611</v>
      </c>
      <c r="C650" s="528">
        <v>43157</v>
      </c>
      <c r="D650" s="198" t="s">
        <v>3626</v>
      </c>
      <c r="E650" s="53" t="s">
        <v>1396</v>
      </c>
      <c r="F650" s="376" t="s">
        <v>21</v>
      </c>
      <c r="G650" s="3" t="s">
        <v>50</v>
      </c>
      <c r="H650" s="198" t="s">
        <v>2019</v>
      </c>
      <c r="I650" s="3" t="s">
        <v>2021</v>
      </c>
      <c r="J650" s="4" t="s">
        <v>294</v>
      </c>
      <c r="K650" s="4" t="s">
        <v>1165</v>
      </c>
      <c r="L650" s="4" t="s">
        <v>1165</v>
      </c>
      <c r="M650" s="43"/>
      <c r="N650" s="255">
        <v>42000</v>
      </c>
      <c r="O650" s="265">
        <v>60</v>
      </c>
      <c r="P650" s="270">
        <v>1</v>
      </c>
      <c r="Q650" s="255">
        <v>25200</v>
      </c>
      <c r="R650" s="283">
        <v>25200</v>
      </c>
      <c r="S650" s="283">
        <v>7160</v>
      </c>
      <c r="T650" s="287">
        <v>0</v>
      </c>
      <c r="U650" s="287">
        <v>0</v>
      </c>
      <c r="V650" s="287">
        <v>0</v>
      </c>
      <c r="W650" s="283">
        <v>2520</v>
      </c>
      <c r="X650" s="283">
        <v>0</v>
      </c>
      <c r="Y650" s="199" t="s">
        <v>1392</v>
      </c>
      <c r="Z650" s="517" t="s">
        <v>5449</v>
      </c>
      <c r="AA650" s="493"/>
      <c r="AB650" s="507"/>
    </row>
    <row r="651" spans="2:28" x14ac:dyDescent="0.15">
      <c r="B651" s="331" t="s">
        <v>3614</v>
      </c>
      <c r="C651" s="528">
        <v>43157</v>
      </c>
      <c r="D651" s="198" t="s">
        <v>3626</v>
      </c>
      <c r="E651" s="53" t="s">
        <v>1396</v>
      </c>
      <c r="F651" s="376" t="s">
        <v>21</v>
      </c>
      <c r="G651" s="3" t="s">
        <v>50</v>
      </c>
      <c r="H651" s="198" t="s">
        <v>2019</v>
      </c>
      <c r="I651" s="3" t="s">
        <v>2021</v>
      </c>
      <c r="J651" s="4" t="s">
        <v>299</v>
      </c>
      <c r="K651" s="4" t="s">
        <v>373</v>
      </c>
      <c r="L651" s="4" t="s">
        <v>3627</v>
      </c>
      <c r="M651" s="43"/>
      <c r="N651" s="255">
        <v>30000</v>
      </c>
      <c r="O651" s="265">
        <v>100</v>
      </c>
      <c r="P651" s="270">
        <v>1</v>
      </c>
      <c r="Q651" s="255">
        <v>30000</v>
      </c>
      <c r="R651" s="283">
        <v>30000</v>
      </c>
      <c r="S651" s="283">
        <v>8078</v>
      </c>
      <c r="T651" s="287">
        <v>0</v>
      </c>
      <c r="U651" s="287">
        <v>0</v>
      </c>
      <c r="V651" s="287">
        <v>0</v>
      </c>
      <c r="W651" s="283">
        <v>21922</v>
      </c>
      <c r="X651" s="283">
        <v>0</v>
      </c>
      <c r="Y651" s="199" t="s">
        <v>1392</v>
      </c>
      <c r="Z651" s="517" t="s">
        <v>5449</v>
      </c>
      <c r="AA651" s="493"/>
      <c r="AB651" s="507"/>
    </row>
    <row r="652" spans="2:28" x14ac:dyDescent="0.15">
      <c r="B652" s="331" t="s">
        <v>3625</v>
      </c>
      <c r="C652" s="528">
        <v>43158</v>
      </c>
      <c r="D652" s="198" t="s">
        <v>3608</v>
      </c>
      <c r="E652" s="53" t="s">
        <v>1396</v>
      </c>
      <c r="F652" s="376" t="s">
        <v>3790</v>
      </c>
      <c r="G652" s="3" t="s">
        <v>368</v>
      </c>
      <c r="H652" s="53" t="s">
        <v>792</v>
      </c>
      <c r="I652" s="3" t="s">
        <v>1413</v>
      </c>
      <c r="J652" s="4" t="s">
        <v>295</v>
      </c>
      <c r="K652" s="4" t="s">
        <v>1166</v>
      </c>
      <c r="L652" s="4" t="s">
        <v>1512</v>
      </c>
      <c r="M652" s="43"/>
      <c r="N652" s="255">
        <v>34000</v>
      </c>
      <c r="O652" s="265">
        <v>65</v>
      </c>
      <c r="P652" s="270">
        <v>1</v>
      </c>
      <c r="Q652" s="255">
        <v>22100</v>
      </c>
      <c r="R652" s="283">
        <v>22100</v>
      </c>
      <c r="S652" s="283">
        <v>4950</v>
      </c>
      <c r="T652" s="287">
        <v>0</v>
      </c>
      <c r="U652" s="287">
        <v>0</v>
      </c>
      <c r="V652" s="287">
        <v>0</v>
      </c>
      <c r="W652" s="283">
        <v>2550</v>
      </c>
      <c r="X652" s="283">
        <v>0</v>
      </c>
      <c r="Y652" s="199" t="s">
        <v>1392</v>
      </c>
      <c r="Z652" s="517" t="s">
        <v>5166</v>
      </c>
      <c r="AA652" s="493" t="s">
        <v>1485</v>
      </c>
      <c r="AB652" s="507"/>
    </row>
    <row r="653" spans="2:28" x14ac:dyDescent="0.15">
      <c r="B653" s="331" t="s">
        <v>3628</v>
      </c>
      <c r="C653" s="528">
        <v>43159</v>
      </c>
      <c r="D653" s="198" t="s">
        <v>3629</v>
      </c>
      <c r="E653" s="53" t="s">
        <v>1391</v>
      </c>
      <c r="F653" s="376" t="s">
        <v>3783</v>
      </c>
      <c r="G653" s="3" t="s">
        <v>362</v>
      </c>
      <c r="H653" s="198" t="s">
        <v>689</v>
      </c>
      <c r="I653" s="3" t="s">
        <v>1394</v>
      </c>
      <c r="J653" s="4" t="s">
        <v>262</v>
      </c>
      <c r="K653" s="4" t="s">
        <v>365</v>
      </c>
      <c r="L653" s="4" t="s">
        <v>2235</v>
      </c>
      <c r="M653" s="43" t="s">
        <v>3630</v>
      </c>
      <c r="N653" s="255">
        <v>260000</v>
      </c>
      <c r="O653" s="265">
        <v>55</v>
      </c>
      <c r="P653" s="270">
        <v>1</v>
      </c>
      <c r="Q653" s="255">
        <v>143000</v>
      </c>
      <c r="R653" s="283">
        <v>143000</v>
      </c>
      <c r="S653" s="283">
        <v>45292</v>
      </c>
      <c r="T653" s="287">
        <v>1</v>
      </c>
      <c r="U653" s="287">
        <v>0</v>
      </c>
      <c r="V653" s="287">
        <v>0</v>
      </c>
      <c r="W653" s="283">
        <v>0</v>
      </c>
      <c r="X653" s="283">
        <v>0</v>
      </c>
      <c r="Y653" s="199" t="s">
        <v>1395</v>
      </c>
      <c r="Z653" s="517" t="s">
        <v>5166</v>
      </c>
      <c r="AA653" s="493" t="s">
        <v>1485</v>
      </c>
      <c r="AB653" s="507"/>
    </row>
    <row r="654" spans="2:28" x14ac:dyDescent="0.15">
      <c r="B654" s="331" t="s">
        <v>3631</v>
      </c>
      <c r="C654" s="528">
        <v>43160</v>
      </c>
      <c r="D654" s="198" t="s">
        <v>3583</v>
      </c>
      <c r="E654" s="53" t="s">
        <v>1396</v>
      </c>
      <c r="F654" s="376" t="s">
        <v>3785</v>
      </c>
      <c r="G654" s="3" t="s">
        <v>1110</v>
      </c>
      <c r="H654" s="53" t="s">
        <v>803</v>
      </c>
      <c r="I654" s="3" t="s">
        <v>1542</v>
      </c>
      <c r="J654" s="4" t="s">
        <v>262</v>
      </c>
      <c r="K654" s="4" t="s">
        <v>365</v>
      </c>
      <c r="L654" s="4" t="s">
        <v>2238</v>
      </c>
      <c r="M654" s="43" t="s">
        <v>3584</v>
      </c>
      <c r="N654" s="255">
        <v>260000</v>
      </c>
      <c r="O654" s="265">
        <v>60</v>
      </c>
      <c r="P654" s="270">
        <v>1</v>
      </c>
      <c r="Q654" s="255">
        <v>156000</v>
      </c>
      <c r="R654" s="283">
        <v>156000</v>
      </c>
      <c r="S654" s="283">
        <v>62292</v>
      </c>
      <c r="T654" s="287">
        <v>1</v>
      </c>
      <c r="U654" s="287">
        <v>0</v>
      </c>
      <c r="V654" s="287">
        <v>0</v>
      </c>
      <c r="W654" s="283">
        <v>0</v>
      </c>
      <c r="X654" s="283">
        <v>0</v>
      </c>
      <c r="Y654" s="199" t="s">
        <v>1395</v>
      </c>
      <c r="Z654" s="517" t="s">
        <v>5449</v>
      </c>
      <c r="AA654" s="493" t="s">
        <v>1485</v>
      </c>
      <c r="AB654" s="507"/>
    </row>
    <row r="655" spans="2:28" x14ac:dyDescent="0.15">
      <c r="B655" s="331" t="s">
        <v>3632</v>
      </c>
      <c r="C655" s="528">
        <v>43160</v>
      </c>
      <c r="D655" s="198" t="s">
        <v>3594</v>
      </c>
      <c r="E655" s="53" t="s">
        <v>1391</v>
      </c>
      <c r="F655" s="376" t="s">
        <v>3787</v>
      </c>
      <c r="G655" s="3" t="s">
        <v>364</v>
      </c>
      <c r="H655" s="53" t="s">
        <v>492</v>
      </c>
      <c r="I655" s="3" t="s">
        <v>1431</v>
      </c>
      <c r="J655" s="4" t="s">
        <v>268</v>
      </c>
      <c r="K655" s="4" t="s">
        <v>1158</v>
      </c>
      <c r="L655" s="4" t="s">
        <v>1577</v>
      </c>
      <c r="M655" s="43" t="s">
        <v>3599</v>
      </c>
      <c r="N655" s="255">
        <v>260000</v>
      </c>
      <c r="O655" s="265">
        <v>60</v>
      </c>
      <c r="P655" s="270">
        <v>1</v>
      </c>
      <c r="Q655" s="255">
        <v>156000</v>
      </c>
      <c r="R655" s="283">
        <v>156000</v>
      </c>
      <c r="S655" s="283">
        <v>50892</v>
      </c>
      <c r="T655" s="287">
        <v>0</v>
      </c>
      <c r="U655" s="287">
        <v>1</v>
      </c>
      <c r="V655" s="287">
        <v>0</v>
      </c>
      <c r="W655" s="283">
        <v>15600</v>
      </c>
      <c r="X655" s="283">
        <v>0</v>
      </c>
      <c r="Y655" s="199" t="s">
        <v>1392</v>
      </c>
      <c r="Z655" s="517" t="s">
        <v>5167</v>
      </c>
      <c r="AA655" s="493" t="s">
        <v>1485</v>
      </c>
      <c r="AB655" s="507"/>
    </row>
    <row r="656" spans="2:28" x14ac:dyDescent="0.15">
      <c r="B656" s="331" t="s">
        <v>3633</v>
      </c>
      <c r="C656" s="528">
        <v>43160</v>
      </c>
      <c r="D656" s="198" t="s">
        <v>3601</v>
      </c>
      <c r="E656" s="53" t="s">
        <v>1391</v>
      </c>
      <c r="F656" s="376" t="s">
        <v>3783</v>
      </c>
      <c r="G656" s="3" t="s">
        <v>362</v>
      </c>
      <c r="H656" s="198" t="s">
        <v>689</v>
      </c>
      <c r="I656" s="3" t="s">
        <v>1394</v>
      </c>
      <c r="J656" s="4" t="s">
        <v>261</v>
      </c>
      <c r="K656" s="4" t="s">
        <v>1153</v>
      </c>
      <c r="L656" s="4" t="s">
        <v>2096</v>
      </c>
      <c r="M656" s="43" t="s">
        <v>3634</v>
      </c>
      <c r="N656" s="255">
        <v>270000</v>
      </c>
      <c r="O656" s="265">
        <v>55</v>
      </c>
      <c r="P656" s="270">
        <v>1</v>
      </c>
      <c r="Q656" s="255">
        <v>148500</v>
      </c>
      <c r="R656" s="283">
        <v>148500</v>
      </c>
      <c r="S656" s="283">
        <v>45841</v>
      </c>
      <c r="T656" s="287">
        <v>0</v>
      </c>
      <c r="U656" s="287">
        <v>1</v>
      </c>
      <c r="V656" s="287">
        <v>0</v>
      </c>
      <c r="W656" s="283">
        <v>0</v>
      </c>
      <c r="X656" s="283">
        <v>0</v>
      </c>
      <c r="Y656" s="199" t="s">
        <v>1392</v>
      </c>
      <c r="Z656" s="517" t="s">
        <v>5166</v>
      </c>
      <c r="AA656" s="493" t="s">
        <v>1485</v>
      </c>
      <c r="AB656" s="507"/>
    </row>
    <row r="657" spans="2:28" x14ac:dyDescent="0.15">
      <c r="B657" s="331" t="s">
        <v>3635</v>
      </c>
      <c r="C657" s="528">
        <v>43161</v>
      </c>
      <c r="D657" s="198" t="s">
        <v>3629</v>
      </c>
      <c r="E657" s="53" t="s">
        <v>1391</v>
      </c>
      <c r="F657" s="376" t="s">
        <v>3786</v>
      </c>
      <c r="G657" s="3" t="s">
        <v>364</v>
      </c>
      <c r="H657" s="198" t="s">
        <v>420</v>
      </c>
      <c r="I657" s="3" t="s">
        <v>3509</v>
      </c>
      <c r="J657" s="4" t="s">
        <v>311</v>
      </c>
      <c r="K657" s="4" t="s">
        <v>2445</v>
      </c>
      <c r="L657" s="4" t="s">
        <v>2448</v>
      </c>
      <c r="M657" s="43" t="s">
        <v>3636</v>
      </c>
      <c r="N657" s="255">
        <v>250000</v>
      </c>
      <c r="O657" s="265">
        <v>100</v>
      </c>
      <c r="P657" s="270">
        <v>1</v>
      </c>
      <c r="Q657" s="255">
        <v>250000</v>
      </c>
      <c r="R657" s="283">
        <v>250000</v>
      </c>
      <c r="S657" s="283">
        <v>58340</v>
      </c>
      <c r="T657" s="287">
        <v>0</v>
      </c>
      <c r="U657" s="287">
        <v>1</v>
      </c>
      <c r="V657" s="287">
        <v>0</v>
      </c>
      <c r="W657" s="283">
        <v>17280</v>
      </c>
      <c r="X657" s="283">
        <v>0</v>
      </c>
      <c r="Y657" s="199" t="s">
        <v>1392</v>
      </c>
      <c r="Z657" s="517" t="s">
        <v>5166</v>
      </c>
      <c r="AA657" s="493" t="s">
        <v>1485</v>
      </c>
      <c r="AB657" s="507"/>
    </row>
    <row r="658" spans="2:28" x14ac:dyDescent="0.15">
      <c r="B658" s="331" t="s">
        <v>3637</v>
      </c>
      <c r="C658" s="528">
        <v>43161</v>
      </c>
      <c r="D658" s="198" t="s">
        <v>3638</v>
      </c>
      <c r="E658" s="53" t="s">
        <v>1391</v>
      </c>
      <c r="F658" s="376" t="s">
        <v>2834</v>
      </c>
      <c r="G658" s="3" t="s">
        <v>3559</v>
      </c>
      <c r="H658" s="198" t="s">
        <v>534</v>
      </c>
      <c r="I658" s="3"/>
      <c r="J658" s="4" t="s">
        <v>295</v>
      </c>
      <c r="K658" s="4" t="s">
        <v>1166</v>
      </c>
      <c r="L658" s="4" t="s">
        <v>1483</v>
      </c>
      <c r="M658" s="43"/>
      <c r="N658" s="255">
        <v>33000</v>
      </c>
      <c r="O658" s="265">
        <v>65</v>
      </c>
      <c r="P658" s="270">
        <v>1</v>
      </c>
      <c r="Q658" s="255">
        <v>21450</v>
      </c>
      <c r="R658" s="283">
        <v>21450</v>
      </c>
      <c r="S658" s="283">
        <v>7300</v>
      </c>
      <c r="T658" s="287">
        <v>0</v>
      </c>
      <c r="U658" s="287">
        <v>0</v>
      </c>
      <c r="V658" s="287">
        <v>0</v>
      </c>
      <c r="W658" s="283">
        <v>0</v>
      </c>
      <c r="X658" s="283">
        <v>0</v>
      </c>
      <c r="Y658" s="199" t="s">
        <v>1395</v>
      </c>
      <c r="Z658" s="517" t="s">
        <v>5170</v>
      </c>
      <c r="AA658" s="493" t="s">
        <v>1485</v>
      </c>
      <c r="AB658" s="507"/>
    </row>
    <row r="659" spans="2:28" x14ac:dyDescent="0.15">
      <c r="B659" s="331" t="s">
        <v>3639</v>
      </c>
      <c r="C659" s="528">
        <v>43161</v>
      </c>
      <c r="D659" s="198" t="s">
        <v>3640</v>
      </c>
      <c r="E659" s="53" t="s">
        <v>1391</v>
      </c>
      <c r="F659" s="376" t="s">
        <v>3786</v>
      </c>
      <c r="G659" s="3" t="s">
        <v>364</v>
      </c>
      <c r="H659" s="198" t="s">
        <v>444</v>
      </c>
      <c r="I659" s="3" t="s">
        <v>1440</v>
      </c>
      <c r="J659" s="4" t="s">
        <v>262</v>
      </c>
      <c r="K659" s="4" t="s">
        <v>365</v>
      </c>
      <c r="L659" s="4" t="s">
        <v>3641</v>
      </c>
      <c r="M659" s="43" t="s">
        <v>3642</v>
      </c>
      <c r="N659" s="255">
        <v>275000</v>
      </c>
      <c r="O659" s="265">
        <v>60</v>
      </c>
      <c r="P659" s="270">
        <v>1</v>
      </c>
      <c r="Q659" s="255">
        <v>165000</v>
      </c>
      <c r="R659" s="283">
        <v>165000</v>
      </c>
      <c r="S659" s="283">
        <v>53292</v>
      </c>
      <c r="T659" s="287">
        <v>0</v>
      </c>
      <c r="U659" s="287">
        <v>1</v>
      </c>
      <c r="V659" s="287">
        <v>0</v>
      </c>
      <c r="W659" s="283">
        <v>16500</v>
      </c>
      <c r="X659" s="283">
        <v>0</v>
      </c>
      <c r="Y659" s="199" t="s">
        <v>1392</v>
      </c>
      <c r="Z659" s="517" t="s">
        <v>5543</v>
      </c>
      <c r="AA659" s="493" t="s">
        <v>1485</v>
      </c>
      <c r="AB659" s="507"/>
    </row>
    <row r="660" spans="2:28" x14ac:dyDescent="0.15">
      <c r="B660" s="331" t="s">
        <v>3643</v>
      </c>
      <c r="C660" s="528">
        <v>43161</v>
      </c>
      <c r="D660" s="198" t="s">
        <v>3644</v>
      </c>
      <c r="E660" s="53" t="s">
        <v>1391</v>
      </c>
      <c r="F660" s="376" t="s">
        <v>3621</v>
      </c>
      <c r="G660" s="3" t="s">
        <v>3645</v>
      </c>
      <c r="H660" s="198" t="s">
        <v>534</v>
      </c>
      <c r="I660" s="3"/>
      <c r="J660" s="4" t="s">
        <v>299</v>
      </c>
      <c r="K660" s="4" t="s">
        <v>373</v>
      </c>
      <c r="L660" s="4" t="s">
        <v>3646</v>
      </c>
      <c r="M660" s="43"/>
      <c r="N660" s="255">
        <v>13500</v>
      </c>
      <c r="O660" s="265">
        <v>100</v>
      </c>
      <c r="P660" s="270">
        <v>1</v>
      </c>
      <c r="Q660" s="255">
        <v>13500</v>
      </c>
      <c r="R660" s="283">
        <v>13500</v>
      </c>
      <c r="S660" s="283">
        <v>3043</v>
      </c>
      <c r="T660" s="287">
        <v>0</v>
      </c>
      <c r="U660" s="287">
        <v>0</v>
      </c>
      <c r="V660" s="287">
        <v>0</v>
      </c>
      <c r="W660" s="283">
        <v>1557</v>
      </c>
      <c r="X660" s="283">
        <v>0</v>
      </c>
      <c r="Y660" s="199" t="s">
        <v>1392</v>
      </c>
      <c r="Z660" s="517" t="s">
        <v>5167</v>
      </c>
      <c r="AA660" s="493" t="s">
        <v>1485</v>
      </c>
      <c r="AB660" s="507"/>
    </row>
    <row r="661" spans="2:28" x14ac:dyDescent="0.15">
      <c r="B661" s="331" t="s">
        <v>3647</v>
      </c>
      <c r="C661" s="528">
        <v>43161</v>
      </c>
      <c r="D661" s="198" t="s">
        <v>3648</v>
      </c>
      <c r="E661" s="53" t="s">
        <v>358</v>
      </c>
      <c r="F661" s="376" t="s">
        <v>3823</v>
      </c>
      <c r="G661" s="3" t="s">
        <v>3649</v>
      </c>
      <c r="H661" s="198" t="s">
        <v>534</v>
      </c>
      <c r="I661" s="3"/>
      <c r="J661" s="4" t="s">
        <v>299</v>
      </c>
      <c r="K661" s="4" t="s">
        <v>373</v>
      </c>
      <c r="L661" s="4" t="s">
        <v>3650</v>
      </c>
      <c r="M661" s="43"/>
      <c r="N661" s="255">
        <v>27000</v>
      </c>
      <c r="O661" s="265">
        <v>100</v>
      </c>
      <c r="P661" s="270">
        <v>1</v>
      </c>
      <c r="Q661" s="255">
        <v>27000</v>
      </c>
      <c r="R661" s="283">
        <v>27000</v>
      </c>
      <c r="S661" s="283">
        <v>7270</v>
      </c>
      <c r="T661" s="287">
        <v>0</v>
      </c>
      <c r="U661" s="287">
        <v>0</v>
      </c>
      <c r="V661" s="287">
        <v>0</v>
      </c>
      <c r="W661" s="283">
        <v>19730</v>
      </c>
      <c r="X661" s="283">
        <v>0</v>
      </c>
      <c r="Y661" s="199" t="s">
        <v>3651</v>
      </c>
      <c r="Z661" s="517" t="s">
        <v>5532</v>
      </c>
      <c r="AA661" s="493" t="s">
        <v>1485</v>
      </c>
      <c r="AB661" s="507"/>
    </row>
    <row r="662" spans="2:28" x14ac:dyDescent="0.15">
      <c r="B662" s="331" t="s">
        <v>3652</v>
      </c>
      <c r="C662" s="528">
        <v>43161</v>
      </c>
      <c r="D662" s="198" t="s">
        <v>3653</v>
      </c>
      <c r="E662" s="53" t="s">
        <v>1391</v>
      </c>
      <c r="F662" s="376" t="s">
        <v>3786</v>
      </c>
      <c r="G662" s="3" t="s">
        <v>364</v>
      </c>
      <c r="H662" s="198" t="s">
        <v>461</v>
      </c>
      <c r="I662" s="3" t="s">
        <v>1600</v>
      </c>
      <c r="J662" s="4" t="s">
        <v>262</v>
      </c>
      <c r="K662" s="4" t="s">
        <v>365</v>
      </c>
      <c r="L662" s="4" t="s">
        <v>1690</v>
      </c>
      <c r="M662" s="43" t="s">
        <v>3654</v>
      </c>
      <c r="N662" s="255">
        <v>198000</v>
      </c>
      <c r="O662" s="265">
        <v>100</v>
      </c>
      <c r="P662" s="270">
        <v>1</v>
      </c>
      <c r="Q662" s="255">
        <v>198000</v>
      </c>
      <c r="R662" s="283">
        <v>198000</v>
      </c>
      <c r="S662" s="283">
        <v>56829</v>
      </c>
      <c r="T662" s="287">
        <v>0</v>
      </c>
      <c r="U662" s="287">
        <v>1</v>
      </c>
      <c r="V662" s="287">
        <v>0</v>
      </c>
      <c r="W662" s="283">
        <v>22846</v>
      </c>
      <c r="X662" s="283">
        <v>0</v>
      </c>
      <c r="Y662" s="199" t="s">
        <v>1392</v>
      </c>
      <c r="Z662" s="517" t="s">
        <v>5166</v>
      </c>
      <c r="AA662" s="493" t="s">
        <v>1485</v>
      </c>
      <c r="AB662" s="507"/>
    </row>
    <row r="663" spans="2:28" x14ac:dyDescent="0.15">
      <c r="B663" s="331" t="s">
        <v>3655</v>
      </c>
      <c r="C663" s="528">
        <v>43161</v>
      </c>
      <c r="D663" s="198" t="s">
        <v>3656</v>
      </c>
      <c r="E663" s="53" t="s">
        <v>1391</v>
      </c>
      <c r="F663" s="376" t="s">
        <v>3786</v>
      </c>
      <c r="G663" s="3" t="s">
        <v>364</v>
      </c>
      <c r="H663" s="198" t="s">
        <v>461</v>
      </c>
      <c r="I663" s="3" t="s">
        <v>1600</v>
      </c>
      <c r="J663" s="4" t="s">
        <v>262</v>
      </c>
      <c r="K663" s="4" t="s">
        <v>365</v>
      </c>
      <c r="L663" s="4" t="s">
        <v>2289</v>
      </c>
      <c r="M663" s="43" t="s">
        <v>3657</v>
      </c>
      <c r="N663" s="255">
        <v>157200</v>
      </c>
      <c r="O663" s="265">
        <v>100</v>
      </c>
      <c r="P663" s="270">
        <v>1</v>
      </c>
      <c r="Q663" s="255">
        <v>157200</v>
      </c>
      <c r="R663" s="283">
        <v>157200</v>
      </c>
      <c r="S663" s="283">
        <v>43091</v>
      </c>
      <c r="T663" s="287">
        <v>0</v>
      </c>
      <c r="U663" s="287">
        <v>1</v>
      </c>
      <c r="V663" s="287">
        <v>0</v>
      </c>
      <c r="W663" s="283">
        <v>18138</v>
      </c>
      <c r="X663" s="283">
        <v>0</v>
      </c>
      <c r="Y663" s="199" t="s">
        <v>1392</v>
      </c>
      <c r="Z663" s="517" t="s">
        <v>5542</v>
      </c>
      <c r="AA663" s="493" t="s">
        <v>1485</v>
      </c>
      <c r="AB663" s="507"/>
    </row>
    <row r="664" spans="2:28" x14ac:dyDescent="0.15">
      <c r="B664" s="331" t="s">
        <v>3658</v>
      </c>
      <c r="C664" s="528">
        <v>43161</v>
      </c>
      <c r="D664" s="198" t="s">
        <v>3659</v>
      </c>
      <c r="E664" s="53" t="s">
        <v>1391</v>
      </c>
      <c r="F664" s="376" t="s">
        <v>3786</v>
      </c>
      <c r="G664" s="3" t="s">
        <v>364</v>
      </c>
      <c r="H664" s="198" t="s">
        <v>461</v>
      </c>
      <c r="I664" s="3" t="s">
        <v>1600</v>
      </c>
      <c r="J664" s="4" t="s">
        <v>1402</v>
      </c>
      <c r="K664" s="4" t="s">
        <v>1403</v>
      </c>
      <c r="L664" s="4" t="s">
        <v>3660</v>
      </c>
      <c r="M664" s="43" t="s">
        <v>3661</v>
      </c>
      <c r="N664" s="255">
        <v>180000</v>
      </c>
      <c r="O664" s="265">
        <v>100</v>
      </c>
      <c r="P664" s="270">
        <v>1</v>
      </c>
      <c r="Q664" s="255">
        <v>180000</v>
      </c>
      <c r="R664" s="283">
        <v>180000</v>
      </c>
      <c r="S664" s="283">
        <v>39840</v>
      </c>
      <c r="T664" s="287">
        <v>0</v>
      </c>
      <c r="U664" s="287">
        <v>1</v>
      </c>
      <c r="V664" s="287">
        <v>0</v>
      </c>
      <c r="W664" s="283">
        <v>20769</v>
      </c>
      <c r="X664" s="283">
        <v>0</v>
      </c>
      <c r="Y664" s="199" t="s">
        <v>1392</v>
      </c>
      <c r="Z664" s="517" t="s">
        <v>5542</v>
      </c>
      <c r="AA664" s="493" t="s">
        <v>1485</v>
      </c>
      <c r="AB664" s="507"/>
    </row>
    <row r="665" spans="2:28" x14ac:dyDescent="0.15">
      <c r="B665" s="331" t="s">
        <v>3662</v>
      </c>
      <c r="C665" s="528">
        <v>43161</v>
      </c>
      <c r="D665" s="198" t="s">
        <v>3663</v>
      </c>
      <c r="E665" s="53" t="s">
        <v>1391</v>
      </c>
      <c r="F665" s="376" t="s">
        <v>3786</v>
      </c>
      <c r="G665" s="3" t="s">
        <v>364</v>
      </c>
      <c r="H665" s="198" t="s">
        <v>444</v>
      </c>
      <c r="I665" s="3" t="s">
        <v>1440</v>
      </c>
      <c r="J665" s="4" t="s">
        <v>268</v>
      </c>
      <c r="K665" s="4" t="s">
        <v>1158</v>
      </c>
      <c r="L665" s="4" t="s">
        <v>3664</v>
      </c>
      <c r="M665" s="43" t="s">
        <v>3665</v>
      </c>
      <c r="N665" s="255">
        <v>330000</v>
      </c>
      <c r="O665" s="265">
        <v>65</v>
      </c>
      <c r="P665" s="270">
        <v>1</v>
      </c>
      <c r="Q665" s="255">
        <v>214500</v>
      </c>
      <c r="R665" s="283">
        <v>214500</v>
      </c>
      <c r="S665" s="283">
        <v>49072</v>
      </c>
      <c r="T665" s="287">
        <v>0</v>
      </c>
      <c r="U665" s="287">
        <v>1</v>
      </c>
      <c r="V665" s="287">
        <v>0</v>
      </c>
      <c r="W665" s="283">
        <v>24750</v>
      </c>
      <c r="X665" s="283">
        <v>0</v>
      </c>
      <c r="Y665" s="199" t="s">
        <v>1392</v>
      </c>
      <c r="Z665" s="517" t="s">
        <v>5166</v>
      </c>
      <c r="AA665" s="493" t="s">
        <v>1485</v>
      </c>
      <c r="AB665" s="507"/>
    </row>
    <row r="666" spans="2:28" x14ac:dyDescent="0.15">
      <c r="B666" s="331" t="s">
        <v>3666</v>
      </c>
      <c r="C666" s="528">
        <v>43161</v>
      </c>
      <c r="D666" s="198" t="s">
        <v>3667</v>
      </c>
      <c r="E666" s="53" t="s">
        <v>1396</v>
      </c>
      <c r="F666" s="376" t="s">
        <v>3791</v>
      </c>
      <c r="G666" s="3" t="s">
        <v>1321</v>
      </c>
      <c r="H666" s="198" t="s">
        <v>534</v>
      </c>
      <c r="I666" s="3"/>
      <c r="J666" s="4" t="s">
        <v>299</v>
      </c>
      <c r="K666" s="4" t="s">
        <v>373</v>
      </c>
      <c r="L666" s="4" t="s">
        <v>3668</v>
      </c>
      <c r="M666" s="43"/>
      <c r="N666" s="255">
        <v>3000</v>
      </c>
      <c r="O666" s="265">
        <v>100</v>
      </c>
      <c r="P666" s="270">
        <v>-1</v>
      </c>
      <c r="Q666" s="255">
        <v>3000</v>
      </c>
      <c r="R666" s="283">
        <v>-3000</v>
      </c>
      <c r="S666" s="283">
        <v>-3000</v>
      </c>
      <c r="T666" s="287">
        <v>0</v>
      </c>
      <c r="U666" s="287">
        <v>0</v>
      </c>
      <c r="V666" s="287">
        <v>0</v>
      </c>
      <c r="W666" s="283">
        <v>3000</v>
      </c>
      <c r="X666" s="283">
        <v>0</v>
      </c>
      <c r="Y666" s="199" t="s">
        <v>1392</v>
      </c>
      <c r="Z666" s="517" t="s">
        <v>5449</v>
      </c>
      <c r="AA666" s="493"/>
      <c r="AB666" s="507"/>
    </row>
    <row r="667" spans="2:28" x14ac:dyDescent="0.15">
      <c r="B667" s="331" t="s">
        <v>3669</v>
      </c>
      <c r="C667" s="528">
        <v>43165</v>
      </c>
      <c r="D667" s="198" t="s">
        <v>3670</v>
      </c>
      <c r="E667" s="53" t="s">
        <v>1396</v>
      </c>
      <c r="F667" s="376" t="s">
        <v>21</v>
      </c>
      <c r="G667" s="3" t="s">
        <v>50</v>
      </c>
      <c r="H667" s="198" t="s">
        <v>381</v>
      </c>
      <c r="I667" s="3" t="s">
        <v>1408</v>
      </c>
      <c r="J667" s="4" t="s">
        <v>272</v>
      </c>
      <c r="K667" s="4" t="s">
        <v>363</v>
      </c>
      <c r="L667" s="4" t="s">
        <v>1916</v>
      </c>
      <c r="M667" s="43" t="s">
        <v>3671</v>
      </c>
      <c r="N667" s="255">
        <v>238000</v>
      </c>
      <c r="O667" s="265">
        <v>100</v>
      </c>
      <c r="P667" s="270">
        <v>1</v>
      </c>
      <c r="Q667" s="255">
        <v>238000</v>
      </c>
      <c r="R667" s="283">
        <v>238000</v>
      </c>
      <c r="S667" s="283">
        <v>67208</v>
      </c>
      <c r="T667" s="287">
        <v>0</v>
      </c>
      <c r="U667" s="287">
        <v>1</v>
      </c>
      <c r="V667" s="287">
        <v>0</v>
      </c>
      <c r="W667" s="283">
        <v>27461</v>
      </c>
      <c r="X667" s="283">
        <v>0</v>
      </c>
      <c r="Y667" s="199" t="s">
        <v>1392</v>
      </c>
      <c r="Z667" s="517" t="s">
        <v>5166</v>
      </c>
      <c r="AA667" s="493" t="s">
        <v>1485</v>
      </c>
      <c r="AB667" s="507"/>
    </row>
    <row r="668" spans="2:28" x14ac:dyDescent="0.15">
      <c r="B668" s="331" t="s">
        <v>3672</v>
      </c>
      <c r="C668" s="528">
        <v>43165</v>
      </c>
      <c r="D668" s="198" t="s">
        <v>3673</v>
      </c>
      <c r="E668" s="53" t="s">
        <v>1396</v>
      </c>
      <c r="F668" s="376" t="s">
        <v>21</v>
      </c>
      <c r="G668" s="3" t="s">
        <v>50</v>
      </c>
      <c r="H668" s="198" t="s">
        <v>381</v>
      </c>
      <c r="I668" s="3" t="s">
        <v>1408</v>
      </c>
      <c r="J668" s="4" t="s">
        <v>271</v>
      </c>
      <c r="K668" s="4" t="s">
        <v>1160</v>
      </c>
      <c r="L668" s="4" t="s">
        <v>1642</v>
      </c>
      <c r="M668" s="43" t="s">
        <v>3674</v>
      </c>
      <c r="N668" s="255">
        <v>338000</v>
      </c>
      <c r="O668" s="265">
        <v>60</v>
      </c>
      <c r="P668" s="270">
        <v>-1</v>
      </c>
      <c r="Q668" s="255">
        <v>202800</v>
      </c>
      <c r="R668" s="283">
        <v>-202800</v>
      </c>
      <c r="S668" s="283">
        <v>-54006</v>
      </c>
      <c r="T668" s="287">
        <v>0</v>
      </c>
      <c r="U668" s="287">
        <v>-1</v>
      </c>
      <c r="V668" s="287">
        <v>0</v>
      </c>
      <c r="W668" s="283">
        <v>20280</v>
      </c>
      <c r="X668" s="283">
        <v>0</v>
      </c>
      <c r="Y668" s="199" t="s">
        <v>1392</v>
      </c>
      <c r="Z668" s="517" t="s">
        <v>5166</v>
      </c>
      <c r="AA668" s="493" t="s">
        <v>1485</v>
      </c>
      <c r="AB668" s="507"/>
    </row>
    <row r="669" spans="2:28" x14ac:dyDescent="0.15">
      <c r="B669" s="331" t="s">
        <v>3675</v>
      </c>
      <c r="C669" s="528">
        <v>43165</v>
      </c>
      <c r="D669" s="198" t="s">
        <v>3676</v>
      </c>
      <c r="E669" s="53" t="s">
        <v>1396</v>
      </c>
      <c r="F669" s="376" t="s">
        <v>3789</v>
      </c>
      <c r="G669" s="3" t="s">
        <v>368</v>
      </c>
      <c r="H669" s="198" t="s">
        <v>792</v>
      </c>
      <c r="I669" s="3" t="s">
        <v>1413</v>
      </c>
      <c r="J669" s="4" t="s">
        <v>295</v>
      </c>
      <c r="K669" s="4" t="s">
        <v>1166</v>
      </c>
      <c r="L669" s="4" t="s">
        <v>1483</v>
      </c>
      <c r="M669" s="43"/>
      <c r="N669" s="255">
        <v>33000</v>
      </c>
      <c r="O669" s="265">
        <v>65</v>
      </c>
      <c r="P669" s="270">
        <v>1</v>
      </c>
      <c r="Q669" s="255">
        <v>21450</v>
      </c>
      <c r="R669" s="283">
        <v>21450</v>
      </c>
      <c r="S669" s="283">
        <v>5725</v>
      </c>
      <c r="T669" s="287">
        <v>0</v>
      </c>
      <c r="U669" s="287">
        <v>0</v>
      </c>
      <c r="V669" s="287">
        <v>0</v>
      </c>
      <c r="W669" s="283">
        <v>2475</v>
      </c>
      <c r="X669" s="283">
        <v>0</v>
      </c>
      <c r="Y669" s="199" t="s">
        <v>1392</v>
      </c>
      <c r="Z669" s="517" t="s">
        <v>5543</v>
      </c>
      <c r="AA669" s="493" t="s">
        <v>1485</v>
      </c>
      <c r="AB669" s="507"/>
    </row>
    <row r="670" spans="2:28" x14ac:dyDescent="0.15">
      <c r="B670" s="331" t="s">
        <v>3677</v>
      </c>
      <c r="C670" s="528">
        <v>43165</v>
      </c>
      <c r="D670" s="198" t="s">
        <v>3678</v>
      </c>
      <c r="E670" s="53" t="s">
        <v>1391</v>
      </c>
      <c r="F670" s="376" t="s">
        <v>3786</v>
      </c>
      <c r="G670" s="3" t="s">
        <v>364</v>
      </c>
      <c r="H670" s="198" t="s">
        <v>444</v>
      </c>
      <c r="I670" s="3" t="s">
        <v>1440</v>
      </c>
      <c r="J670" s="4" t="s">
        <v>296</v>
      </c>
      <c r="K670" s="4" t="s">
        <v>1167</v>
      </c>
      <c r="L670" s="4" t="s">
        <v>3679</v>
      </c>
      <c r="M670" s="43"/>
      <c r="N670" s="255">
        <v>9000</v>
      </c>
      <c r="O670" s="265">
        <v>65</v>
      </c>
      <c r="P670" s="270">
        <v>1</v>
      </c>
      <c r="Q670" s="255">
        <v>5850</v>
      </c>
      <c r="R670" s="283">
        <v>5850</v>
      </c>
      <c r="S670" s="283">
        <v>1255</v>
      </c>
      <c r="T670" s="287">
        <v>0</v>
      </c>
      <c r="U670" s="287">
        <v>0</v>
      </c>
      <c r="V670" s="287">
        <v>0</v>
      </c>
      <c r="W670" s="283">
        <v>675</v>
      </c>
      <c r="X670" s="283">
        <v>0</v>
      </c>
      <c r="Y670" s="199" t="s">
        <v>1392</v>
      </c>
      <c r="Z670" s="517" t="s">
        <v>5542</v>
      </c>
      <c r="AA670" s="493" t="s">
        <v>1485</v>
      </c>
      <c r="AB670" s="507"/>
    </row>
    <row r="671" spans="2:28" x14ac:dyDescent="0.15">
      <c r="B671" s="331" t="s">
        <v>3680</v>
      </c>
      <c r="C671" s="528">
        <v>43165</v>
      </c>
      <c r="D671" s="198" t="s">
        <v>3681</v>
      </c>
      <c r="E671" s="53" t="s">
        <v>1391</v>
      </c>
      <c r="F671" s="376" t="s">
        <v>3786</v>
      </c>
      <c r="G671" s="3" t="s">
        <v>364</v>
      </c>
      <c r="H671" s="198" t="s">
        <v>433</v>
      </c>
      <c r="I671" s="3" t="s">
        <v>1508</v>
      </c>
      <c r="J671" s="4" t="s">
        <v>299</v>
      </c>
      <c r="K671" s="4" t="s">
        <v>373</v>
      </c>
      <c r="L671" s="4" t="s">
        <v>3682</v>
      </c>
      <c r="M671" s="43"/>
      <c r="N671" s="255">
        <v>4000</v>
      </c>
      <c r="O671" s="265">
        <v>100</v>
      </c>
      <c r="P671" s="270">
        <v>1</v>
      </c>
      <c r="Q671" s="255">
        <v>4000</v>
      </c>
      <c r="R671" s="283">
        <v>4000</v>
      </c>
      <c r="S671" s="283">
        <v>1078</v>
      </c>
      <c r="T671" s="287">
        <v>0</v>
      </c>
      <c r="U671" s="287">
        <v>0</v>
      </c>
      <c r="V671" s="287">
        <v>0</v>
      </c>
      <c r="W671" s="283">
        <v>2922</v>
      </c>
      <c r="X671" s="283">
        <v>0</v>
      </c>
      <c r="Y671" s="199" t="s">
        <v>1392</v>
      </c>
      <c r="Z671" s="517" t="s">
        <v>5166</v>
      </c>
      <c r="AA671" s="493" t="s">
        <v>1485</v>
      </c>
      <c r="AB671" s="507"/>
    </row>
    <row r="672" spans="2:28" x14ac:dyDescent="0.15">
      <c r="B672" s="331" t="s">
        <v>3683</v>
      </c>
      <c r="C672" s="528">
        <v>43168</v>
      </c>
      <c r="D672" s="198" t="s">
        <v>3684</v>
      </c>
      <c r="E672" s="53" t="s">
        <v>1391</v>
      </c>
      <c r="F672" s="376" t="s">
        <v>3786</v>
      </c>
      <c r="G672" s="3" t="s">
        <v>364</v>
      </c>
      <c r="H672" s="198" t="s">
        <v>420</v>
      </c>
      <c r="I672" s="3" t="s">
        <v>3509</v>
      </c>
      <c r="J672" s="4" t="s">
        <v>271</v>
      </c>
      <c r="K672" s="4" t="s">
        <v>1160</v>
      </c>
      <c r="L672" s="4" t="s">
        <v>3685</v>
      </c>
      <c r="M672" s="43" t="s">
        <v>3686</v>
      </c>
      <c r="N672" s="255">
        <v>213000</v>
      </c>
      <c r="O672" s="265">
        <v>100</v>
      </c>
      <c r="P672" s="270">
        <v>1</v>
      </c>
      <c r="Q672" s="255">
        <v>213000</v>
      </c>
      <c r="R672" s="283">
        <v>213000</v>
      </c>
      <c r="S672" s="283">
        <v>63595</v>
      </c>
      <c r="T672" s="287">
        <v>0</v>
      </c>
      <c r="U672" s="287">
        <v>1</v>
      </c>
      <c r="V672" s="287">
        <v>0</v>
      </c>
      <c r="W672" s="283">
        <v>24576</v>
      </c>
      <c r="X672" s="283">
        <v>0</v>
      </c>
      <c r="Y672" s="199" t="s">
        <v>1392</v>
      </c>
      <c r="Z672" s="517" t="s">
        <v>5166</v>
      </c>
      <c r="AA672" s="493" t="s">
        <v>1485</v>
      </c>
      <c r="AB672" s="507"/>
    </row>
    <row r="673" spans="2:30" x14ac:dyDescent="0.15">
      <c r="B673" s="331" t="s">
        <v>3687</v>
      </c>
      <c r="C673" s="528">
        <v>43168</v>
      </c>
      <c r="D673" s="198" t="s">
        <v>3688</v>
      </c>
      <c r="E673" s="53" t="s">
        <v>1391</v>
      </c>
      <c r="F673" s="376" t="s">
        <v>3786</v>
      </c>
      <c r="G673" s="3" t="s">
        <v>364</v>
      </c>
      <c r="H673" s="198" t="s">
        <v>420</v>
      </c>
      <c r="I673" s="3" t="s">
        <v>3509</v>
      </c>
      <c r="J673" s="4" t="s">
        <v>310</v>
      </c>
      <c r="K673" s="4" t="s">
        <v>1539</v>
      </c>
      <c r="L673" s="4" t="s">
        <v>2433</v>
      </c>
      <c r="M673" s="43" t="s">
        <v>3689</v>
      </c>
      <c r="N673" s="255">
        <v>430000</v>
      </c>
      <c r="O673" s="265">
        <v>60</v>
      </c>
      <c r="P673" s="270">
        <v>1</v>
      </c>
      <c r="Q673" s="255">
        <v>258000</v>
      </c>
      <c r="R673" s="283">
        <v>258000</v>
      </c>
      <c r="S673" s="283">
        <v>61620</v>
      </c>
      <c r="T673" s="287">
        <v>0</v>
      </c>
      <c r="U673" s="287">
        <v>1</v>
      </c>
      <c r="V673" s="287">
        <v>0</v>
      </c>
      <c r="W673" s="283">
        <v>25800</v>
      </c>
      <c r="X673" s="283">
        <v>0</v>
      </c>
      <c r="Y673" s="199" t="s">
        <v>1392</v>
      </c>
      <c r="Z673" s="517" t="s">
        <v>5543</v>
      </c>
      <c r="AA673" s="493" t="s">
        <v>1485</v>
      </c>
      <c r="AB673" s="507"/>
    </row>
    <row r="674" spans="2:30" x14ac:dyDescent="0.15">
      <c r="B674" s="331" t="s">
        <v>3690</v>
      </c>
      <c r="C674" s="528">
        <v>43168</v>
      </c>
      <c r="D674" s="198" t="s">
        <v>3691</v>
      </c>
      <c r="E674" s="53" t="s">
        <v>1391</v>
      </c>
      <c r="F674" s="376" t="s">
        <v>3786</v>
      </c>
      <c r="G674" s="3" t="s">
        <v>364</v>
      </c>
      <c r="H674" s="198" t="s">
        <v>420</v>
      </c>
      <c r="I674" s="3" t="s">
        <v>3509</v>
      </c>
      <c r="J674" s="4" t="s">
        <v>1402</v>
      </c>
      <c r="K674" s="4" t="s">
        <v>1403</v>
      </c>
      <c r="L674" s="4" t="s">
        <v>1725</v>
      </c>
      <c r="M674" s="43" t="s">
        <v>3692</v>
      </c>
      <c r="N674" s="255">
        <v>260000</v>
      </c>
      <c r="O674" s="265">
        <v>60</v>
      </c>
      <c r="P674" s="270">
        <v>1</v>
      </c>
      <c r="Q674" s="255">
        <v>156000</v>
      </c>
      <c r="R674" s="283">
        <v>156000</v>
      </c>
      <c r="S674" s="283">
        <v>32622</v>
      </c>
      <c r="T674" s="287">
        <v>0</v>
      </c>
      <c r="U674" s="287">
        <v>1</v>
      </c>
      <c r="V674" s="287">
        <v>0</v>
      </c>
      <c r="W674" s="283">
        <v>15600</v>
      </c>
      <c r="X674" s="283">
        <v>0</v>
      </c>
      <c r="Y674" s="199" t="s">
        <v>1392</v>
      </c>
      <c r="Z674" s="517" t="s">
        <v>5532</v>
      </c>
      <c r="AA674" s="493" t="s">
        <v>1485</v>
      </c>
      <c r="AB674" s="507"/>
    </row>
    <row r="675" spans="2:30" x14ac:dyDescent="0.15">
      <c r="B675" s="331" t="s">
        <v>3693</v>
      </c>
      <c r="C675" s="528">
        <v>43168</v>
      </c>
      <c r="D675" s="198" t="s">
        <v>3694</v>
      </c>
      <c r="E675" s="53" t="s">
        <v>1396</v>
      </c>
      <c r="F675" s="376" t="s">
        <v>3784</v>
      </c>
      <c r="G675" s="3" t="s">
        <v>1110</v>
      </c>
      <c r="H675" s="198" t="s">
        <v>801</v>
      </c>
      <c r="I675" s="3" t="s">
        <v>1920</v>
      </c>
      <c r="J675" s="4" t="s">
        <v>271</v>
      </c>
      <c r="K675" s="4" t="s">
        <v>1160</v>
      </c>
      <c r="L675" s="190" t="s">
        <v>3695</v>
      </c>
      <c r="M675" s="43" t="s">
        <v>3696</v>
      </c>
      <c r="N675" s="255">
        <v>348000</v>
      </c>
      <c r="O675" s="265">
        <v>60</v>
      </c>
      <c r="P675" s="270">
        <v>1</v>
      </c>
      <c r="Q675" s="255">
        <v>208800</v>
      </c>
      <c r="R675" s="283">
        <v>208800</v>
      </c>
      <c r="S675" s="283">
        <v>54884</v>
      </c>
      <c r="T675" s="287">
        <v>0</v>
      </c>
      <c r="U675" s="287">
        <v>1</v>
      </c>
      <c r="V675" s="287">
        <v>0</v>
      </c>
      <c r="W675" s="283">
        <v>20880</v>
      </c>
      <c r="X675" s="283">
        <v>0</v>
      </c>
      <c r="Y675" s="199" t="s">
        <v>1392</v>
      </c>
      <c r="Z675" s="517" t="s">
        <v>5533</v>
      </c>
      <c r="AA675" s="493" t="s">
        <v>1485</v>
      </c>
      <c r="AB675" s="507"/>
    </row>
    <row r="676" spans="2:30" x14ac:dyDescent="0.15">
      <c r="B676" s="331" t="s">
        <v>3697</v>
      </c>
      <c r="C676" s="528">
        <v>43168</v>
      </c>
      <c r="D676" s="198" t="s">
        <v>3698</v>
      </c>
      <c r="E676" s="53" t="s">
        <v>1396</v>
      </c>
      <c r="F676" s="376" t="s">
        <v>3791</v>
      </c>
      <c r="G676" s="3" t="s">
        <v>1321</v>
      </c>
      <c r="H676" s="198" t="s">
        <v>534</v>
      </c>
      <c r="I676" s="3"/>
      <c r="J676" s="4" t="s">
        <v>299</v>
      </c>
      <c r="K676" s="4" t="s">
        <v>373</v>
      </c>
      <c r="L676" s="4" t="s">
        <v>3699</v>
      </c>
      <c r="M676" s="43"/>
      <c r="N676" s="255">
        <v>800</v>
      </c>
      <c r="O676" s="265">
        <v>100</v>
      </c>
      <c r="P676" s="270">
        <v>-1</v>
      </c>
      <c r="Q676" s="255">
        <v>800</v>
      </c>
      <c r="R676" s="283">
        <v>-800</v>
      </c>
      <c r="S676" s="283">
        <v>-800</v>
      </c>
      <c r="T676" s="287">
        <v>0</v>
      </c>
      <c r="U676" s="287">
        <v>0</v>
      </c>
      <c r="V676" s="287">
        <v>0</v>
      </c>
      <c r="W676" s="283">
        <v>800</v>
      </c>
      <c r="X676" s="283">
        <v>0</v>
      </c>
      <c r="Y676" s="199" t="s">
        <v>1392</v>
      </c>
      <c r="Z676" s="517" t="s">
        <v>5449</v>
      </c>
      <c r="AA676" s="493"/>
      <c r="AB676" s="507"/>
    </row>
    <row r="677" spans="2:30" x14ac:dyDescent="0.15">
      <c r="B677" s="331" t="s">
        <v>3700</v>
      </c>
      <c r="C677" s="528">
        <v>43169</v>
      </c>
      <c r="D677" s="198" t="s">
        <v>3701</v>
      </c>
      <c r="E677" s="53" t="s">
        <v>1391</v>
      </c>
      <c r="F677" s="376" t="s">
        <v>3786</v>
      </c>
      <c r="G677" s="3" t="s">
        <v>364</v>
      </c>
      <c r="H677" s="198" t="s">
        <v>510</v>
      </c>
      <c r="I677" s="3" t="s">
        <v>1444</v>
      </c>
      <c r="J677" s="4" t="s">
        <v>262</v>
      </c>
      <c r="K677" s="4" t="s">
        <v>365</v>
      </c>
      <c r="L677" s="4" t="s">
        <v>1738</v>
      </c>
      <c r="M677" s="43" t="s">
        <v>3702</v>
      </c>
      <c r="N677" s="255">
        <v>270000</v>
      </c>
      <c r="O677" s="265">
        <v>65</v>
      </c>
      <c r="P677" s="270">
        <v>1</v>
      </c>
      <c r="Q677" s="255">
        <v>175500</v>
      </c>
      <c r="R677" s="283">
        <v>175500</v>
      </c>
      <c r="S677" s="283">
        <v>77632</v>
      </c>
      <c r="T677" s="287">
        <v>1</v>
      </c>
      <c r="U677" s="287">
        <v>0</v>
      </c>
      <c r="V677" s="287">
        <v>0</v>
      </c>
      <c r="W677" s="283">
        <v>0</v>
      </c>
      <c r="X677" s="283">
        <v>0</v>
      </c>
      <c r="Y677" s="199" t="s">
        <v>1395</v>
      </c>
      <c r="Z677" s="517" t="s">
        <v>5170</v>
      </c>
      <c r="AA677" s="493" t="s">
        <v>1485</v>
      </c>
      <c r="AB677" s="507"/>
    </row>
    <row r="678" spans="2:30" x14ac:dyDescent="0.15">
      <c r="B678" s="331" t="s">
        <v>3703</v>
      </c>
      <c r="C678" s="528">
        <v>43174</v>
      </c>
      <c r="D678" s="198" t="s">
        <v>3704</v>
      </c>
      <c r="E678" s="53" t="s">
        <v>1391</v>
      </c>
      <c r="F678" s="376" t="s">
        <v>3786</v>
      </c>
      <c r="G678" s="3" t="s">
        <v>364</v>
      </c>
      <c r="H678" s="198" t="s">
        <v>505</v>
      </c>
      <c r="I678" s="3" t="s">
        <v>1501</v>
      </c>
      <c r="J678" s="4" t="s">
        <v>262</v>
      </c>
      <c r="K678" s="4" t="s">
        <v>365</v>
      </c>
      <c r="L678" s="4" t="s">
        <v>1690</v>
      </c>
      <c r="M678" s="43" t="s">
        <v>3705</v>
      </c>
      <c r="N678" s="255">
        <v>260000</v>
      </c>
      <c r="O678" s="265">
        <v>65</v>
      </c>
      <c r="P678" s="270">
        <v>1</v>
      </c>
      <c r="Q678" s="255">
        <v>169000</v>
      </c>
      <c r="R678" s="283">
        <v>169000</v>
      </c>
      <c r="S678" s="283">
        <v>75042</v>
      </c>
      <c r="T678" s="287">
        <v>1</v>
      </c>
      <c r="U678" s="287">
        <v>0</v>
      </c>
      <c r="V678" s="287">
        <v>0</v>
      </c>
      <c r="W678" s="283">
        <v>0</v>
      </c>
      <c r="X678" s="283">
        <v>0</v>
      </c>
      <c r="Y678" s="199" t="s">
        <v>1395</v>
      </c>
      <c r="Z678" s="517" t="s">
        <v>5534</v>
      </c>
      <c r="AA678" s="493" t="s">
        <v>1485</v>
      </c>
      <c r="AB678" s="507"/>
      <c r="AD678" s="283"/>
    </row>
    <row r="679" spans="2:30" x14ac:dyDescent="0.15">
      <c r="B679" s="331" t="s">
        <v>3706</v>
      </c>
      <c r="C679" s="528">
        <v>43174</v>
      </c>
      <c r="D679" s="198" t="s">
        <v>3707</v>
      </c>
      <c r="E679" s="53" t="s">
        <v>1391</v>
      </c>
      <c r="F679" s="376" t="s">
        <v>3786</v>
      </c>
      <c r="G679" s="3" t="s">
        <v>364</v>
      </c>
      <c r="H679" s="198" t="s">
        <v>525</v>
      </c>
      <c r="I679" s="3" t="s">
        <v>1466</v>
      </c>
      <c r="J679" s="4" t="s">
        <v>270</v>
      </c>
      <c r="K679" s="4" t="s">
        <v>539</v>
      </c>
      <c r="L679" s="4" t="s">
        <v>2220</v>
      </c>
      <c r="M679" s="43" t="s">
        <v>3708</v>
      </c>
      <c r="N679" s="255">
        <v>328000</v>
      </c>
      <c r="O679" s="265">
        <v>60</v>
      </c>
      <c r="P679" s="270">
        <v>1</v>
      </c>
      <c r="Q679" s="255">
        <v>196800</v>
      </c>
      <c r="R679" s="283">
        <v>196800</v>
      </c>
      <c r="S679" s="283">
        <v>80979</v>
      </c>
      <c r="T679" s="287">
        <v>1</v>
      </c>
      <c r="U679" s="287">
        <v>0</v>
      </c>
      <c r="V679" s="287">
        <v>0</v>
      </c>
      <c r="W679" s="283">
        <v>0</v>
      </c>
      <c r="X679" s="283">
        <v>0</v>
      </c>
      <c r="Y679" s="199" t="s">
        <v>1395</v>
      </c>
      <c r="Z679" s="517" t="s">
        <v>5553</v>
      </c>
      <c r="AA679" s="493" t="s">
        <v>1485</v>
      </c>
      <c r="AB679" s="507"/>
    </row>
    <row r="680" spans="2:30" x14ac:dyDescent="0.15">
      <c r="B680" s="331" t="s">
        <v>3709</v>
      </c>
      <c r="C680" s="528">
        <v>43175</v>
      </c>
      <c r="D680" s="198" t="s">
        <v>3710</v>
      </c>
      <c r="E680" s="53" t="s">
        <v>1391</v>
      </c>
      <c r="F680" s="376" t="s">
        <v>3786</v>
      </c>
      <c r="G680" s="3" t="s">
        <v>364</v>
      </c>
      <c r="H680" s="198" t="s">
        <v>473</v>
      </c>
      <c r="I680" s="3" t="s">
        <v>1400</v>
      </c>
      <c r="J680" s="4" t="s">
        <v>262</v>
      </c>
      <c r="K680" s="4" t="s">
        <v>365</v>
      </c>
      <c r="L680" s="4" t="s">
        <v>1690</v>
      </c>
      <c r="M680" s="43" t="s">
        <v>3711</v>
      </c>
      <c r="N680" s="255">
        <v>260000</v>
      </c>
      <c r="O680" s="265">
        <v>65</v>
      </c>
      <c r="P680" s="270">
        <v>1</v>
      </c>
      <c r="Q680" s="255">
        <v>169000</v>
      </c>
      <c r="R680" s="283">
        <v>169000</v>
      </c>
      <c r="S680" s="283">
        <v>55542</v>
      </c>
      <c r="T680" s="287">
        <v>0</v>
      </c>
      <c r="U680" s="287">
        <v>1</v>
      </c>
      <c r="V680" s="287">
        <v>0</v>
      </c>
      <c r="W680" s="283">
        <v>19500</v>
      </c>
      <c r="X680" s="283">
        <v>0</v>
      </c>
      <c r="Y680" s="199" t="s">
        <v>1392</v>
      </c>
      <c r="Z680" s="517" t="s">
        <v>5550</v>
      </c>
      <c r="AA680" s="493" t="s">
        <v>1485</v>
      </c>
      <c r="AB680" s="507"/>
    </row>
    <row r="681" spans="2:30" x14ac:dyDescent="0.15">
      <c r="B681" s="331" t="s">
        <v>3712</v>
      </c>
      <c r="C681" s="528">
        <v>43175</v>
      </c>
      <c r="D681" s="198" t="s">
        <v>3713</v>
      </c>
      <c r="E681" s="53" t="s">
        <v>1396</v>
      </c>
      <c r="F681" s="376" t="s">
        <v>3788</v>
      </c>
      <c r="G681" s="3" t="s">
        <v>372</v>
      </c>
      <c r="H681" s="198" t="s">
        <v>534</v>
      </c>
      <c r="I681" s="3"/>
      <c r="J681" s="4" t="s">
        <v>297</v>
      </c>
      <c r="K681" s="4" t="s">
        <v>369</v>
      </c>
      <c r="L681" s="4" t="s">
        <v>1509</v>
      </c>
      <c r="M681" s="43"/>
      <c r="N681" s="255">
        <v>200</v>
      </c>
      <c r="O681" s="265">
        <v>40</v>
      </c>
      <c r="P681" s="270">
        <v>100</v>
      </c>
      <c r="Q681" s="255">
        <v>80</v>
      </c>
      <c r="R681" s="283">
        <v>8000</v>
      </c>
      <c r="S681" s="283">
        <v>5200</v>
      </c>
      <c r="T681" s="287">
        <v>0</v>
      </c>
      <c r="U681" s="287">
        <v>0</v>
      </c>
      <c r="V681" s="287">
        <v>0</v>
      </c>
      <c r="W681" s="283">
        <v>0</v>
      </c>
      <c r="X681" s="283">
        <v>0</v>
      </c>
      <c r="Y681" s="199" t="s">
        <v>1395</v>
      </c>
      <c r="Z681" s="517" t="s">
        <v>5537</v>
      </c>
      <c r="AA681" s="493" t="s">
        <v>1485</v>
      </c>
      <c r="AB681" s="507"/>
    </row>
    <row r="682" spans="2:30" x14ac:dyDescent="0.15">
      <c r="B682" s="331" t="s">
        <v>3714</v>
      </c>
      <c r="C682" s="528">
        <v>43175</v>
      </c>
      <c r="D682" s="198" t="s">
        <v>3713</v>
      </c>
      <c r="E682" s="53" t="s">
        <v>1396</v>
      </c>
      <c r="F682" s="376" t="s">
        <v>3788</v>
      </c>
      <c r="G682" s="3" t="s">
        <v>372</v>
      </c>
      <c r="H682" s="198" t="s">
        <v>534</v>
      </c>
      <c r="I682" s="3"/>
      <c r="J682" s="4" t="s">
        <v>297</v>
      </c>
      <c r="K682" s="4" t="s">
        <v>369</v>
      </c>
      <c r="L682" s="4" t="s">
        <v>1484</v>
      </c>
      <c r="M682" s="43"/>
      <c r="N682" s="255">
        <v>200</v>
      </c>
      <c r="O682" s="265">
        <v>40</v>
      </c>
      <c r="P682" s="270">
        <v>100</v>
      </c>
      <c r="Q682" s="255">
        <v>80</v>
      </c>
      <c r="R682" s="283">
        <v>8000</v>
      </c>
      <c r="S682" s="283">
        <v>5200</v>
      </c>
      <c r="T682" s="287">
        <v>0</v>
      </c>
      <c r="U682" s="287">
        <v>0</v>
      </c>
      <c r="V682" s="287">
        <v>0</v>
      </c>
      <c r="W682" s="283">
        <v>0</v>
      </c>
      <c r="X682" s="283">
        <v>0</v>
      </c>
      <c r="Y682" s="199" t="s">
        <v>1395</v>
      </c>
      <c r="Z682" s="517" t="s">
        <v>5537</v>
      </c>
      <c r="AA682" s="493" t="s">
        <v>1485</v>
      </c>
      <c r="AB682" s="507"/>
    </row>
    <row r="683" spans="2:30" x14ac:dyDescent="0.15">
      <c r="B683" s="331" t="s">
        <v>3715</v>
      </c>
      <c r="C683" s="528">
        <v>43175</v>
      </c>
      <c r="D683" s="198" t="s">
        <v>3716</v>
      </c>
      <c r="E683" s="53" t="s">
        <v>1391</v>
      </c>
      <c r="F683" s="376" t="s">
        <v>3786</v>
      </c>
      <c r="G683" s="3" t="s">
        <v>364</v>
      </c>
      <c r="H683" s="198" t="s">
        <v>450</v>
      </c>
      <c r="I683" s="3" t="s">
        <v>2379</v>
      </c>
      <c r="J683" s="4" t="s">
        <v>1402</v>
      </c>
      <c r="K683" s="4" t="s">
        <v>1403</v>
      </c>
      <c r="L683" s="4" t="s">
        <v>2466</v>
      </c>
      <c r="M683" s="43" t="s">
        <v>3717</v>
      </c>
      <c r="N683" s="255">
        <v>285600</v>
      </c>
      <c r="O683" s="265">
        <v>100</v>
      </c>
      <c r="P683" s="270">
        <v>1</v>
      </c>
      <c r="Q683" s="255">
        <v>285600</v>
      </c>
      <c r="R683" s="283">
        <v>285600</v>
      </c>
      <c r="S683" s="283">
        <v>89992</v>
      </c>
      <c r="T683" s="287">
        <v>0</v>
      </c>
      <c r="U683" s="287">
        <v>1</v>
      </c>
      <c r="V683" s="287">
        <v>0</v>
      </c>
      <c r="W683" s="283">
        <v>28200</v>
      </c>
      <c r="X683" s="283">
        <v>0</v>
      </c>
      <c r="Y683" s="199" t="s">
        <v>1392</v>
      </c>
      <c r="Z683" s="517" t="s">
        <v>5166</v>
      </c>
      <c r="AA683" s="493" t="s">
        <v>1485</v>
      </c>
      <c r="AB683" s="507"/>
    </row>
    <row r="684" spans="2:30" x14ac:dyDescent="0.15">
      <c r="B684" s="331" t="s">
        <v>3718</v>
      </c>
      <c r="C684" s="528">
        <v>43175</v>
      </c>
      <c r="D684" s="198" t="s">
        <v>3719</v>
      </c>
      <c r="E684" s="53" t="s">
        <v>1391</v>
      </c>
      <c r="F684" s="376" t="s">
        <v>3786</v>
      </c>
      <c r="G684" s="3" t="s">
        <v>364</v>
      </c>
      <c r="H684" s="198" t="s">
        <v>492</v>
      </c>
      <c r="I684" s="3" t="s">
        <v>1431</v>
      </c>
      <c r="J684" s="4" t="s">
        <v>262</v>
      </c>
      <c r="K684" s="4" t="s">
        <v>365</v>
      </c>
      <c r="L684" s="4" t="s">
        <v>1728</v>
      </c>
      <c r="M684" s="43" t="s">
        <v>3720</v>
      </c>
      <c r="N684" s="255">
        <v>270000</v>
      </c>
      <c r="O684" s="265">
        <v>60</v>
      </c>
      <c r="P684" s="270">
        <v>1</v>
      </c>
      <c r="Q684" s="255">
        <v>162000</v>
      </c>
      <c r="R684" s="283">
        <v>162000</v>
      </c>
      <c r="S684" s="283">
        <v>50742</v>
      </c>
      <c r="T684" s="287">
        <v>0</v>
      </c>
      <c r="U684" s="287">
        <v>1</v>
      </c>
      <c r="V684" s="287">
        <v>0</v>
      </c>
      <c r="W684" s="283">
        <v>16200</v>
      </c>
      <c r="X684" s="283">
        <v>0</v>
      </c>
      <c r="Y684" s="199" t="s">
        <v>1392</v>
      </c>
      <c r="Z684" s="517" t="s">
        <v>5167</v>
      </c>
      <c r="AA684" s="493" t="s">
        <v>1485</v>
      </c>
      <c r="AB684" s="507"/>
    </row>
    <row r="685" spans="2:30" x14ac:dyDescent="0.15">
      <c r="B685" s="331" t="s">
        <v>3721</v>
      </c>
      <c r="C685" s="528">
        <v>43175</v>
      </c>
      <c r="D685" s="198" t="s">
        <v>3722</v>
      </c>
      <c r="E685" s="53" t="s">
        <v>1391</v>
      </c>
      <c r="F685" s="376" t="s">
        <v>3786</v>
      </c>
      <c r="G685" s="3" t="s">
        <v>364</v>
      </c>
      <c r="H685" s="198" t="s">
        <v>420</v>
      </c>
      <c r="I685" s="3" t="s">
        <v>3509</v>
      </c>
      <c r="J685" s="4" t="s">
        <v>262</v>
      </c>
      <c r="K685" s="4" t="s">
        <v>365</v>
      </c>
      <c r="L685" s="4" t="s">
        <v>1690</v>
      </c>
      <c r="M685" s="43" t="s">
        <v>3723</v>
      </c>
      <c r="N685" s="255">
        <v>260000</v>
      </c>
      <c r="O685" s="265">
        <v>60</v>
      </c>
      <c r="P685" s="270">
        <v>1</v>
      </c>
      <c r="Q685" s="255">
        <v>156000</v>
      </c>
      <c r="R685" s="283">
        <v>156000</v>
      </c>
      <c r="S685" s="283">
        <v>46442</v>
      </c>
      <c r="T685" s="287">
        <v>0</v>
      </c>
      <c r="U685" s="287">
        <v>1</v>
      </c>
      <c r="V685" s="287">
        <v>0</v>
      </c>
      <c r="W685" s="283">
        <v>15600</v>
      </c>
      <c r="X685" s="283">
        <v>0</v>
      </c>
      <c r="Y685" s="199" t="s">
        <v>1392</v>
      </c>
      <c r="Z685" s="517" t="s">
        <v>5166</v>
      </c>
      <c r="AA685" s="493" t="s">
        <v>1485</v>
      </c>
      <c r="AB685" s="507"/>
    </row>
    <row r="686" spans="2:30" x14ac:dyDescent="0.15">
      <c r="B686" s="331" t="s">
        <v>3724</v>
      </c>
      <c r="C686" s="528">
        <v>43175</v>
      </c>
      <c r="D686" s="198" t="s">
        <v>3725</v>
      </c>
      <c r="E686" s="53" t="s">
        <v>1391</v>
      </c>
      <c r="F686" s="376" t="s">
        <v>3783</v>
      </c>
      <c r="G686" s="3" t="s">
        <v>362</v>
      </c>
      <c r="H686" s="198" t="s">
        <v>689</v>
      </c>
      <c r="I686" s="3" t="s">
        <v>1394</v>
      </c>
      <c r="J686" s="4" t="s">
        <v>262</v>
      </c>
      <c r="K686" s="4" t="s">
        <v>365</v>
      </c>
      <c r="L686" s="4" t="s">
        <v>1728</v>
      </c>
      <c r="M686" s="43" t="s">
        <v>3726</v>
      </c>
      <c r="N686" s="255">
        <v>270000</v>
      </c>
      <c r="O686" s="265">
        <v>55</v>
      </c>
      <c r="P686" s="270">
        <v>1</v>
      </c>
      <c r="Q686" s="255">
        <v>148500</v>
      </c>
      <c r="R686" s="283">
        <v>148500</v>
      </c>
      <c r="S686" s="283">
        <v>53442</v>
      </c>
      <c r="T686" s="287">
        <v>1</v>
      </c>
      <c r="U686" s="287">
        <v>0</v>
      </c>
      <c r="V686" s="287">
        <v>0</v>
      </c>
      <c r="W686" s="283">
        <v>0</v>
      </c>
      <c r="X686" s="283">
        <v>0</v>
      </c>
      <c r="Y686" s="199" t="s">
        <v>1395</v>
      </c>
      <c r="Z686" s="517" t="s">
        <v>5542</v>
      </c>
      <c r="AA686" s="493" t="s">
        <v>1485</v>
      </c>
      <c r="AB686" s="507"/>
    </row>
    <row r="687" spans="2:30" x14ac:dyDescent="0.15">
      <c r="B687" s="331" t="s">
        <v>3727</v>
      </c>
      <c r="C687" s="528">
        <v>43179</v>
      </c>
      <c r="D687" s="198" t="s">
        <v>3608</v>
      </c>
      <c r="E687" s="53" t="s">
        <v>1391</v>
      </c>
      <c r="F687" s="376" t="s">
        <v>2768</v>
      </c>
      <c r="G687" s="3" t="s">
        <v>3415</v>
      </c>
      <c r="H687" s="198" t="s">
        <v>534</v>
      </c>
      <c r="I687" s="3"/>
      <c r="J687" s="4" t="s">
        <v>264</v>
      </c>
      <c r="K687" s="4" t="s">
        <v>538</v>
      </c>
      <c r="L687" s="4" t="s">
        <v>1786</v>
      </c>
      <c r="M687" s="43" t="s">
        <v>3728</v>
      </c>
      <c r="N687" s="255">
        <v>216000</v>
      </c>
      <c r="O687" s="265">
        <v>100</v>
      </c>
      <c r="P687" s="270">
        <v>1</v>
      </c>
      <c r="Q687" s="255">
        <v>216000</v>
      </c>
      <c r="R687" s="283">
        <v>216000</v>
      </c>
      <c r="S687" s="283">
        <v>80029</v>
      </c>
      <c r="T687" s="287">
        <v>1</v>
      </c>
      <c r="U687" s="287">
        <v>0</v>
      </c>
      <c r="V687" s="287">
        <v>0</v>
      </c>
      <c r="W687" s="283">
        <v>0</v>
      </c>
      <c r="X687" s="283">
        <v>0</v>
      </c>
      <c r="Y687" s="199" t="s">
        <v>1395</v>
      </c>
      <c r="Z687" s="517" t="s">
        <v>5166</v>
      </c>
      <c r="AA687" s="493" t="s">
        <v>1485</v>
      </c>
      <c r="AB687" s="507"/>
    </row>
    <row r="688" spans="2:30" x14ac:dyDescent="0.15">
      <c r="B688" s="331" t="s">
        <v>3729</v>
      </c>
      <c r="C688" s="528">
        <v>43179</v>
      </c>
      <c r="D688" s="198" t="s">
        <v>3629</v>
      </c>
      <c r="E688" s="53" t="s">
        <v>1391</v>
      </c>
      <c r="F688" s="376" t="s">
        <v>2768</v>
      </c>
      <c r="G688" s="3" t="s">
        <v>3415</v>
      </c>
      <c r="H688" s="198" t="s">
        <v>534</v>
      </c>
      <c r="I688" s="3"/>
      <c r="J688" s="4" t="s">
        <v>264</v>
      </c>
      <c r="K688" s="4" t="s">
        <v>538</v>
      </c>
      <c r="L688" s="4" t="s">
        <v>3730</v>
      </c>
      <c r="M688" s="43" t="s">
        <v>3731</v>
      </c>
      <c r="N688" s="255">
        <v>216000</v>
      </c>
      <c r="O688" s="265">
        <v>100</v>
      </c>
      <c r="P688" s="270">
        <v>1</v>
      </c>
      <c r="Q688" s="255">
        <v>216000</v>
      </c>
      <c r="R688" s="283">
        <v>216000</v>
      </c>
      <c r="S688" s="283">
        <v>80029</v>
      </c>
      <c r="T688" s="287">
        <v>1</v>
      </c>
      <c r="U688" s="287">
        <v>0</v>
      </c>
      <c r="V688" s="287">
        <v>0</v>
      </c>
      <c r="W688" s="283">
        <v>0</v>
      </c>
      <c r="X688" s="283">
        <v>0</v>
      </c>
      <c r="Y688" s="199" t="s">
        <v>1395</v>
      </c>
      <c r="Z688" s="517" t="s">
        <v>5166</v>
      </c>
      <c r="AA688" s="493" t="s">
        <v>1485</v>
      </c>
      <c r="AB688" s="507"/>
    </row>
    <row r="689" spans="2:28" x14ac:dyDescent="0.15">
      <c r="B689" s="331" t="s">
        <v>3732</v>
      </c>
      <c r="C689" s="527">
        <v>43179</v>
      </c>
      <c r="D689" s="191" t="s">
        <v>3638</v>
      </c>
      <c r="E689" s="43" t="s">
        <v>1391</v>
      </c>
      <c r="F689" s="375" t="s">
        <v>3786</v>
      </c>
      <c r="G689" s="4" t="s">
        <v>364</v>
      </c>
      <c r="H689" s="191" t="s">
        <v>420</v>
      </c>
      <c r="I689" s="4" t="s">
        <v>3509</v>
      </c>
      <c r="J689" s="4" t="s">
        <v>262</v>
      </c>
      <c r="K689" s="4" t="s">
        <v>365</v>
      </c>
      <c r="L689" s="4" t="s">
        <v>2235</v>
      </c>
      <c r="M689" s="43" t="s">
        <v>3733</v>
      </c>
      <c r="N689" s="255">
        <v>260000</v>
      </c>
      <c r="O689" s="265">
        <v>60</v>
      </c>
      <c r="P689" s="270">
        <v>1</v>
      </c>
      <c r="Q689" s="255">
        <v>156000</v>
      </c>
      <c r="R689" s="283">
        <v>156000</v>
      </c>
      <c r="S689" s="283">
        <v>43442</v>
      </c>
      <c r="T689" s="287">
        <v>0</v>
      </c>
      <c r="U689" s="287">
        <v>1</v>
      </c>
      <c r="V689" s="287">
        <v>0</v>
      </c>
      <c r="W689" s="283">
        <v>15600</v>
      </c>
      <c r="X689" s="283">
        <v>0</v>
      </c>
      <c r="Y689" s="199" t="s">
        <v>1392</v>
      </c>
      <c r="Z689" s="517" t="s">
        <v>5166</v>
      </c>
      <c r="AA689" s="493" t="s">
        <v>1485</v>
      </c>
      <c r="AB689" s="507"/>
    </row>
    <row r="690" spans="2:28" x14ac:dyDescent="0.15">
      <c r="B690" s="331" t="s">
        <v>3734</v>
      </c>
      <c r="C690" s="527">
        <v>43179</v>
      </c>
      <c r="D690" s="191" t="s">
        <v>3640</v>
      </c>
      <c r="E690" s="43" t="s">
        <v>1391</v>
      </c>
      <c r="F690" s="375" t="s">
        <v>3786</v>
      </c>
      <c r="G690" s="4" t="s">
        <v>364</v>
      </c>
      <c r="H690" s="191" t="s">
        <v>444</v>
      </c>
      <c r="I690" s="4" t="s">
        <v>1440</v>
      </c>
      <c r="J690" s="4" t="s">
        <v>262</v>
      </c>
      <c r="K690" s="4" t="s">
        <v>365</v>
      </c>
      <c r="L690" s="4" t="s">
        <v>3735</v>
      </c>
      <c r="M690" s="43" t="s">
        <v>3736</v>
      </c>
      <c r="N690" s="255">
        <v>130000</v>
      </c>
      <c r="O690" s="265">
        <v>100</v>
      </c>
      <c r="P690" s="270">
        <v>1</v>
      </c>
      <c r="Q690" s="255">
        <v>130000</v>
      </c>
      <c r="R690" s="283">
        <v>130000</v>
      </c>
      <c r="S690" s="283">
        <v>37782</v>
      </c>
      <c r="T690" s="287">
        <v>0</v>
      </c>
      <c r="U690" s="287">
        <v>1</v>
      </c>
      <c r="V690" s="287">
        <v>0</v>
      </c>
      <c r="W690" s="283">
        <v>15000</v>
      </c>
      <c r="X690" s="283">
        <v>0</v>
      </c>
      <c r="Y690" s="199" t="s">
        <v>1392</v>
      </c>
      <c r="Z690" s="517" t="s">
        <v>5543</v>
      </c>
      <c r="AA690" s="493" t="s">
        <v>1485</v>
      </c>
      <c r="AB690" s="507"/>
    </row>
    <row r="691" spans="2:28" x14ac:dyDescent="0.15">
      <c r="B691" s="331" t="s">
        <v>3737</v>
      </c>
      <c r="C691" s="527">
        <v>43179</v>
      </c>
      <c r="D691" s="191" t="s">
        <v>3640</v>
      </c>
      <c r="E691" s="43" t="s">
        <v>1391</v>
      </c>
      <c r="F691" s="375" t="s">
        <v>3786</v>
      </c>
      <c r="G691" s="4" t="s">
        <v>364</v>
      </c>
      <c r="H691" s="191" t="s">
        <v>444</v>
      </c>
      <c r="I691" s="4" t="s">
        <v>1440</v>
      </c>
      <c r="J691" s="4" t="s">
        <v>262</v>
      </c>
      <c r="K691" s="4" t="s">
        <v>365</v>
      </c>
      <c r="L691" s="4" t="s">
        <v>3735</v>
      </c>
      <c r="M691" s="43" t="s">
        <v>3738</v>
      </c>
      <c r="N691" s="255">
        <v>130000</v>
      </c>
      <c r="O691" s="265">
        <v>100</v>
      </c>
      <c r="P691" s="270">
        <v>1</v>
      </c>
      <c r="Q691" s="255">
        <v>130000</v>
      </c>
      <c r="R691" s="283">
        <v>130000</v>
      </c>
      <c r="S691" s="283">
        <v>37782</v>
      </c>
      <c r="T691" s="287">
        <v>0</v>
      </c>
      <c r="U691" s="287">
        <v>1</v>
      </c>
      <c r="V691" s="287">
        <v>0</v>
      </c>
      <c r="W691" s="283">
        <v>15000</v>
      </c>
      <c r="X691" s="283">
        <v>0</v>
      </c>
      <c r="Y691" s="199" t="s">
        <v>1392</v>
      </c>
      <c r="Z691" s="517" t="s">
        <v>5542</v>
      </c>
      <c r="AA691" s="493" t="s">
        <v>1485</v>
      </c>
      <c r="AB691" s="507"/>
    </row>
    <row r="692" spans="2:28" x14ac:dyDescent="0.15">
      <c r="B692" s="331" t="s">
        <v>3739</v>
      </c>
      <c r="C692" s="527">
        <v>43179</v>
      </c>
      <c r="D692" s="191" t="s">
        <v>3640</v>
      </c>
      <c r="E692" s="43" t="s">
        <v>1391</v>
      </c>
      <c r="F692" s="375" t="s">
        <v>3786</v>
      </c>
      <c r="G692" s="4" t="s">
        <v>364</v>
      </c>
      <c r="H692" s="191" t="s">
        <v>444</v>
      </c>
      <c r="I692" s="4" t="s">
        <v>1440</v>
      </c>
      <c r="J692" s="4" t="s">
        <v>262</v>
      </c>
      <c r="K692" s="4" t="s">
        <v>365</v>
      </c>
      <c r="L692" s="4" t="s">
        <v>3735</v>
      </c>
      <c r="M692" s="43" t="s">
        <v>3740</v>
      </c>
      <c r="N692" s="255">
        <v>130000</v>
      </c>
      <c r="O692" s="265">
        <v>100</v>
      </c>
      <c r="P692" s="270">
        <v>1</v>
      </c>
      <c r="Q692" s="255">
        <v>130000</v>
      </c>
      <c r="R692" s="283">
        <v>130000</v>
      </c>
      <c r="S692" s="283">
        <v>37782</v>
      </c>
      <c r="T692" s="287">
        <v>0</v>
      </c>
      <c r="U692" s="287">
        <v>1</v>
      </c>
      <c r="V692" s="287">
        <v>0</v>
      </c>
      <c r="W692" s="283">
        <v>15000</v>
      </c>
      <c r="X692" s="283">
        <v>0</v>
      </c>
      <c r="Y692" s="199" t="s">
        <v>1392</v>
      </c>
      <c r="Z692" s="517" t="s">
        <v>5543</v>
      </c>
      <c r="AA692" s="493" t="s">
        <v>1485</v>
      </c>
      <c r="AB692" s="507"/>
    </row>
    <row r="693" spans="2:28" x14ac:dyDescent="0.15">
      <c r="B693" s="331" t="s">
        <v>3741</v>
      </c>
      <c r="C693" s="527">
        <v>43179</v>
      </c>
      <c r="D693" s="191" t="s">
        <v>3640</v>
      </c>
      <c r="E693" s="43" t="s">
        <v>1391</v>
      </c>
      <c r="F693" s="375" t="s">
        <v>3786</v>
      </c>
      <c r="G693" s="4" t="s">
        <v>364</v>
      </c>
      <c r="H693" s="191" t="s">
        <v>444</v>
      </c>
      <c r="I693" s="4" t="s">
        <v>1440</v>
      </c>
      <c r="J693" s="4" t="s">
        <v>262</v>
      </c>
      <c r="K693" s="4" t="s">
        <v>365</v>
      </c>
      <c r="L693" s="4" t="s">
        <v>3742</v>
      </c>
      <c r="M693" s="43" t="s">
        <v>3743</v>
      </c>
      <c r="N693" s="255">
        <v>130000</v>
      </c>
      <c r="O693" s="265">
        <v>100</v>
      </c>
      <c r="P693" s="270">
        <v>1</v>
      </c>
      <c r="Q693" s="255">
        <v>130000</v>
      </c>
      <c r="R693" s="283">
        <v>130000</v>
      </c>
      <c r="S693" s="283">
        <v>37782</v>
      </c>
      <c r="T693" s="287">
        <v>0</v>
      </c>
      <c r="U693" s="287">
        <v>1</v>
      </c>
      <c r="V693" s="287">
        <v>0</v>
      </c>
      <c r="W693" s="283">
        <v>15000</v>
      </c>
      <c r="X693" s="283">
        <v>0</v>
      </c>
      <c r="Y693" s="199" t="s">
        <v>1392</v>
      </c>
      <c r="Z693" s="517" t="s">
        <v>5166</v>
      </c>
      <c r="AA693" s="493" t="s">
        <v>1485</v>
      </c>
      <c r="AB693" s="507"/>
    </row>
    <row r="694" spans="2:28" x14ac:dyDescent="0.15">
      <c r="B694" s="331" t="s">
        <v>3744</v>
      </c>
      <c r="C694" s="527">
        <v>43179</v>
      </c>
      <c r="D694" s="191" t="s">
        <v>3640</v>
      </c>
      <c r="E694" s="43" t="s">
        <v>1391</v>
      </c>
      <c r="F694" s="375" t="s">
        <v>3786</v>
      </c>
      <c r="G694" s="4" t="s">
        <v>364</v>
      </c>
      <c r="H694" s="191" t="s">
        <v>444</v>
      </c>
      <c r="I694" s="4" t="s">
        <v>1440</v>
      </c>
      <c r="J694" s="4" t="s">
        <v>262</v>
      </c>
      <c r="K694" s="4" t="s">
        <v>365</v>
      </c>
      <c r="L694" s="4" t="s">
        <v>3745</v>
      </c>
      <c r="M694" s="43" t="s">
        <v>3746</v>
      </c>
      <c r="N694" s="255">
        <v>130000</v>
      </c>
      <c r="O694" s="265">
        <v>100</v>
      </c>
      <c r="P694" s="270">
        <v>1</v>
      </c>
      <c r="Q694" s="255">
        <v>130000</v>
      </c>
      <c r="R694" s="283">
        <v>130000</v>
      </c>
      <c r="S694" s="283">
        <v>37782</v>
      </c>
      <c r="T694" s="287">
        <v>0</v>
      </c>
      <c r="U694" s="287">
        <v>1</v>
      </c>
      <c r="V694" s="287">
        <v>0</v>
      </c>
      <c r="W694" s="283">
        <v>15000</v>
      </c>
      <c r="X694" s="283">
        <v>0</v>
      </c>
      <c r="Y694" s="199" t="s">
        <v>1392</v>
      </c>
      <c r="Z694" s="517" t="s">
        <v>5166</v>
      </c>
      <c r="AA694" s="493" t="s">
        <v>1485</v>
      </c>
      <c r="AB694" s="507"/>
    </row>
    <row r="695" spans="2:28" x14ac:dyDescent="0.15">
      <c r="B695" s="331" t="s">
        <v>3747</v>
      </c>
      <c r="C695" s="527">
        <v>43179</v>
      </c>
      <c r="D695" s="191" t="s">
        <v>3640</v>
      </c>
      <c r="E695" s="43" t="s">
        <v>1391</v>
      </c>
      <c r="F695" s="375" t="s">
        <v>3786</v>
      </c>
      <c r="G695" s="4" t="s">
        <v>364</v>
      </c>
      <c r="H695" s="191" t="s">
        <v>444</v>
      </c>
      <c r="I695" s="4" t="s">
        <v>1440</v>
      </c>
      <c r="J695" s="4" t="s">
        <v>262</v>
      </c>
      <c r="K695" s="4" t="s">
        <v>365</v>
      </c>
      <c r="L695" s="4" t="s">
        <v>3745</v>
      </c>
      <c r="M695" s="43" t="s">
        <v>3748</v>
      </c>
      <c r="N695" s="255">
        <v>130000</v>
      </c>
      <c r="O695" s="265">
        <v>100</v>
      </c>
      <c r="P695" s="270">
        <v>1</v>
      </c>
      <c r="Q695" s="255">
        <v>130000</v>
      </c>
      <c r="R695" s="283">
        <v>130000</v>
      </c>
      <c r="S695" s="283">
        <v>37782</v>
      </c>
      <c r="T695" s="287">
        <v>0</v>
      </c>
      <c r="U695" s="287">
        <v>1</v>
      </c>
      <c r="V695" s="287">
        <v>0</v>
      </c>
      <c r="W695" s="283">
        <v>15000</v>
      </c>
      <c r="X695" s="283">
        <v>0</v>
      </c>
      <c r="Y695" s="199" t="s">
        <v>1392</v>
      </c>
      <c r="Z695" s="517" t="s">
        <v>5166</v>
      </c>
      <c r="AA695" s="493" t="s">
        <v>1485</v>
      </c>
      <c r="AB695" s="507"/>
    </row>
    <row r="696" spans="2:28" x14ac:dyDescent="0.15">
      <c r="B696" s="331" t="s">
        <v>3749</v>
      </c>
      <c r="C696" s="527">
        <v>43179</v>
      </c>
      <c r="D696" s="191" t="s">
        <v>3644</v>
      </c>
      <c r="E696" s="43" t="s">
        <v>1391</v>
      </c>
      <c r="F696" s="375" t="s">
        <v>3786</v>
      </c>
      <c r="G696" s="4" t="s">
        <v>364</v>
      </c>
      <c r="H696" s="191" t="s">
        <v>444</v>
      </c>
      <c r="I696" s="4" t="s">
        <v>1440</v>
      </c>
      <c r="J696" s="4" t="s">
        <v>262</v>
      </c>
      <c r="K696" s="4" t="s">
        <v>365</v>
      </c>
      <c r="L696" s="4" t="s">
        <v>3745</v>
      </c>
      <c r="M696" s="43" t="s">
        <v>3750</v>
      </c>
      <c r="N696" s="255">
        <v>130000</v>
      </c>
      <c r="O696" s="265">
        <v>100</v>
      </c>
      <c r="P696" s="270">
        <v>1</v>
      </c>
      <c r="Q696" s="255">
        <v>130000</v>
      </c>
      <c r="R696" s="283">
        <v>130000</v>
      </c>
      <c r="S696" s="283">
        <v>37782</v>
      </c>
      <c r="T696" s="287">
        <v>0</v>
      </c>
      <c r="U696" s="287">
        <v>1</v>
      </c>
      <c r="V696" s="287">
        <v>0</v>
      </c>
      <c r="W696" s="283">
        <v>15000</v>
      </c>
      <c r="X696" s="283">
        <v>0</v>
      </c>
      <c r="Y696" s="199" t="s">
        <v>1392</v>
      </c>
      <c r="Z696" s="517" t="s">
        <v>5166</v>
      </c>
      <c r="AA696" s="493" t="s">
        <v>1485</v>
      </c>
      <c r="AB696" s="507"/>
    </row>
    <row r="697" spans="2:28" x14ac:dyDescent="0.15">
      <c r="B697" s="331" t="s">
        <v>3751</v>
      </c>
      <c r="C697" s="527">
        <v>43179</v>
      </c>
      <c r="D697" s="191" t="s">
        <v>3644</v>
      </c>
      <c r="E697" s="43" t="s">
        <v>1391</v>
      </c>
      <c r="F697" s="375" t="s">
        <v>3786</v>
      </c>
      <c r="G697" s="4" t="s">
        <v>364</v>
      </c>
      <c r="H697" s="191" t="s">
        <v>444</v>
      </c>
      <c r="I697" s="4" t="s">
        <v>1440</v>
      </c>
      <c r="J697" s="4" t="s">
        <v>262</v>
      </c>
      <c r="K697" s="4" t="s">
        <v>365</v>
      </c>
      <c r="L697" s="4" t="s">
        <v>3752</v>
      </c>
      <c r="M697" s="43" t="s">
        <v>3753</v>
      </c>
      <c r="N697" s="255">
        <v>130000</v>
      </c>
      <c r="O697" s="265">
        <v>100</v>
      </c>
      <c r="P697" s="270">
        <v>1</v>
      </c>
      <c r="Q697" s="255">
        <v>130000</v>
      </c>
      <c r="R697" s="283">
        <v>130000</v>
      </c>
      <c r="S697" s="283">
        <v>37782</v>
      </c>
      <c r="T697" s="287">
        <v>0</v>
      </c>
      <c r="U697" s="287">
        <v>1</v>
      </c>
      <c r="V697" s="287">
        <v>0</v>
      </c>
      <c r="W697" s="283">
        <v>15000</v>
      </c>
      <c r="X697" s="283">
        <v>0</v>
      </c>
      <c r="Y697" s="199" t="s">
        <v>1392</v>
      </c>
      <c r="Z697" s="517" t="s">
        <v>5166</v>
      </c>
      <c r="AA697" s="493" t="s">
        <v>1485</v>
      </c>
      <c r="AB697" s="507"/>
    </row>
    <row r="698" spans="2:28" x14ac:dyDescent="0.15">
      <c r="B698" s="331" t="s">
        <v>3754</v>
      </c>
      <c r="C698" s="527">
        <v>43179</v>
      </c>
      <c r="D698" s="191" t="s">
        <v>3644</v>
      </c>
      <c r="E698" s="43" t="s">
        <v>1391</v>
      </c>
      <c r="F698" s="375" t="s">
        <v>3786</v>
      </c>
      <c r="G698" s="4" t="s">
        <v>364</v>
      </c>
      <c r="H698" s="191" t="s">
        <v>444</v>
      </c>
      <c r="I698" s="4" t="s">
        <v>1440</v>
      </c>
      <c r="J698" s="4" t="s">
        <v>262</v>
      </c>
      <c r="K698" s="4" t="s">
        <v>365</v>
      </c>
      <c r="L698" s="4" t="s">
        <v>3752</v>
      </c>
      <c r="M698" s="43" t="s">
        <v>3755</v>
      </c>
      <c r="N698" s="255">
        <v>130000</v>
      </c>
      <c r="O698" s="265">
        <v>100</v>
      </c>
      <c r="P698" s="270">
        <v>1</v>
      </c>
      <c r="Q698" s="255">
        <v>130000</v>
      </c>
      <c r="R698" s="283">
        <v>130000</v>
      </c>
      <c r="S698" s="283">
        <v>37782</v>
      </c>
      <c r="T698" s="287">
        <v>0</v>
      </c>
      <c r="U698" s="287">
        <v>1</v>
      </c>
      <c r="V698" s="287">
        <v>0</v>
      </c>
      <c r="W698" s="283">
        <v>15000</v>
      </c>
      <c r="X698" s="283">
        <v>0</v>
      </c>
      <c r="Y698" s="199" t="s">
        <v>1392</v>
      </c>
      <c r="Z698" s="517" t="s">
        <v>5532</v>
      </c>
      <c r="AA698" s="493" t="s">
        <v>1485</v>
      </c>
      <c r="AB698" s="507"/>
    </row>
    <row r="699" spans="2:28" x14ac:dyDescent="0.15">
      <c r="B699" s="331" t="s">
        <v>3756</v>
      </c>
      <c r="C699" s="527">
        <v>43179</v>
      </c>
      <c r="D699" s="191" t="s">
        <v>3644</v>
      </c>
      <c r="E699" s="43" t="s">
        <v>1391</v>
      </c>
      <c r="F699" s="375" t="s">
        <v>3786</v>
      </c>
      <c r="G699" s="4" t="s">
        <v>364</v>
      </c>
      <c r="H699" s="191" t="s">
        <v>444</v>
      </c>
      <c r="I699" s="4" t="s">
        <v>1440</v>
      </c>
      <c r="J699" s="4" t="s">
        <v>262</v>
      </c>
      <c r="K699" s="4" t="s">
        <v>365</v>
      </c>
      <c r="L699" s="4" t="s">
        <v>3752</v>
      </c>
      <c r="M699" s="43" t="s">
        <v>3757</v>
      </c>
      <c r="N699" s="255">
        <v>130000</v>
      </c>
      <c r="O699" s="265">
        <v>100</v>
      </c>
      <c r="P699" s="270">
        <v>1</v>
      </c>
      <c r="Q699" s="255">
        <v>130000</v>
      </c>
      <c r="R699" s="283">
        <v>130000</v>
      </c>
      <c r="S699" s="283">
        <v>37782</v>
      </c>
      <c r="T699" s="287">
        <v>0</v>
      </c>
      <c r="U699" s="287">
        <v>1</v>
      </c>
      <c r="V699" s="287">
        <v>0</v>
      </c>
      <c r="W699" s="283">
        <v>15000</v>
      </c>
      <c r="X699" s="283">
        <v>0</v>
      </c>
      <c r="Y699" s="199" t="s">
        <v>1392</v>
      </c>
      <c r="Z699" s="517" t="s">
        <v>5166</v>
      </c>
      <c r="AA699" s="493" t="s">
        <v>1485</v>
      </c>
      <c r="AB699" s="507"/>
    </row>
    <row r="700" spans="2:28" x14ac:dyDescent="0.15">
      <c r="B700" s="331" t="s">
        <v>3758</v>
      </c>
      <c r="C700" s="527">
        <v>43179</v>
      </c>
      <c r="D700" s="191" t="s">
        <v>3656</v>
      </c>
      <c r="E700" s="43" t="s">
        <v>1391</v>
      </c>
      <c r="F700" s="375" t="s">
        <v>3786</v>
      </c>
      <c r="G700" s="4" t="s">
        <v>364</v>
      </c>
      <c r="H700" s="191" t="s">
        <v>436</v>
      </c>
      <c r="I700" s="4" t="s">
        <v>2383</v>
      </c>
      <c r="J700" s="4" t="s">
        <v>295</v>
      </c>
      <c r="K700" s="4" t="s">
        <v>1166</v>
      </c>
      <c r="L700" s="4" t="s">
        <v>3759</v>
      </c>
      <c r="M700" s="43"/>
      <c r="N700" s="255">
        <v>1500</v>
      </c>
      <c r="O700" s="265">
        <v>65</v>
      </c>
      <c r="P700" s="270">
        <v>2</v>
      </c>
      <c r="Q700" s="255">
        <v>975</v>
      </c>
      <c r="R700" s="283">
        <v>1950</v>
      </c>
      <c r="S700" s="283">
        <v>766</v>
      </c>
      <c r="T700" s="287">
        <v>0</v>
      </c>
      <c r="U700" s="287">
        <v>0</v>
      </c>
      <c r="V700" s="287">
        <v>0</v>
      </c>
      <c r="W700" s="283">
        <v>224</v>
      </c>
      <c r="X700" s="283">
        <v>0</v>
      </c>
      <c r="Y700" s="199" t="s">
        <v>1392</v>
      </c>
      <c r="Z700" s="517" t="s">
        <v>5166</v>
      </c>
      <c r="AA700" s="493" t="s">
        <v>1485</v>
      </c>
      <c r="AB700" s="507"/>
    </row>
    <row r="701" spans="2:28" x14ac:dyDescent="0.15">
      <c r="B701" s="331" t="s">
        <v>3760</v>
      </c>
      <c r="C701" s="527">
        <v>43179</v>
      </c>
      <c r="D701" s="191" t="s">
        <v>3656</v>
      </c>
      <c r="E701" s="43" t="s">
        <v>1391</v>
      </c>
      <c r="F701" s="375" t="s">
        <v>3786</v>
      </c>
      <c r="G701" s="4" t="s">
        <v>364</v>
      </c>
      <c r="H701" s="191" t="s">
        <v>436</v>
      </c>
      <c r="I701" s="4" t="s">
        <v>2383</v>
      </c>
      <c r="J701" s="4"/>
      <c r="K701" s="4"/>
      <c r="L701" s="4" t="s">
        <v>1520</v>
      </c>
      <c r="M701" s="43"/>
      <c r="N701" s="255">
        <v>450</v>
      </c>
      <c r="O701" s="265">
        <v>100</v>
      </c>
      <c r="P701" s="270">
        <v>1</v>
      </c>
      <c r="Q701" s="255">
        <v>450</v>
      </c>
      <c r="R701" s="283">
        <v>450</v>
      </c>
      <c r="S701" s="283">
        <v>0</v>
      </c>
      <c r="T701" s="287">
        <v>0</v>
      </c>
      <c r="U701" s="287">
        <v>0</v>
      </c>
      <c r="V701" s="287">
        <v>0</v>
      </c>
      <c r="W701" s="283">
        <v>0</v>
      </c>
      <c r="X701" s="283">
        <v>0</v>
      </c>
      <c r="Y701" s="199" t="s">
        <v>4146</v>
      </c>
      <c r="Z701" s="517" t="s">
        <v>5542</v>
      </c>
      <c r="AA701" s="493" t="s">
        <v>1485</v>
      </c>
      <c r="AB701" s="507"/>
    </row>
    <row r="702" spans="2:28" x14ac:dyDescent="0.15">
      <c r="B702" s="331" t="s">
        <v>3761</v>
      </c>
      <c r="C702" s="527">
        <v>43179</v>
      </c>
      <c r="D702" s="191" t="s">
        <v>3659</v>
      </c>
      <c r="E702" s="43" t="s">
        <v>1391</v>
      </c>
      <c r="F702" s="375" t="s">
        <v>3786</v>
      </c>
      <c r="G702" s="4" t="s">
        <v>364</v>
      </c>
      <c r="H702" s="191" t="s">
        <v>519</v>
      </c>
      <c r="I702" s="4" t="s">
        <v>1526</v>
      </c>
      <c r="J702" s="4" t="s">
        <v>268</v>
      </c>
      <c r="K702" s="4" t="s">
        <v>1158</v>
      </c>
      <c r="L702" s="4" t="s">
        <v>1577</v>
      </c>
      <c r="M702" s="43" t="s">
        <v>3762</v>
      </c>
      <c r="N702" s="255">
        <v>260000</v>
      </c>
      <c r="O702" s="265">
        <v>60</v>
      </c>
      <c r="P702" s="270">
        <v>1</v>
      </c>
      <c r="Q702" s="255">
        <v>156000</v>
      </c>
      <c r="R702" s="283">
        <v>156000</v>
      </c>
      <c r="S702" s="283">
        <v>49949</v>
      </c>
      <c r="T702" s="287">
        <v>1</v>
      </c>
      <c r="U702" s="287">
        <v>0</v>
      </c>
      <c r="V702" s="287">
        <v>0</v>
      </c>
      <c r="W702" s="283">
        <v>0</v>
      </c>
      <c r="X702" s="283">
        <v>0</v>
      </c>
      <c r="Y702" s="199" t="s">
        <v>1395</v>
      </c>
      <c r="Z702" s="517" t="s">
        <v>5554</v>
      </c>
      <c r="AA702" s="493" t="s">
        <v>1485</v>
      </c>
      <c r="AB702" s="507"/>
    </row>
    <row r="703" spans="2:28" x14ac:dyDescent="0.15">
      <c r="B703" s="327" t="s">
        <v>3770</v>
      </c>
      <c r="C703" s="527">
        <v>43179</v>
      </c>
      <c r="D703" s="191" t="s">
        <v>3653</v>
      </c>
      <c r="E703" s="43" t="s">
        <v>1391</v>
      </c>
      <c r="F703" s="191" t="s">
        <v>3821</v>
      </c>
      <c r="G703" s="4" t="s">
        <v>3559</v>
      </c>
      <c r="H703" s="43"/>
      <c r="I703" s="4"/>
      <c r="J703" s="4" t="s">
        <v>296</v>
      </c>
      <c r="K703" s="4" t="s">
        <v>1167</v>
      </c>
      <c r="L703" s="4" t="s">
        <v>1468</v>
      </c>
      <c r="M703" s="43"/>
      <c r="N703" s="255">
        <v>3500</v>
      </c>
      <c r="O703" s="265">
        <v>60</v>
      </c>
      <c r="P703" s="270">
        <v>1</v>
      </c>
      <c r="Q703" s="255">
        <v>2100</v>
      </c>
      <c r="R703" s="283">
        <v>2100</v>
      </c>
      <c r="S703" s="283">
        <v>900</v>
      </c>
      <c r="T703" s="287">
        <v>0</v>
      </c>
      <c r="U703" s="287">
        <v>0</v>
      </c>
      <c r="V703" s="287">
        <v>0</v>
      </c>
      <c r="W703" s="283">
        <v>0</v>
      </c>
      <c r="X703" s="283">
        <v>0</v>
      </c>
      <c r="Y703" s="199" t="s">
        <v>1395</v>
      </c>
      <c r="Z703" s="517" t="s">
        <v>5553</v>
      </c>
      <c r="AA703" s="493" t="s">
        <v>1485</v>
      </c>
      <c r="AB703" s="507"/>
    </row>
    <row r="704" spans="2:28" x14ac:dyDescent="0.15">
      <c r="B704" s="327" t="s">
        <v>3770</v>
      </c>
      <c r="C704" s="527">
        <v>43179</v>
      </c>
      <c r="D704" s="191" t="s">
        <v>3653</v>
      </c>
      <c r="E704" s="43" t="s">
        <v>1391</v>
      </c>
      <c r="F704" s="191" t="s">
        <v>3821</v>
      </c>
      <c r="G704" s="4" t="s">
        <v>3559</v>
      </c>
      <c r="H704" s="43"/>
      <c r="I704" s="4"/>
      <c r="J704" s="4" t="s">
        <v>296</v>
      </c>
      <c r="K704" s="4" t="s">
        <v>1167</v>
      </c>
      <c r="L704" s="4" t="s">
        <v>1468</v>
      </c>
      <c r="M704" s="43"/>
      <c r="N704" s="255">
        <v>3500</v>
      </c>
      <c r="O704" s="265">
        <v>60</v>
      </c>
      <c r="P704" s="270">
        <v>2</v>
      </c>
      <c r="Q704" s="255">
        <v>2100</v>
      </c>
      <c r="R704" s="283">
        <v>4200</v>
      </c>
      <c r="S704" s="283">
        <v>1800</v>
      </c>
      <c r="T704" s="287">
        <v>0</v>
      </c>
      <c r="U704" s="287">
        <v>0</v>
      </c>
      <c r="V704" s="287">
        <v>0</v>
      </c>
      <c r="W704" s="283">
        <v>0</v>
      </c>
      <c r="X704" s="283">
        <v>0</v>
      </c>
      <c r="Y704" s="199" t="s">
        <v>1395</v>
      </c>
      <c r="Z704" s="517" t="s">
        <v>5170</v>
      </c>
      <c r="AA704" s="493" t="s">
        <v>1485</v>
      </c>
      <c r="AB704" s="507"/>
    </row>
    <row r="705" spans="2:28" x14ac:dyDescent="0.15">
      <c r="B705" s="327" t="s">
        <v>3770</v>
      </c>
      <c r="C705" s="527">
        <v>43179</v>
      </c>
      <c r="D705" s="191" t="s">
        <v>3653</v>
      </c>
      <c r="E705" s="43" t="s">
        <v>1391</v>
      </c>
      <c r="F705" s="191" t="s">
        <v>3821</v>
      </c>
      <c r="G705" s="4" t="s">
        <v>3559</v>
      </c>
      <c r="H705" s="43"/>
      <c r="I705" s="4"/>
      <c r="J705" s="4" t="s">
        <v>298</v>
      </c>
      <c r="K705" s="4" t="s">
        <v>1168</v>
      </c>
      <c r="L705" s="4" t="s">
        <v>1412</v>
      </c>
      <c r="M705" s="43"/>
      <c r="N705" s="255">
        <v>2400</v>
      </c>
      <c r="O705" s="265">
        <v>60</v>
      </c>
      <c r="P705" s="270">
        <v>3</v>
      </c>
      <c r="Q705" s="255">
        <v>1440</v>
      </c>
      <c r="R705" s="283">
        <v>4320</v>
      </c>
      <c r="S705" s="283">
        <v>1920</v>
      </c>
      <c r="T705" s="287">
        <v>0</v>
      </c>
      <c r="U705" s="287">
        <v>0</v>
      </c>
      <c r="V705" s="287">
        <v>0</v>
      </c>
      <c r="W705" s="283">
        <v>0</v>
      </c>
      <c r="X705" s="283">
        <v>0</v>
      </c>
      <c r="Y705" s="199" t="s">
        <v>1395</v>
      </c>
      <c r="Z705" s="517" t="s">
        <v>5554</v>
      </c>
      <c r="AA705" s="493" t="s">
        <v>1485</v>
      </c>
      <c r="AB705" s="507"/>
    </row>
    <row r="706" spans="2:28" x14ac:dyDescent="0.15">
      <c r="B706" s="333" t="s">
        <v>3840</v>
      </c>
      <c r="C706" s="528">
        <v>43179</v>
      </c>
      <c r="D706" s="198" t="s">
        <v>3701</v>
      </c>
      <c r="E706" s="53" t="s">
        <v>1396</v>
      </c>
      <c r="F706" s="198" t="s">
        <v>3791</v>
      </c>
      <c r="G706" s="3" t="s">
        <v>1321</v>
      </c>
      <c r="H706" s="53"/>
      <c r="I706" s="3"/>
      <c r="J706" s="3"/>
      <c r="K706" s="3"/>
      <c r="L706" s="3" t="s">
        <v>1418</v>
      </c>
      <c r="M706" s="53"/>
      <c r="N706" s="258">
        <v>24400</v>
      </c>
      <c r="O706" s="266">
        <v>100</v>
      </c>
      <c r="P706" s="272">
        <v>-1</v>
      </c>
      <c r="Q706" s="258">
        <v>24400</v>
      </c>
      <c r="R706" s="286">
        <v>-24400</v>
      </c>
      <c r="S706" s="286">
        <v>-24400</v>
      </c>
      <c r="T706" s="288">
        <v>0</v>
      </c>
      <c r="U706" s="288">
        <v>0</v>
      </c>
      <c r="V706" s="288">
        <v>0</v>
      </c>
      <c r="W706" s="286">
        <v>24400</v>
      </c>
      <c r="X706" s="286">
        <v>0</v>
      </c>
      <c r="Y706" s="200" t="s">
        <v>1392</v>
      </c>
      <c r="Z706" s="517" t="s">
        <v>5533</v>
      </c>
      <c r="AA706" s="499"/>
      <c r="AB706" s="508"/>
    </row>
    <row r="707" spans="2:28" x14ac:dyDescent="0.15">
      <c r="B707" s="331" t="s">
        <v>3763</v>
      </c>
      <c r="C707" s="528">
        <v>43180</v>
      </c>
      <c r="D707" s="198" t="s">
        <v>3605</v>
      </c>
      <c r="E707" s="53" t="s">
        <v>1396</v>
      </c>
      <c r="F707" s="376" t="s">
        <v>21</v>
      </c>
      <c r="G707" s="3" t="s">
        <v>50</v>
      </c>
      <c r="H707" s="198" t="s">
        <v>380</v>
      </c>
      <c r="I707" s="3" t="s">
        <v>1976</v>
      </c>
      <c r="J707" s="4" t="s">
        <v>273</v>
      </c>
      <c r="K707" s="4" t="s">
        <v>1161</v>
      </c>
      <c r="L707" s="4" t="s">
        <v>3764</v>
      </c>
      <c r="M707" s="43" t="s">
        <v>3765</v>
      </c>
      <c r="N707" s="255">
        <v>301000</v>
      </c>
      <c r="O707" s="265">
        <v>60</v>
      </c>
      <c r="P707" s="270">
        <v>1</v>
      </c>
      <c r="Q707" s="255">
        <v>180600</v>
      </c>
      <c r="R707" s="283">
        <v>180600</v>
      </c>
      <c r="S707" s="283">
        <v>55286</v>
      </c>
      <c r="T707" s="287">
        <v>0</v>
      </c>
      <c r="U707" s="287">
        <v>1</v>
      </c>
      <c r="V707" s="287">
        <v>0</v>
      </c>
      <c r="W707" s="283">
        <v>18060</v>
      </c>
      <c r="X707" s="283">
        <v>0</v>
      </c>
      <c r="Y707" s="199" t="s">
        <v>1392</v>
      </c>
      <c r="Z707" s="517" t="s">
        <v>5166</v>
      </c>
      <c r="AA707" s="493" t="s">
        <v>1485</v>
      </c>
      <c r="AB707" s="507"/>
    </row>
    <row r="708" spans="2:28" x14ac:dyDescent="0.15">
      <c r="B708" s="331" t="s">
        <v>3766</v>
      </c>
      <c r="C708" s="528">
        <v>43185</v>
      </c>
      <c r="D708" s="198" t="s">
        <v>3653</v>
      </c>
      <c r="E708" s="53" t="s">
        <v>1391</v>
      </c>
      <c r="F708" s="376" t="s">
        <v>3621</v>
      </c>
      <c r="G708" s="3" t="s">
        <v>3645</v>
      </c>
      <c r="H708" s="198" t="s">
        <v>534</v>
      </c>
      <c r="I708" s="3"/>
      <c r="J708" s="4" t="s">
        <v>299</v>
      </c>
      <c r="K708" s="4" t="s">
        <v>373</v>
      </c>
      <c r="L708" s="4" t="s">
        <v>3767</v>
      </c>
      <c r="M708" s="43"/>
      <c r="N708" s="255">
        <v>38000</v>
      </c>
      <c r="O708" s="265">
        <v>100</v>
      </c>
      <c r="P708" s="270">
        <v>1</v>
      </c>
      <c r="Q708" s="255">
        <v>38000</v>
      </c>
      <c r="R708" s="283">
        <v>38000</v>
      </c>
      <c r="S708" s="283">
        <v>10232</v>
      </c>
      <c r="T708" s="287">
        <v>0</v>
      </c>
      <c r="U708" s="287">
        <v>0</v>
      </c>
      <c r="V708" s="287">
        <v>0</v>
      </c>
      <c r="W708" s="283">
        <v>27768</v>
      </c>
      <c r="X708" s="283">
        <v>0</v>
      </c>
      <c r="Y708" s="199" t="s">
        <v>1392</v>
      </c>
      <c r="Z708" s="517" t="s">
        <v>5167</v>
      </c>
      <c r="AA708" s="493" t="s">
        <v>1485</v>
      </c>
      <c r="AB708" s="507"/>
    </row>
    <row r="709" spans="2:28" x14ac:dyDescent="0.15">
      <c r="B709" s="333" t="s">
        <v>3772</v>
      </c>
      <c r="C709" s="528">
        <v>43187</v>
      </c>
      <c r="D709" s="198" t="s">
        <v>3656</v>
      </c>
      <c r="E709" s="53" t="s">
        <v>1396</v>
      </c>
      <c r="F709" s="198" t="s">
        <v>3800</v>
      </c>
      <c r="G709" s="3" t="s">
        <v>50</v>
      </c>
      <c r="H709" s="53" t="s">
        <v>381</v>
      </c>
      <c r="I709" s="3" t="s">
        <v>1408</v>
      </c>
      <c r="J709" s="4" t="s">
        <v>271</v>
      </c>
      <c r="K709" s="4" t="s">
        <v>1160</v>
      </c>
      <c r="L709" s="4" t="s">
        <v>3773</v>
      </c>
      <c r="M709" s="43" t="s">
        <v>3774</v>
      </c>
      <c r="N709" s="255">
        <v>210000</v>
      </c>
      <c r="O709" s="265">
        <v>100</v>
      </c>
      <c r="P709" s="270">
        <v>1</v>
      </c>
      <c r="Q709" s="255">
        <v>210000</v>
      </c>
      <c r="R709" s="283">
        <v>210000</v>
      </c>
      <c r="S709" s="283">
        <v>48733</v>
      </c>
      <c r="T709" s="287">
        <v>0</v>
      </c>
      <c r="U709" s="287">
        <v>1</v>
      </c>
      <c r="V709" s="287">
        <v>0</v>
      </c>
      <c r="W709" s="283">
        <v>24230</v>
      </c>
      <c r="X709" s="283">
        <v>0</v>
      </c>
      <c r="Y709" s="199" t="s">
        <v>1392</v>
      </c>
      <c r="Z709" s="517" t="s">
        <v>5166</v>
      </c>
      <c r="AA709" s="493" t="s">
        <v>1485</v>
      </c>
      <c r="AB709" s="507"/>
    </row>
    <row r="710" spans="2:28" x14ac:dyDescent="0.15">
      <c r="B710" s="333" t="s">
        <v>3775</v>
      </c>
      <c r="C710" s="528">
        <v>43187</v>
      </c>
      <c r="D710" s="198" t="s">
        <v>3659</v>
      </c>
      <c r="E710" s="53" t="s">
        <v>1396</v>
      </c>
      <c r="F710" s="198" t="s">
        <v>3800</v>
      </c>
      <c r="G710" s="3" t="s">
        <v>50</v>
      </c>
      <c r="H710" s="53" t="s">
        <v>380</v>
      </c>
      <c r="I710" s="3" t="s">
        <v>1976</v>
      </c>
      <c r="J710" s="4" t="s">
        <v>270</v>
      </c>
      <c r="K710" s="4" t="s">
        <v>539</v>
      </c>
      <c r="L710" s="4" t="s">
        <v>3776</v>
      </c>
      <c r="M710" s="43" t="s">
        <v>3777</v>
      </c>
      <c r="N710" s="255">
        <v>328000</v>
      </c>
      <c r="O710" s="265">
        <v>60</v>
      </c>
      <c r="P710" s="270">
        <v>1</v>
      </c>
      <c r="Q710" s="255">
        <v>196800</v>
      </c>
      <c r="R710" s="283">
        <v>196800</v>
      </c>
      <c r="S710" s="283">
        <v>57839</v>
      </c>
      <c r="T710" s="287">
        <v>0</v>
      </c>
      <c r="U710" s="287">
        <v>1</v>
      </c>
      <c r="V710" s="287">
        <v>0</v>
      </c>
      <c r="W710" s="283">
        <v>19680</v>
      </c>
      <c r="X710" s="283">
        <v>0</v>
      </c>
      <c r="Y710" s="199" t="s">
        <v>1392</v>
      </c>
      <c r="Z710" s="517" t="s">
        <v>5166</v>
      </c>
      <c r="AA710" s="493" t="s">
        <v>1485</v>
      </c>
      <c r="AB710" s="507"/>
    </row>
    <row r="711" spans="2:28" x14ac:dyDescent="0.15">
      <c r="B711" s="333" t="s">
        <v>3778</v>
      </c>
      <c r="C711" s="528">
        <v>43189</v>
      </c>
      <c r="D711" s="198" t="s">
        <v>3663</v>
      </c>
      <c r="E711" s="53" t="s">
        <v>1396</v>
      </c>
      <c r="F711" s="198" t="s">
        <v>3800</v>
      </c>
      <c r="G711" s="3" t="s">
        <v>50</v>
      </c>
      <c r="H711" s="53" t="s">
        <v>381</v>
      </c>
      <c r="I711" s="3" t="s">
        <v>1408</v>
      </c>
      <c r="J711" s="4" t="s">
        <v>265</v>
      </c>
      <c r="K711" s="4" t="s">
        <v>1155</v>
      </c>
      <c r="L711" s="4" t="s">
        <v>1743</v>
      </c>
      <c r="M711" s="43" t="s">
        <v>3779</v>
      </c>
      <c r="N711" s="255">
        <v>395000</v>
      </c>
      <c r="O711" s="265">
        <v>60</v>
      </c>
      <c r="P711" s="270">
        <v>1</v>
      </c>
      <c r="Q711" s="255">
        <v>237000</v>
      </c>
      <c r="R711" s="283">
        <v>237000</v>
      </c>
      <c r="S711" s="283">
        <v>64894</v>
      </c>
      <c r="T711" s="287">
        <v>0</v>
      </c>
      <c r="U711" s="287">
        <v>1</v>
      </c>
      <c r="V711" s="287">
        <v>0</v>
      </c>
      <c r="W711" s="283">
        <v>23700</v>
      </c>
      <c r="X711" s="283">
        <v>0</v>
      </c>
      <c r="Y711" s="199" t="s">
        <v>1392</v>
      </c>
      <c r="Z711" s="517" t="s">
        <v>5166</v>
      </c>
      <c r="AA711" s="493" t="s">
        <v>1485</v>
      </c>
      <c r="AB711" s="507"/>
    </row>
    <row r="712" spans="2:28" x14ac:dyDescent="0.15">
      <c r="B712" s="331" t="s">
        <v>3768</v>
      </c>
      <c r="C712" s="528">
        <v>43191</v>
      </c>
      <c r="D712" s="198" t="s">
        <v>3648</v>
      </c>
      <c r="E712" s="53" t="s">
        <v>1391</v>
      </c>
      <c r="F712" s="376" t="s">
        <v>3783</v>
      </c>
      <c r="G712" s="3" t="s">
        <v>362</v>
      </c>
      <c r="H712" s="198" t="s">
        <v>689</v>
      </c>
      <c r="I712" s="3" t="s">
        <v>1394</v>
      </c>
      <c r="J712" s="4" t="s">
        <v>261</v>
      </c>
      <c r="K712" s="4" t="s">
        <v>1153</v>
      </c>
      <c r="L712" s="4" t="s">
        <v>2096</v>
      </c>
      <c r="M712" s="43" t="s">
        <v>3769</v>
      </c>
      <c r="N712" s="255">
        <v>270000</v>
      </c>
      <c r="O712" s="265">
        <v>55</v>
      </c>
      <c r="P712" s="270">
        <v>1</v>
      </c>
      <c r="Q712" s="255">
        <v>148500</v>
      </c>
      <c r="R712" s="283">
        <v>148500</v>
      </c>
      <c r="S712" s="283">
        <v>45841</v>
      </c>
      <c r="T712" s="287">
        <v>1</v>
      </c>
      <c r="U712" s="287">
        <v>0</v>
      </c>
      <c r="V712" s="287">
        <v>0</v>
      </c>
      <c r="W712" s="283">
        <v>0</v>
      </c>
      <c r="X712" s="283">
        <v>0</v>
      </c>
      <c r="Y712" s="199" t="s">
        <v>1395</v>
      </c>
      <c r="Z712" s="517" t="s">
        <v>5532</v>
      </c>
      <c r="AA712" s="493" t="s">
        <v>1485</v>
      </c>
      <c r="AB712" s="507"/>
    </row>
    <row r="713" spans="2:28" x14ac:dyDescent="0.15">
      <c r="B713" s="333" t="s">
        <v>3780</v>
      </c>
      <c r="C713" s="528">
        <v>43193</v>
      </c>
      <c r="D713" s="198" t="s">
        <v>3667</v>
      </c>
      <c r="E713" s="53" t="s">
        <v>1391</v>
      </c>
      <c r="F713" s="198" t="s">
        <v>3821</v>
      </c>
      <c r="G713" s="3" t="s">
        <v>3559</v>
      </c>
      <c r="H713" s="53"/>
      <c r="I713" s="3"/>
      <c r="J713" s="4" t="s">
        <v>297</v>
      </c>
      <c r="K713" s="4" t="s">
        <v>369</v>
      </c>
      <c r="L713" s="4" t="s">
        <v>3781</v>
      </c>
      <c r="M713" s="43"/>
      <c r="N713" s="255">
        <v>100</v>
      </c>
      <c r="O713" s="265">
        <v>50</v>
      </c>
      <c r="P713" s="270">
        <v>10</v>
      </c>
      <c r="Q713" s="255">
        <v>50</v>
      </c>
      <c r="R713" s="283">
        <v>500</v>
      </c>
      <c r="S713" s="283">
        <v>300</v>
      </c>
      <c r="T713" s="287">
        <v>0</v>
      </c>
      <c r="U713" s="287">
        <v>0</v>
      </c>
      <c r="V713" s="287">
        <v>0</v>
      </c>
      <c r="W713" s="283">
        <v>0</v>
      </c>
      <c r="X713" s="283">
        <v>0</v>
      </c>
      <c r="Y713" s="199" t="s">
        <v>1395</v>
      </c>
      <c r="Z713" s="517" t="s">
        <v>5553</v>
      </c>
      <c r="AA713" s="493" t="s">
        <v>1485</v>
      </c>
      <c r="AB713" s="507"/>
    </row>
    <row r="714" spans="2:28" x14ac:dyDescent="0.15">
      <c r="B714" s="333" t="s">
        <v>3780</v>
      </c>
      <c r="C714" s="528">
        <v>43193</v>
      </c>
      <c r="D714" s="198" t="s">
        <v>3667</v>
      </c>
      <c r="E714" s="53" t="s">
        <v>1391</v>
      </c>
      <c r="F714" s="198" t="s">
        <v>3821</v>
      </c>
      <c r="G714" s="3" t="s">
        <v>3559</v>
      </c>
      <c r="H714" s="53"/>
      <c r="I714" s="3"/>
      <c r="J714" s="4" t="s">
        <v>297</v>
      </c>
      <c r="K714" s="4" t="s">
        <v>369</v>
      </c>
      <c r="L714" s="4" t="s">
        <v>3781</v>
      </c>
      <c r="M714" s="43"/>
      <c r="N714" s="255">
        <v>100</v>
      </c>
      <c r="O714" s="265">
        <v>50</v>
      </c>
      <c r="P714" s="270">
        <v>90</v>
      </c>
      <c r="Q714" s="255">
        <v>50</v>
      </c>
      <c r="R714" s="283">
        <v>4500</v>
      </c>
      <c r="S714" s="283">
        <v>2700</v>
      </c>
      <c r="T714" s="287">
        <v>0</v>
      </c>
      <c r="U714" s="287">
        <v>0</v>
      </c>
      <c r="V714" s="287">
        <v>0</v>
      </c>
      <c r="W714" s="283">
        <v>0</v>
      </c>
      <c r="X714" s="283">
        <v>0</v>
      </c>
      <c r="Y714" s="199" t="s">
        <v>1395</v>
      </c>
      <c r="Z714" s="517" t="s">
        <v>5170</v>
      </c>
      <c r="AA714" s="493" t="s">
        <v>1485</v>
      </c>
      <c r="AB714" s="507"/>
    </row>
    <row r="715" spans="2:28" x14ac:dyDescent="0.15">
      <c r="B715" s="333" t="s">
        <v>3780</v>
      </c>
      <c r="C715" s="528">
        <v>43193</v>
      </c>
      <c r="D715" s="198" t="s">
        <v>3667</v>
      </c>
      <c r="E715" s="53" t="s">
        <v>1391</v>
      </c>
      <c r="F715" s="198" t="s">
        <v>3821</v>
      </c>
      <c r="G715" s="3" t="s">
        <v>3559</v>
      </c>
      <c r="H715" s="53"/>
      <c r="I715" s="3"/>
      <c r="J715" s="4" t="s">
        <v>296</v>
      </c>
      <c r="K715" s="4" t="s">
        <v>1167</v>
      </c>
      <c r="L715" s="4" t="s">
        <v>2542</v>
      </c>
      <c r="M715" s="43"/>
      <c r="N715" s="255">
        <v>3500</v>
      </c>
      <c r="O715" s="265">
        <v>60</v>
      </c>
      <c r="P715" s="270">
        <v>3</v>
      </c>
      <c r="Q715" s="255">
        <v>2100</v>
      </c>
      <c r="R715" s="283">
        <v>6300</v>
      </c>
      <c r="S715" s="283">
        <v>2700</v>
      </c>
      <c r="T715" s="287">
        <v>0</v>
      </c>
      <c r="U715" s="287">
        <v>0</v>
      </c>
      <c r="V715" s="287">
        <v>0</v>
      </c>
      <c r="W715" s="283">
        <v>0</v>
      </c>
      <c r="X715" s="283">
        <v>0</v>
      </c>
      <c r="Y715" s="199" t="s">
        <v>1395</v>
      </c>
      <c r="Z715" s="517" t="s">
        <v>5170</v>
      </c>
      <c r="AA715" s="493" t="s">
        <v>1485</v>
      </c>
      <c r="AB715" s="507"/>
    </row>
    <row r="716" spans="2:28" x14ac:dyDescent="0.15">
      <c r="B716" s="333" t="s">
        <v>3826</v>
      </c>
      <c r="C716" s="528">
        <v>43196</v>
      </c>
      <c r="D716" s="198" t="s">
        <v>3670</v>
      </c>
      <c r="E716" s="53" t="s">
        <v>1396</v>
      </c>
      <c r="F716" s="198" t="s">
        <v>3784</v>
      </c>
      <c r="G716" s="3" t="s">
        <v>1110</v>
      </c>
      <c r="H716" s="53" t="s">
        <v>801</v>
      </c>
      <c r="I716" s="3" t="s">
        <v>1920</v>
      </c>
      <c r="J716" s="4" t="s">
        <v>270</v>
      </c>
      <c r="K716" s="4" t="s">
        <v>539</v>
      </c>
      <c r="L716" s="4" t="s">
        <v>3827</v>
      </c>
      <c r="M716" s="43" t="s">
        <v>3828</v>
      </c>
      <c r="N716" s="255">
        <v>318000</v>
      </c>
      <c r="O716" s="265">
        <v>60</v>
      </c>
      <c r="P716" s="270">
        <v>1</v>
      </c>
      <c r="Q716" s="255">
        <v>190800</v>
      </c>
      <c r="R716" s="283">
        <v>190800</v>
      </c>
      <c r="S716" s="283">
        <v>52202</v>
      </c>
      <c r="T716" s="287">
        <v>0</v>
      </c>
      <c r="U716" s="287">
        <v>1</v>
      </c>
      <c r="V716" s="287">
        <v>0</v>
      </c>
      <c r="W716" s="283">
        <v>19080</v>
      </c>
      <c r="X716" s="283">
        <v>0</v>
      </c>
      <c r="Y716" s="199" t="s">
        <v>1392</v>
      </c>
      <c r="Z716" s="517" t="s">
        <v>5449</v>
      </c>
      <c r="AA716" s="493" t="s">
        <v>1485</v>
      </c>
      <c r="AB716" s="507"/>
    </row>
    <row r="717" spans="2:28" x14ac:dyDescent="0.15">
      <c r="B717" s="333" t="s">
        <v>3829</v>
      </c>
      <c r="C717" s="528">
        <v>43196</v>
      </c>
      <c r="D717" s="198" t="s">
        <v>3673</v>
      </c>
      <c r="E717" s="53" t="s">
        <v>1396</v>
      </c>
      <c r="F717" s="198" t="s">
        <v>21</v>
      </c>
      <c r="G717" s="3" t="s">
        <v>50</v>
      </c>
      <c r="H717" s="53" t="s">
        <v>379</v>
      </c>
      <c r="I717" s="3" t="s">
        <v>2551</v>
      </c>
      <c r="J717" s="4" t="s">
        <v>265</v>
      </c>
      <c r="K717" s="4" t="s">
        <v>1155</v>
      </c>
      <c r="L717" s="4" t="s">
        <v>1743</v>
      </c>
      <c r="M717" s="43" t="s">
        <v>3779</v>
      </c>
      <c r="N717" s="255">
        <v>390000</v>
      </c>
      <c r="O717" s="265">
        <v>60</v>
      </c>
      <c r="P717" s="270">
        <v>1</v>
      </c>
      <c r="Q717" s="255">
        <v>234000</v>
      </c>
      <c r="R717" s="283">
        <v>234000</v>
      </c>
      <c r="S717" s="283">
        <v>73040</v>
      </c>
      <c r="T717" s="287">
        <v>0</v>
      </c>
      <c r="U717" s="287">
        <v>1</v>
      </c>
      <c r="V717" s="287">
        <v>0</v>
      </c>
      <c r="W717" s="283">
        <v>23400</v>
      </c>
      <c r="X717" s="283">
        <v>0</v>
      </c>
      <c r="Y717" s="199" t="s">
        <v>1392</v>
      </c>
      <c r="Z717" s="517" t="s">
        <v>5166</v>
      </c>
      <c r="AA717" s="493" t="s">
        <v>1485</v>
      </c>
      <c r="AB717" s="507"/>
    </row>
    <row r="718" spans="2:28" x14ac:dyDescent="0.15">
      <c r="B718" s="333" t="s">
        <v>3833</v>
      </c>
      <c r="C718" s="528">
        <v>43196</v>
      </c>
      <c r="D718" s="198" t="s">
        <v>3676</v>
      </c>
      <c r="E718" s="53" t="s">
        <v>1396</v>
      </c>
      <c r="F718" s="198" t="s">
        <v>3789</v>
      </c>
      <c r="G718" s="3" t="s">
        <v>368</v>
      </c>
      <c r="H718" s="53" t="s">
        <v>3830</v>
      </c>
      <c r="I718" s="3" t="s">
        <v>3831</v>
      </c>
      <c r="J718" s="4" t="s">
        <v>268</v>
      </c>
      <c r="K718" s="4" t="s">
        <v>1158</v>
      </c>
      <c r="L718" s="4" t="s">
        <v>3834</v>
      </c>
      <c r="M718" s="43" t="s">
        <v>3835</v>
      </c>
      <c r="N718" s="255">
        <v>270000</v>
      </c>
      <c r="O718" s="265">
        <v>60</v>
      </c>
      <c r="P718" s="270">
        <v>1</v>
      </c>
      <c r="Q718" s="255">
        <v>162000</v>
      </c>
      <c r="R718" s="283">
        <v>162000</v>
      </c>
      <c r="S718" s="283">
        <v>49849</v>
      </c>
      <c r="T718" s="287">
        <v>0</v>
      </c>
      <c r="U718" s="287">
        <v>1</v>
      </c>
      <c r="V718" s="287">
        <v>0</v>
      </c>
      <c r="W718" s="283">
        <v>16200</v>
      </c>
      <c r="X718" s="283">
        <v>0</v>
      </c>
      <c r="Y718" s="199" t="s">
        <v>1392</v>
      </c>
      <c r="Z718" s="517" t="s">
        <v>5449</v>
      </c>
      <c r="AA718" s="493" t="s">
        <v>1485</v>
      </c>
      <c r="AB718" s="507"/>
    </row>
    <row r="719" spans="2:28" x14ac:dyDescent="0.15">
      <c r="B719" s="333" t="s">
        <v>3836</v>
      </c>
      <c r="C719" s="528">
        <v>43196</v>
      </c>
      <c r="D719" s="198" t="s">
        <v>3678</v>
      </c>
      <c r="E719" s="53" t="s">
        <v>1391</v>
      </c>
      <c r="F719" s="198" t="s">
        <v>2768</v>
      </c>
      <c r="G719" s="3" t="s">
        <v>3415</v>
      </c>
      <c r="H719" s="53"/>
      <c r="I719" s="3"/>
      <c r="J719" s="4" t="s">
        <v>271</v>
      </c>
      <c r="K719" s="4" t="s">
        <v>1160</v>
      </c>
      <c r="L719" s="4" t="s">
        <v>1964</v>
      </c>
      <c r="M719" s="43" t="s">
        <v>3837</v>
      </c>
      <c r="N719" s="255">
        <v>176538</v>
      </c>
      <c r="O719" s="265">
        <v>100</v>
      </c>
      <c r="P719" s="270">
        <v>1</v>
      </c>
      <c r="Q719" s="255">
        <v>176538</v>
      </c>
      <c r="R719" s="283">
        <v>176538</v>
      </c>
      <c r="S719" s="283">
        <v>49924</v>
      </c>
      <c r="T719" s="287">
        <v>1</v>
      </c>
      <c r="U719" s="287">
        <v>0</v>
      </c>
      <c r="V719" s="287">
        <v>0</v>
      </c>
      <c r="W719" s="283">
        <v>0</v>
      </c>
      <c r="X719" s="283">
        <v>0</v>
      </c>
      <c r="Y719" s="199" t="s">
        <v>1395</v>
      </c>
      <c r="Z719" s="517" t="s">
        <v>5166</v>
      </c>
      <c r="AA719" s="493" t="s">
        <v>1485</v>
      </c>
      <c r="AB719" s="507"/>
    </row>
    <row r="720" spans="2:28" x14ac:dyDescent="0.15">
      <c r="B720" s="333" t="s">
        <v>3838</v>
      </c>
      <c r="C720" s="528">
        <v>43196</v>
      </c>
      <c r="D720" s="198" t="s">
        <v>3681</v>
      </c>
      <c r="E720" s="53" t="s">
        <v>1391</v>
      </c>
      <c r="F720" s="198" t="s">
        <v>2768</v>
      </c>
      <c r="G720" s="3" t="s">
        <v>3415</v>
      </c>
      <c r="H720" s="53"/>
      <c r="I720" s="3"/>
      <c r="J720" s="4" t="s">
        <v>264</v>
      </c>
      <c r="K720" s="4" t="s">
        <v>538</v>
      </c>
      <c r="L720" s="4" t="s">
        <v>2531</v>
      </c>
      <c r="M720" s="43" t="s">
        <v>3839</v>
      </c>
      <c r="N720" s="255">
        <v>340000</v>
      </c>
      <c r="O720" s="265">
        <v>51</v>
      </c>
      <c r="P720" s="270">
        <v>1</v>
      </c>
      <c r="Q720" s="255">
        <v>176800</v>
      </c>
      <c r="R720" s="283">
        <v>176800</v>
      </c>
      <c r="S720" s="283">
        <v>38610</v>
      </c>
      <c r="T720" s="287">
        <v>1</v>
      </c>
      <c r="U720" s="287">
        <v>0</v>
      </c>
      <c r="V720" s="287">
        <v>0</v>
      </c>
      <c r="W720" s="283">
        <v>0</v>
      </c>
      <c r="X720" s="283">
        <v>0</v>
      </c>
      <c r="Y720" s="199" t="s">
        <v>1395</v>
      </c>
      <c r="Z720" s="517" t="s">
        <v>5532</v>
      </c>
      <c r="AA720" s="493" t="s">
        <v>1485</v>
      </c>
      <c r="AB720" s="507"/>
    </row>
    <row r="721" spans="2:28" x14ac:dyDescent="0.15">
      <c r="B721" s="333" t="s">
        <v>3841</v>
      </c>
      <c r="C721" s="528">
        <v>43196</v>
      </c>
      <c r="D721" s="198" t="s">
        <v>3684</v>
      </c>
      <c r="E721" s="53" t="s">
        <v>2382</v>
      </c>
      <c r="F721" s="198" t="s">
        <v>3842</v>
      </c>
      <c r="G721" s="3" t="s">
        <v>2375</v>
      </c>
      <c r="H721" s="53"/>
      <c r="I721" s="3" t="s">
        <v>3843</v>
      </c>
      <c r="J721" s="4" t="s">
        <v>298</v>
      </c>
      <c r="K721" s="4" t="s">
        <v>1168</v>
      </c>
      <c r="L721" s="4" t="s">
        <v>3844</v>
      </c>
      <c r="M721" s="43"/>
      <c r="N721" s="255">
        <v>10000</v>
      </c>
      <c r="O721" s="265">
        <v>65</v>
      </c>
      <c r="P721" s="270">
        <v>1</v>
      </c>
      <c r="Q721" s="255">
        <v>6500</v>
      </c>
      <c r="R721" s="283">
        <v>6500</v>
      </c>
      <c r="S721" s="283">
        <v>3350</v>
      </c>
      <c r="T721" s="287">
        <v>0</v>
      </c>
      <c r="U721" s="287">
        <v>0</v>
      </c>
      <c r="V721" s="287">
        <v>0</v>
      </c>
      <c r="W721" s="283">
        <v>750</v>
      </c>
      <c r="X721" s="283">
        <v>0</v>
      </c>
      <c r="Y721" s="199" t="s">
        <v>1392</v>
      </c>
      <c r="Z721" s="517" t="s">
        <v>5547</v>
      </c>
      <c r="AA721" s="493"/>
      <c r="AB721" s="507"/>
    </row>
    <row r="722" spans="2:28" x14ac:dyDescent="0.15">
      <c r="B722" s="333" t="s">
        <v>3845</v>
      </c>
      <c r="C722" s="528">
        <v>43197</v>
      </c>
      <c r="D722" s="198" t="s">
        <v>3688</v>
      </c>
      <c r="E722" s="53" t="s">
        <v>1391</v>
      </c>
      <c r="F722" s="198" t="s">
        <v>2768</v>
      </c>
      <c r="G722" s="3" t="s">
        <v>3415</v>
      </c>
      <c r="H722" s="53"/>
      <c r="I722" s="3"/>
      <c r="J722" s="4" t="s">
        <v>270</v>
      </c>
      <c r="K722" s="4" t="s">
        <v>539</v>
      </c>
      <c r="L722" s="4" t="s">
        <v>3846</v>
      </c>
      <c r="M722" s="43" t="s">
        <v>3847</v>
      </c>
      <c r="N722" s="255">
        <v>328000</v>
      </c>
      <c r="O722" s="265">
        <v>51</v>
      </c>
      <c r="P722" s="270">
        <v>1</v>
      </c>
      <c r="Q722" s="255">
        <v>167280</v>
      </c>
      <c r="R722" s="283">
        <v>167280</v>
      </c>
      <c r="S722" s="283">
        <v>51459</v>
      </c>
      <c r="T722" s="287">
        <v>1</v>
      </c>
      <c r="U722" s="287">
        <v>0</v>
      </c>
      <c r="V722" s="287">
        <v>0</v>
      </c>
      <c r="W722" s="283">
        <v>0</v>
      </c>
      <c r="X722" s="283">
        <v>0</v>
      </c>
      <c r="Y722" s="199" t="s">
        <v>1395</v>
      </c>
      <c r="Z722" s="517" t="s">
        <v>5166</v>
      </c>
      <c r="AA722" s="493" t="s">
        <v>1485</v>
      </c>
      <c r="AB722" s="507"/>
    </row>
    <row r="723" spans="2:28" x14ac:dyDescent="0.15">
      <c r="B723" s="333" t="s">
        <v>3848</v>
      </c>
      <c r="C723" s="528">
        <v>43197</v>
      </c>
      <c r="D723" s="198" t="s">
        <v>3691</v>
      </c>
      <c r="E723" s="53" t="s">
        <v>1391</v>
      </c>
      <c r="F723" s="198" t="s">
        <v>2768</v>
      </c>
      <c r="G723" s="3" t="s">
        <v>3415</v>
      </c>
      <c r="H723" s="53"/>
      <c r="I723" s="3"/>
      <c r="J723" s="190" t="s">
        <v>3868</v>
      </c>
      <c r="K723" s="190" t="s">
        <v>3869</v>
      </c>
      <c r="L723" s="4" t="s">
        <v>3870</v>
      </c>
      <c r="M723" s="43" t="s">
        <v>3871</v>
      </c>
      <c r="N723" s="255">
        <v>388000</v>
      </c>
      <c r="O723" s="265">
        <v>51</v>
      </c>
      <c r="P723" s="270">
        <v>1</v>
      </c>
      <c r="Q723" s="255">
        <v>197880</v>
      </c>
      <c r="R723" s="283">
        <v>197880</v>
      </c>
      <c r="S723" s="283">
        <v>58531</v>
      </c>
      <c r="T723" s="287">
        <v>1</v>
      </c>
      <c r="U723" s="287">
        <v>0</v>
      </c>
      <c r="V723" s="287">
        <v>0</v>
      </c>
      <c r="W723" s="283">
        <v>0</v>
      </c>
      <c r="X723" s="283">
        <v>0</v>
      </c>
      <c r="Y723" s="199" t="s">
        <v>1395</v>
      </c>
      <c r="Z723" s="517" t="s">
        <v>5532</v>
      </c>
      <c r="AA723" s="493" t="s">
        <v>1485</v>
      </c>
      <c r="AB723" s="507"/>
    </row>
    <row r="724" spans="2:28" x14ac:dyDescent="0.15">
      <c r="B724" s="333" t="s">
        <v>3849</v>
      </c>
      <c r="C724" s="528">
        <v>43199</v>
      </c>
      <c r="D724" s="198" t="s">
        <v>3851</v>
      </c>
      <c r="E724" s="53" t="s">
        <v>1396</v>
      </c>
      <c r="F724" s="198" t="s">
        <v>3789</v>
      </c>
      <c r="G724" s="3" t="s">
        <v>368</v>
      </c>
      <c r="H724" s="53" t="s">
        <v>792</v>
      </c>
      <c r="I724" s="3" t="s">
        <v>1413</v>
      </c>
      <c r="J724" s="4" t="s">
        <v>298</v>
      </c>
      <c r="K724" s="4" t="s">
        <v>1168</v>
      </c>
      <c r="L724" s="4" t="s">
        <v>3850</v>
      </c>
      <c r="M724" s="43"/>
      <c r="N724" s="255">
        <v>3500</v>
      </c>
      <c r="O724" s="265">
        <v>65</v>
      </c>
      <c r="P724" s="270">
        <v>1</v>
      </c>
      <c r="Q724" s="255">
        <v>2275</v>
      </c>
      <c r="R724" s="283">
        <v>2275</v>
      </c>
      <c r="S724" s="283">
        <v>733</v>
      </c>
      <c r="T724" s="287">
        <v>0</v>
      </c>
      <c r="U724" s="287">
        <v>0</v>
      </c>
      <c r="V724" s="287">
        <v>0</v>
      </c>
      <c r="W724" s="283">
        <v>262</v>
      </c>
      <c r="X724" s="283">
        <v>0</v>
      </c>
      <c r="Y724" s="199" t="s">
        <v>1392</v>
      </c>
      <c r="Z724" s="517" t="s">
        <v>5166</v>
      </c>
      <c r="AA724" s="493"/>
      <c r="AB724" s="507"/>
    </row>
    <row r="725" spans="2:28" x14ac:dyDescent="0.15">
      <c r="B725" s="333" t="s">
        <v>3852</v>
      </c>
      <c r="C725" s="528">
        <v>43203</v>
      </c>
      <c r="D725" s="198" t="s">
        <v>3853</v>
      </c>
      <c r="E725" s="53" t="s">
        <v>1391</v>
      </c>
      <c r="F725" s="198" t="s">
        <v>2768</v>
      </c>
      <c r="G725" s="3" t="s">
        <v>3415</v>
      </c>
      <c r="H725" s="53"/>
      <c r="I725" s="3"/>
      <c r="J725" s="4" t="s">
        <v>264</v>
      </c>
      <c r="K725" s="4" t="s">
        <v>538</v>
      </c>
      <c r="L725" s="4" t="s">
        <v>1786</v>
      </c>
      <c r="M725" s="43" t="s">
        <v>3854</v>
      </c>
      <c r="N725" s="255">
        <v>169476</v>
      </c>
      <c r="O725" s="265">
        <v>100</v>
      </c>
      <c r="P725" s="270">
        <v>1</v>
      </c>
      <c r="Q725" s="255">
        <v>169476</v>
      </c>
      <c r="R725" s="283">
        <v>169476</v>
      </c>
      <c r="S725" s="283">
        <v>33505</v>
      </c>
      <c r="T725" s="287">
        <v>1</v>
      </c>
      <c r="U725" s="287">
        <v>0</v>
      </c>
      <c r="V725" s="287">
        <v>0</v>
      </c>
      <c r="W725" s="283">
        <v>0</v>
      </c>
      <c r="X725" s="283">
        <v>0</v>
      </c>
      <c r="Y725" s="199" t="s">
        <v>1395</v>
      </c>
      <c r="Z725" s="517" t="s">
        <v>5166</v>
      </c>
      <c r="AA725" s="493" t="s">
        <v>1485</v>
      </c>
      <c r="AB725" s="507"/>
    </row>
    <row r="726" spans="2:28" x14ac:dyDescent="0.15">
      <c r="B726" s="333" t="s">
        <v>3858</v>
      </c>
      <c r="C726" s="528">
        <v>43206</v>
      </c>
      <c r="D726" s="198" t="s">
        <v>3615</v>
      </c>
      <c r="E726" s="53" t="s">
        <v>1391</v>
      </c>
      <c r="F726" s="198" t="s">
        <v>2834</v>
      </c>
      <c r="G726" s="3" t="s">
        <v>3559</v>
      </c>
      <c r="H726" s="53"/>
      <c r="I726" s="3"/>
      <c r="J726" s="4" t="s">
        <v>295</v>
      </c>
      <c r="K726" s="4" t="s">
        <v>1166</v>
      </c>
      <c r="L726" s="4" t="s">
        <v>1483</v>
      </c>
      <c r="M726" s="43"/>
      <c r="N726" s="255">
        <v>33000</v>
      </c>
      <c r="O726" s="265">
        <v>65</v>
      </c>
      <c r="P726" s="270">
        <v>1</v>
      </c>
      <c r="Q726" s="255">
        <v>21450</v>
      </c>
      <c r="R726" s="283">
        <v>21450</v>
      </c>
      <c r="S726" s="283">
        <v>7300</v>
      </c>
      <c r="T726" s="287">
        <v>0</v>
      </c>
      <c r="U726" s="287">
        <v>0</v>
      </c>
      <c r="V726" s="287">
        <v>0</v>
      </c>
      <c r="W726" s="283">
        <v>0</v>
      </c>
      <c r="X726" s="283">
        <v>0</v>
      </c>
      <c r="Y726" s="199" t="s">
        <v>1395</v>
      </c>
      <c r="Z726" s="517" t="s">
        <v>5170</v>
      </c>
      <c r="AA726" s="493" t="s">
        <v>1485</v>
      </c>
      <c r="AB726" s="507"/>
    </row>
    <row r="727" spans="2:28" x14ac:dyDescent="0.15">
      <c r="B727" s="333" t="s">
        <v>3859</v>
      </c>
      <c r="C727" s="528">
        <v>43208</v>
      </c>
      <c r="D727" s="198" t="s">
        <v>3860</v>
      </c>
      <c r="E727" s="53" t="s">
        <v>1391</v>
      </c>
      <c r="F727" s="198" t="s">
        <v>3786</v>
      </c>
      <c r="G727" s="3" t="s">
        <v>364</v>
      </c>
      <c r="H727" s="53" t="s">
        <v>470</v>
      </c>
      <c r="I727" s="3" t="s">
        <v>1597</v>
      </c>
      <c r="J727" s="4" t="s">
        <v>297</v>
      </c>
      <c r="K727" s="4" t="s">
        <v>369</v>
      </c>
      <c r="L727" s="4" t="s">
        <v>1484</v>
      </c>
      <c r="M727" s="43"/>
      <c r="N727" s="255">
        <v>200</v>
      </c>
      <c r="O727" s="265">
        <v>50</v>
      </c>
      <c r="P727" s="270">
        <v>100</v>
      </c>
      <c r="Q727" s="255">
        <v>100</v>
      </c>
      <c r="R727" s="283">
        <v>10000</v>
      </c>
      <c r="S727" s="283">
        <v>7200</v>
      </c>
      <c r="T727" s="287">
        <v>0</v>
      </c>
      <c r="U727" s="287">
        <v>0</v>
      </c>
      <c r="V727" s="287">
        <v>0</v>
      </c>
      <c r="W727" s="283">
        <v>0</v>
      </c>
      <c r="X727" s="283">
        <v>0</v>
      </c>
      <c r="Y727" s="199" t="s">
        <v>1395</v>
      </c>
      <c r="Z727" s="517" t="s">
        <v>5536</v>
      </c>
      <c r="AA727" s="493" t="s">
        <v>1485</v>
      </c>
      <c r="AB727" s="507"/>
    </row>
    <row r="728" spans="2:28" x14ac:dyDescent="0.15">
      <c r="B728" s="333" t="s">
        <v>3861</v>
      </c>
      <c r="C728" s="528">
        <v>43208</v>
      </c>
      <c r="D728" s="198" t="s">
        <v>3862</v>
      </c>
      <c r="E728" s="53" t="s">
        <v>1396</v>
      </c>
      <c r="F728" s="198" t="s">
        <v>3863</v>
      </c>
      <c r="G728" s="3" t="s">
        <v>322</v>
      </c>
      <c r="H728" s="53"/>
      <c r="I728" s="3"/>
      <c r="J728" s="4" t="s">
        <v>297</v>
      </c>
      <c r="K728" s="4" t="s">
        <v>369</v>
      </c>
      <c r="L728" s="190" t="s">
        <v>3864</v>
      </c>
      <c r="M728" s="43"/>
      <c r="N728" s="255">
        <v>200</v>
      </c>
      <c r="O728" s="265">
        <v>50</v>
      </c>
      <c r="P728" s="270">
        <v>100</v>
      </c>
      <c r="Q728" s="255">
        <v>100</v>
      </c>
      <c r="R728" s="283">
        <v>10000</v>
      </c>
      <c r="S728" s="283">
        <v>5700</v>
      </c>
      <c r="T728" s="287">
        <v>0</v>
      </c>
      <c r="U728" s="287">
        <v>0</v>
      </c>
      <c r="V728" s="287">
        <v>0</v>
      </c>
      <c r="W728" s="283">
        <v>1500</v>
      </c>
      <c r="X728" s="283">
        <v>0</v>
      </c>
      <c r="Y728" s="199" t="s">
        <v>1392</v>
      </c>
      <c r="Z728" s="517" t="s">
        <v>5535</v>
      </c>
      <c r="AA728" s="493" t="s">
        <v>1485</v>
      </c>
      <c r="AB728" s="507"/>
    </row>
    <row r="729" spans="2:28" x14ac:dyDescent="0.15">
      <c r="B729" s="333" t="s">
        <v>3872</v>
      </c>
      <c r="C729" s="528">
        <v>43210</v>
      </c>
      <c r="D729" s="198" t="s">
        <v>3873</v>
      </c>
      <c r="E729" s="53" t="s">
        <v>1391</v>
      </c>
      <c r="F729" s="198" t="s">
        <v>3786</v>
      </c>
      <c r="G729" s="3" t="s">
        <v>364</v>
      </c>
      <c r="H729" s="53" t="s">
        <v>465</v>
      </c>
      <c r="I729" s="3" t="s">
        <v>3418</v>
      </c>
      <c r="J729" s="4" t="s">
        <v>264</v>
      </c>
      <c r="K729" s="4" t="s">
        <v>538</v>
      </c>
      <c r="L729" s="4" t="s">
        <v>2515</v>
      </c>
      <c r="M729" s="43" t="s">
        <v>3874</v>
      </c>
      <c r="N729" s="255">
        <v>340000</v>
      </c>
      <c r="O729" s="265">
        <v>60</v>
      </c>
      <c r="P729" s="270">
        <v>1</v>
      </c>
      <c r="Q729" s="255">
        <v>204000</v>
      </c>
      <c r="R729" s="283">
        <v>204000</v>
      </c>
      <c r="S729" s="283">
        <v>67210</v>
      </c>
      <c r="T729" s="287">
        <v>1</v>
      </c>
      <c r="U729" s="287">
        <v>0</v>
      </c>
      <c r="V729" s="287">
        <v>0</v>
      </c>
      <c r="W729" s="283">
        <v>0</v>
      </c>
      <c r="X729" s="283">
        <v>0</v>
      </c>
      <c r="Y729" s="199" t="s">
        <v>1395</v>
      </c>
      <c r="Z729" s="517" t="s">
        <v>5536</v>
      </c>
      <c r="AA729" s="493" t="s">
        <v>1485</v>
      </c>
      <c r="AB729" s="507"/>
    </row>
    <row r="730" spans="2:28" x14ac:dyDescent="0.15">
      <c r="B730" s="333" t="s">
        <v>3875</v>
      </c>
      <c r="C730" s="528">
        <v>43210</v>
      </c>
      <c r="D730" s="198" t="s">
        <v>3876</v>
      </c>
      <c r="E730" s="53" t="s">
        <v>1396</v>
      </c>
      <c r="F730" s="198" t="s">
        <v>3877</v>
      </c>
      <c r="G730" s="3" t="s">
        <v>1111</v>
      </c>
      <c r="H730" s="53" t="s">
        <v>1203</v>
      </c>
      <c r="I730" s="3" t="s">
        <v>1452</v>
      </c>
      <c r="J730" s="4" t="s">
        <v>299</v>
      </c>
      <c r="K730" s="4" t="s">
        <v>373</v>
      </c>
      <c r="L730" s="4" t="s">
        <v>2023</v>
      </c>
      <c r="M730" s="43"/>
      <c r="N730" s="255">
        <v>25000</v>
      </c>
      <c r="O730" s="265">
        <v>100</v>
      </c>
      <c r="P730" s="270">
        <v>1</v>
      </c>
      <c r="Q730" s="255">
        <v>25000</v>
      </c>
      <c r="R730" s="283">
        <v>25000</v>
      </c>
      <c r="S730" s="283">
        <v>6732</v>
      </c>
      <c r="T730" s="287">
        <v>0</v>
      </c>
      <c r="U730" s="287">
        <v>0</v>
      </c>
      <c r="V730" s="287">
        <v>0</v>
      </c>
      <c r="W730" s="283">
        <v>18268</v>
      </c>
      <c r="X730" s="283">
        <v>0</v>
      </c>
      <c r="Y730" s="199" t="s">
        <v>1392</v>
      </c>
      <c r="Z730" s="517" t="s">
        <v>5166</v>
      </c>
      <c r="AA730" s="493" t="s">
        <v>1485</v>
      </c>
      <c r="AB730" s="507"/>
    </row>
    <row r="731" spans="2:28" x14ac:dyDescent="0.15">
      <c r="B731" s="333" t="s">
        <v>3878</v>
      </c>
      <c r="C731" s="528">
        <v>43210</v>
      </c>
      <c r="D731" s="198" t="s">
        <v>3879</v>
      </c>
      <c r="E731" s="53" t="s">
        <v>2382</v>
      </c>
      <c r="F731" s="198" t="s">
        <v>3842</v>
      </c>
      <c r="G731" s="3" t="s">
        <v>2375</v>
      </c>
      <c r="H731" s="53"/>
      <c r="I731" s="197" t="s">
        <v>5158</v>
      </c>
      <c r="J731" s="3" t="s">
        <v>298</v>
      </c>
      <c r="K731" s="3" t="s">
        <v>1168</v>
      </c>
      <c r="L731" s="3" t="s">
        <v>3880</v>
      </c>
      <c r="M731" s="53"/>
      <c r="N731" s="258">
        <v>18000</v>
      </c>
      <c r="O731" s="266">
        <v>100</v>
      </c>
      <c r="P731" s="272">
        <v>1</v>
      </c>
      <c r="Q731" s="258">
        <v>18000</v>
      </c>
      <c r="R731" s="286">
        <v>18000</v>
      </c>
      <c r="S731" s="286">
        <v>10000</v>
      </c>
      <c r="T731" s="288">
        <v>0</v>
      </c>
      <c r="U731" s="288">
        <v>0</v>
      </c>
      <c r="V731" s="288">
        <v>0</v>
      </c>
      <c r="W731" s="286">
        <v>0</v>
      </c>
      <c r="X731" s="286">
        <v>0</v>
      </c>
      <c r="Y731" s="200" t="s">
        <v>1395</v>
      </c>
      <c r="Z731" s="558" t="s">
        <v>5555</v>
      </c>
      <c r="AA731" s="503"/>
      <c r="AB731" s="511"/>
    </row>
    <row r="732" spans="2:28" x14ac:dyDescent="0.15">
      <c r="B732" s="333" t="s">
        <v>3881</v>
      </c>
      <c r="C732" s="528">
        <v>43210</v>
      </c>
      <c r="D732" s="198" t="s">
        <v>3882</v>
      </c>
      <c r="E732" s="53" t="s">
        <v>1391</v>
      </c>
      <c r="F732" s="198" t="s">
        <v>3786</v>
      </c>
      <c r="G732" s="3" t="s">
        <v>364</v>
      </c>
      <c r="H732" s="53" t="s">
        <v>409</v>
      </c>
      <c r="I732" s="3" t="s">
        <v>3883</v>
      </c>
      <c r="J732" s="4" t="s">
        <v>262</v>
      </c>
      <c r="K732" s="4" t="s">
        <v>365</v>
      </c>
      <c r="L732" s="4" t="s">
        <v>2611</v>
      </c>
      <c r="M732" s="43" t="s">
        <v>3884</v>
      </c>
      <c r="N732" s="255">
        <v>250000</v>
      </c>
      <c r="O732" s="265">
        <v>65</v>
      </c>
      <c r="P732" s="270">
        <v>1</v>
      </c>
      <c r="Q732" s="255">
        <v>162500</v>
      </c>
      <c r="R732" s="283">
        <v>162500</v>
      </c>
      <c r="S732" s="283">
        <v>71842</v>
      </c>
      <c r="T732" s="287">
        <v>1</v>
      </c>
      <c r="U732" s="287">
        <v>0</v>
      </c>
      <c r="V732" s="287">
        <v>0</v>
      </c>
      <c r="W732" s="283">
        <v>0</v>
      </c>
      <c r="X732" s="283">
        <v>0</v>
      </c>
      <c r="Y732" s="199" t="s">
        <v>1395</v>
      </c>
      <c r="Z732" s="517" t="s">
        <v>5552</v>
      </c>
      <c r="AA732" s="493" t="s">
        <v>1485</v>
      </c>
      <c r="AB732" s="507"/>
    </row>
    <row r="733" spans="2:28" x14ac:dyDescent="0.15">
      <c r="B733" s="333" t="s">
        <v>3885</v>
      </c>
      <c r="C733" s="528">
        <v>43210</v>
      </c>
      <c r="D733" s="198" t="s">
        <v>3886</v>
      </c>
      <c r="E733" s="53" t="s">
        <v>2382</v>
      </c>
      <c r="F733" s="198" t="s">
        <v>3842</v>
      </c>
      <c r="G733" s="3" t="s">
        <v>2375</v>
      </c>
      <c r="H733" s="53"/>
      <c r="I733" s="3" t="s">
        <v>3887</v>
      </c>
      <c r="J733" s="4" t="s">
        <v>264</v>
      </c>
      <c r="K733" s="4" t="s">
        <v>538</v>
      </c>
      <c r="L733" s="4" t="s">
        <v>3888</v>
      </c>
      <c r="M733" s="43" t="s">
        <v>3889</v>
      </c>
      <c r="N733" s="255">
        <v>330000</v>
      </c>
      <c r="O733" s="265">
        <v>65</v>
      </c>
      <c r="P733" s="270">
        <v>1</v>
      </c>
      <c r="Q733" s="255">
        <v>214500</v>
      </c>
      <c r="R733" s="283">
        <v>214500</v>
      </c>
      <c r="S733" s="283">
        <v>100198</v>
      </c>
      <c r="T733" s="287">
        <v>1</v>
      </c>
      <c r="U733" s="287">
        <v>0</v>
      </c>
      <c r="V733" s="287">
        <v>0</v>
      </c>
      <c r="W733" s="283">
        <v>0</v>
      </c>
      <c r="X733" s="283">
        <v>0</v>
      </c>
      <c r="Y733" s="199" t="s">
        <v>1395</v>
      </c>
      <c r="Z733" s="517" t="s">
        <v>5451</v>
      </c>
      <c r="AA733" s="493"/>
      <c r="AB733" s="507"/>
    </row>
    <row r="734" spans="2:28" x14ac:dyDescent="0.15">
      <c r="B734" s="333" t="s">
        <v>3894</v>
      </c>
      <c r="C734" s="528">
        <v>43210</v>
      </c>
      <c r="D734" s="198" t="s">
        <v>3914</v>
      </c>
      <c r="E734" s="53" t="s">
        <v>1391</v>
      </c>
      <c r="F734" s="198" t="s">
        <v>3786</v>
      </c>
      <c r="G734" s="3" t="s">
        <v>364</v>
      </c>
      <c r="H734" s="53" t="s">
        <v>465</v>
      </c>
      <c r="I734" s="3" t="s">
        <v>3418</v>
      </c>
      <c r="J734" s="4" t="s">
        <v>271</v>
      </c>
      <c r="K734" s="4" t="s">
        <v>1160</v>
      </c>
      <c r="L734" s="4" t="s">
        <v>3447</v>
      </c>
      <c r="M734" s="43" t="s">
        <v>3896</v>
      </c>
      <c r="N734" s="255">
        <v>358000</v>
      </c>
      <c r="O734" s="265">
        <v>60</v>
      </c>
      <c r="P734" s="270">
        <v>1</v>
      </c>
      <c r="Q734" s="255">
        <v>214800</v>
      </c>
      <c r="R734" s="283">
        <v>214800</v>
      </c>
      <c r="S734" s="283">
        <v>80286</v>
      </c>
      <c r="T734" s="287">
        <v>1</v>
      </c>
      <c r="U734" s="287">
        <v>0</v>
      </c>
      <c r="V734" s="287">
        <v>0</v>
      </c>
      <c r="W734" s="283">
        <v>0</v>
      </c>
      <c r="X734" s="283">
        <v>0</v>
      </c>
      <c r="Y734" s="199" t="s">
        <v>1395</v>
      </c>
      <c r="Z734" s="517" t="s">
        <v>5556</v>
      </c>
      <c r="AA734" s="493" t="s">
        <v>1485</v>
      </c>
      <c r="AB734" s="507"/>
    </row>
    <row r="735" spans="2:28" x14ac:dyDescent="0.15">
      <c r="B735" s="333" t="s">
        <v>3894</v>
      </c>
      <c r="C735" s="528">
        <v>43210</v>
      </c>
      <c r="D735" s="198" t="s">
        <v>3895</v>
      </c>
      <c r="E735" s="53" t="s">
        <v>1391</v>
      </c>
      <c r="F735" s="198" t="s">
        <v>3786</v>
      </c>
      <c r="G735" s="3" t="s">
        <v>364</v>
      </c>
      <c r="H735" s="53" t="s">
        <v>499</v>
      </c>
      <c r="I735" s="3" t="s">
        <v>3782</v>
      </c>
      <c r="J735" s="4" t="s">
        <v>268</v>
      </c>
      <c r="K735" s="4" t="s">
        <v>1158</v>
      </c>
      <c r="L735" s="4" t="s">
        <v>1843</v>
      </c>
      <c r="M735" s="43" t="s">
        <v>3913</v>
      </c>
      <c r="N735" s="255">
        <v>270000</v>
      </c>
      <c r="O735" s="265">
        <v>65</v>
      </c>
      <c r="P735" s="270">
        <v>1</v>
      </c>
      <c r="Q735" s="255">
        <v>175500</v>
      </c>
      <c r="R735" s="283">
        <v>175500</v>
      </c>
      <c r="S735" s="283">
        <v>62449</v>
      </c>
      <c r="T735" s="287">
        <v>0</v>
      </c>
      <c r="U735" s="287">
        <v>1</v>
      </c>
      <c r="V735" s="287">
        <v>0</v>
      </c>
      <c r="W735" s="283">
        <v>20250</v>
      </c>
      <c r="X735" s="283">
        <v>0</v>
      </c>
      <c r="Y735" s="199" t="s">
        <v>1392</v>
      </c>
      <c r="Z735" s="517" t="s">
        <v>5167</v>
      </c>
      <c r="AA735" s="493" t="s">
        <v>1485</v>
      </c>
      <c r="AB735" s="507"/>
    </row>
    <row r="736" spans="2:28" x14ac:dyDescent="0.15">
      <c r="B736" s="333" t="s">
        <v>3897</v>
      </c>
      <c r="C736" s="528">
        <v>43210</v>
      </c>
      <c r="D736" s="198" t="s">
        <v>3898</v>
      </c>
      <c r="E736" s="53" t="s">
        <v>1391</v>
      </c>
      <c r="F736" s="198" t="s">
        <v>3786</v>
      </c>
      <c r="G736" s="3" t="s">
        <v>364</v>
      </c>
      <c r="H736" s="53" t="s">
        <v>432</v>
      </c>
      <c r="I736" s="3" t="s">
        <v>375</v>
      </c>
      <c r="J736" s="4" t="s">
        <v>301</v>
      </c>
      <c r="K736" s="4" t="s">
        <v>1214</v>
      </c>
      <c r="L736" s="4" t="s">
        <v>3899</v>
      </c>
      <c r="M736" s="43" t="s">
        <v>3900</v>
      </c>
      <c r="N736" s="255">
        <v>176800</v>
      </c>
      <c r="O736" s="265">
        <v>100</v>
      </c>
      <c r="P736" s="270">
        <v>1</v>
      </c>
      <c r="Q736" s="255">
        <v>176800</v>
      </c>
      <c r="R736" s="283">
        <v>176800</v>
      </c>
      <c r="S736" s="283">
        <v>47132</v>
      </c>
      <c r="T736" s="287">
        <v>0</v>
      </c>
      <c r="U736" s="287">
        <v>1</v>
      </c>
      <c r="V736" s="287">
        <v>0</v>
      </c>
      <c r="W736" s="283">
        <v>20400</v>
      </c>
      <c r="X736" s="283">
        <v>0</v>
      </c>
      <c r="Y736" s="199" t="s">
        <v>1392</v>
      </c>
      <c r="Z736" s="517" t="s">
        <v>5542</v>
      </c>
      <c r="AA736" s="493" t="s">
        <v>1485</v>
      </c>
      <c r="AB736" s="507"/>
    </row>
    <row r="737" spans="2:28" x14ac:dyDescent="0.15">
      <c r="B737" s="333" t="s">
        <v>3906</v>
      </c>
      <c r="C737" s="528">
        <v>43210</v>
      </c>
      <c r="D737" s="198" t="s">
        <v>3904</v>
      </c>
      <c r="E737" s="53" t="s">
        <v>1391</v>
      </c>
      <c r="F737" s="198" t="s">
        <v>3786</v>
      </c>
      <c r="G737" s="3" t="s">
        <v>364</v>
      </c>
      <c r="H737" s="53" t="s">
        <v>432</v>
      </c>
      <c r="I737" s="3" t="s">
        <v>375</v>
      </c>
      <c r="J737" s="4" t="s">
        <v>301</v>
      </c>
      <c r="K737" s="4" t="s">
        <v>1214</v>
      </c>
      <c r="L737" s="4" t="s">
        <v>3899</v>
      </c>
      <c r="M737" s="43" t="s">
        <v>3903</v>
      </c>
      <c r="N737" s="255">
        <v>176800</v>
      </c>
      <c r="O737" s="265">
        <v>100</v>
      </c>
      <c r="P737" s="270">
        <v>1</v>
      </c>
      <c r="Q737" s="255">
        <v>176800</v>
      </c>
      <c r="R737" s="283">
        <v>176800</v>
      </c>
      <c r="S737" s="283">
        <v>47132</v>
      </c>
      <c r="T737" s="287">
        <v>0</v>
      </c>
      <c r="U737" s="287">
        <v>1</v>
      </c>
      <c r="V737" s="287">
        <v>0</v>
      </c>
      <c r="W737" s="283">
        <v>20400</v>
      </c>
      <c r="X737" s="283">
        <v>0</v>
      </c>
      <c r="Y737" s="199" t="s">
        <v>1392</v>
      </c>
      <c r="Z737" s="517" t="s">
        <v>5166</v>
      </c>
      <c r="AA737" s="493" t="s">
        <v>1485</v>
      </c>
      <c r="AB737" s="507"/>
    </row>
    <row r="738" spans="2:28" x14ac:dyDescent="0.15">
      <c r="B738" s="333" t="s">
        <v>3906</v>
      </c>
      <c r="C738" s="528">
        <v>43210</v>
      </c>
      <c r="D738" s="198" t="s">
        <v>3904</v>
      </c>
      <c r="E738" s="53" t="s">
        <v>1391</v>
      </c>
      <c r="F738" s="198" t="s">
        <v>3786</v>
      </c>
      <c r="G738" s="3" t="s">
        <v>364</v>
      </c>
      <c r="H738" s="53" t="s">
        <v>432</v>
      </c>
      <c r="I738" s="3" t="s">
        <v>375</v>
      </c>
      <c r="J738" s="4" t="s">
        <v>301</v>
      </c>
      <c r="K738" s="4" t="s">
        <v>1214</v>
      </c>
      <c r="L738" s="4" t="s">
        <v>3899</v>
      </c>
      <c r="M738" s="43" t="s">
        <v>3905</v>
      </c>
      <c r="N738" s="255">
        <v>176800</v>
      </c>
      <c r="O738" s="265">
        <v>100</v>
      </c>
      <c r="P738" s="270">
        <v>1</v>
      </c>
      <c r="Q738" s="255">
        <v>176800</v>
      </c>
      <c r="R738" s="283">
        <v>176800</v>
      </c>
      <c r="S738" s="283">
        <v>47132</v>
      </c>
      <c r="T738" s="287">
        <v>0</v>
      </c>
      <c r="U738" s="287">
        <v>1</v>
      </c>
      <c r="V738" s="287">
        <v>0</v>
      </c>
      <c r="W738" s="283">
        <v>20400</v>
      </c>
      <c r="X738" s="283">
        <v>0</v>
      </c>
      <c r="Y738" s="199" t="s">
        <v>1392</v>
      </c>
      <c r="Z738" s="517" t="s">
        <v>5543</v>
      </c>
      <c r="AA738" s="493" t="s">
        <v>1485</v>
      </c>
      <c r="AB738" s="507"/>
    </row>
    <row r="739" spans="2:28" x14ac:dyDescent="0.15">
      <c r="B739" s="333" t="s">
        <v>3897</v>
      </c>
      <c r="C739" s="528">
        <v>43210</v>
      </c>
      <c r="D739" s="198" t="s">
        <v>3916</v>
      </c>
      <c r="E739" s="53" t="s">
        <v>1391</v>
      </c>
      <c r="F739" s="198" t="s">
        <v>3786</v>
      </c>
      <c r="G739" s="3" t="s">
        <v>364</v>
      </c>
      <c r="H739" s="53" t="s">
        <v>444</v>
      </c>
      <c r="I739" s="3" t="s">
        <v>1440</v>
      </c>
      <c r="J739" s="4" t="s">
        <v>298</v>
      </c>
      <c r="K739" s="4" t="s">
        <v>1168</v>
      </c>
      <c r="L739" s="4" t="s">
        <v>3915</v>
      </c>
      <c r="M739" s="43"/>
      <c r="N739" s="255">
        <v>2450</v>
      </c>
      <c r="O739" s="265">
        <v>65</v>
      </c>
      <c r="P739" s="270">
        <v>1</v>
      </c>
      <c r="Q739" s="255">
        <v>1593</v>
      </c>
      <c r="R739" s="283">
        <v>1593</v>
      </c>
      <c r="S739" s="283">
        <v>535</v>
      </c>
      <c r="T739" s="287">
        <v>0</v>
      </c>
      <c r="U739" s="287">
        <v>0</v>
      </c>
      <c r="V739" s="287">
        <v>0</v>
      </c>
      <c r="W739" s="283">
        <v>183</v>
      </c>
      <c r="X739" s="283">
        <v>0</v>
      </c>
      <c r="Y739" s="199" t="s">
        <v>1392</v>
      </c>
      <c r="Z739" s="517" t="s">
        <v>5166</v>
      </c>
      <c r="AA739" s="493" t="s">
        <v>1485</v>
      </c>
      <c r="AB739" s="507"/>
    </row>
    <row r="740" spans="2:28" x14ac:dyDescent="0.15">
      <c r="B740" s="333" t="s">
        <v>3917</v>
      </c>
      <c r="C740" s="528">
        <v>43210</v>
      </c>
      <c r="D740" s="198" t="s">
        <v>3916</v>
      </c>
      <c r="E740" s="53" t="s">
        <v>1391</v>
      </c>
      <c r="F740" s="198" t="s">
        <v>3786</v>
      </c>
      <c r="G740" s="3" t="s">
        <v>364</v>
      </c>
      <c r="H740" s="53" t="s">
        <v>444</v>
      </c>
      <c r="I740" s="3" t="s">
        <v>1440</v>
      </c>
      <c r="J740" s="4"/>
      <c r="K740" s="4"/>
      <c r="L740" s="4" t="s">
        <v>1520</v>
      </c>
      <c r="M740" s="43"/>
      <c r="N740" s="255">
        <v>530</v>
      </c>
      <c r="O740" s="265">
        <v>100</v>
      </c>
      <c r="P740" s="270">
        <v>1</v>
      </c>
      <c r="Q740" s="255">
        <v>530</v>
      </c>
      <c r="R740" s="283">
        <v>530</v>
      </c>
      <c r="S740" s="283">
        <v>0</v>
      </c>
      <c r="T740" s="287">
        <v>0</v>
      </c>
      <c r="U740" s="287">
        <v>0</v>
      </c>
      <c r="V740" s="287">
        <v>0</v>
      </c>
      <c r="W740" s="283"/>
      <c r="X740" s="283">
        <v>0</v>
      </c>
      <c r="Y740" s="199" t="s">
        <v>4146</v>
      </c>
      <c r="Z740" s="517" t="s">
        <v>5166</v>
      </c>
      <c r="AA740" s="493" t="s">
        <v>1485</v>
      </c>
      <c r="AB740" s="507"/>
    </row>
    <row r="741" spans="2:28" x14ac:dyDescent="0.15">
      <c r="B741" s="333" t="s">
        <v>3901</v>
      </c>
      <c r="C741" s="528">
        <v>43210</v>
      </c>
      <c r="D741" s="198" t="s">
        <v>3902</v>
      </c>
      <c r="E741" s="53" t="s">
        <v>1391</v>
      </c>
      <c r="F741" s="198" t="s">
        <v>3786</v>
      </c>
      <c r="G741" s="3" t="s">
        <v>364</v>
      </c>
      <c r="H741" s="53" t="s">
        <v>432</v>
      </c>
      <c r="I741" s="3" t="s">
        <v>375</v>
      </c>
      <c r="J741" s="4" t="s">
        <v>301</v>
      </c>
      <c r="K741" s="4" t="s">
        <v>1214</v>
      </c>
      <c r="L741" s="4" t="s">
        <v>3907</v>
      </c>
      <c r="M741" s="43" t="s">
        <v>3908</v>
      </c>
      <c r="N741" s="255">
        <v>165000</v>
      </c>
      <c r="O741" s="265">
        <v>100</v>
      </c>
      <c r="P741" s="270">
        <v>1</v>
      </c>
      <c r="Q741" s="255">
        <v>165000</v>
      </c>
      <c r="R741" s="283">
        <v>165000</v>
      </c>
      <c r="S741" s="283">
        <v>41293</v>
      </c>
      <c r="T741" s="287">
        <v>0</v>
      </c>
      <c r="U741" s="287">
        <v>1</v>
      </c>
      <c r="V741" s="287">
        <v>0</v>
      </c>
      <c r="W741" s="283">
        <v>19038</v>
      </c>
      <c r="X741" s="283">
        <v>0</v>
      </c>
      <c r="Y741" s="199" t="s">
        <v>1392</v>
      </c>
      <c r="Z741" s="517" t="s">
        <v>5543</v>
      </c>
      <c r="AA741" s="493" t="s">
        <v>1485</v>
      </c>
      <c r="AB741" s="507"/>
    </row>
    <row r="742" spans="2:28" x14ac:dyDescent="0.15">
      <c r="B742" s="333" t="s">
        <v>3901</v>
      </c>
      <c r="C742" s="528">
        <v>43210</v>
      </c>
      <c r="D742" s="198" t="s">
        <v>3902</v>
      </c>
      <c r="E742" s="53" t="s">
        <v>1391</v>
      </c>
      <c r="F742" s="198" t="s">
        <v>3786</v>
      </c>
      <c r="G742" s="3" t="s">
        <v>364</v>
      </c>
      <c r="H742" s="53" t="s">
        <v>432</v>
      </c>
      <c r="I742" s="3" t="s">
        <v>375</v>
      </c>
      <c r="J742" s="4" t="s">
        <v>301</v>
      </c>
      <c r="K742" s="4" t="s">
        <v>1214</v>
      </c>
      <c r="L742" s="4" t="s">
        <v>3907</v>
      </c>
      <c r="M742" s="43" t="s">
        <v>3909</v>
      </c>
      <c r="N742" s="255">
        <v>165000</v>
      </c>
      <c r="O742" s="265">
        <v>100</v>
      </c>
      <c r="P742" s="270">
        <v>1</v>
      </c>
      <c r="Q742" s="255">
        <v>165000</v>
      </c>
      <c r="R742" s="283">
        <v>165000</v>
      </c>
      <c r="S742" s="283">
        <v>41293</v>
      </c>
      <c r="T742" s="287">
        <v>0</v>
      </c>
      <c r="U742" s="287">
        <v>1</v>
      </c>
      <c r="V742" s="287">
        <v>0</v>
      </c>
      <c r="W742" s="283">
        <v>19038</v>
      </c>
      <c r="X742" s="283">
        <v>0</v>
      </c>
      <c r="Y742" s="199" t="s">
        <v>1392</v>
      </c>
      <c r="Z742" s="517" t="s">
        <v>5166</v>
      </c>
      <c r="AA742" s="493" t="s">
        <v>1485</v>
      </c>
      <c r="AB742" s="507"/>
    </row>
    <row r="743" spans="2:28" x14ac:dyDescent="0.15">
      <c r="B743" s="333" t="s">
        <v>3912</v>
      </c>
      <c r="C743" s="528">
        <v>43210</v>
      </c>
      <c r="D743" s="198" t="s">
        <v>3911</v>
      </c>
      <c r="E743" s="53" t="s">
        <v>1391</v>
      </c>
      <c r="F743" s="198" t="s">
        <v>3786</v>
      </c>
      <c r="G743" s="3" t="s">
        <v>364</v>
      </c>
      <c r="H743" s="53" t="s">
        <v>432</v>
      </c>
      <c r="I743" s="3" t="s">
        <v>375</v>
      </c>
      <c r="J743" s="4" t="s">
        <v>301</v>
      </c>
      <c r="K743" s="4" t="s">
        <v>1214</v>
      </c>
      <c r="L743" s="4" t="s">
        <v>3907</v>
      </c>
      <c r="M743" s="43" t="s">
        <v>3910</v>
      </c>
      <c r="N743" s="255">
        <v>165000</v>
      </c>
      <c r="O743" s="265">
        <v>100</v>
      </c>
      <c r="P743" s="270">
        <v>1</v>
      </c>
      <c r="Q743" s="255">
        <v>165000</v>
      </c>
      <c r="R743" s="283">
        <v>165000</v>
      </c>
      <c r="S743" s="283">
        <v>41293</v>
      </c>
      <c r="T743" s="287">
        <v>0</v>
      </c>
      <c r="U743" s="287">
        <v>1</v>
      </c>
      <c r="V743" s="287">
        <v>0</v>
      </c>
      <c r="W743" s="283">
        <v>19038</v>
      </c>
      <c r="X743" s="283">
        <v>0</v>
      </c>
      <c r="Y743" s="199" t="s">
        <v>1392</v>
      </c>
      <c r="Z743" s="517" t="s">
        <v>5543</v>
      </c>
      <c r="AA743" s="493" t="s">
        <v>1485</v>
      </c>
      <c r="AB743" s="507"/>
    </row>
    <row r="744" spans="2:28" x14ac:dyDescent="0.15">
      <c r="B744" s="327" t="s">
        <v>3933</v>
      </c>
      <c r="C744" s="527">
        <v>43210</v>
      </c>
      <c r="D744" s="191" t="s">
        <v>3934</v>
      </c>
      <c r="E744" s="43" t="s">
        <v>1396</v>
      </c>
      <c r="F744" s="191" t="s">
        <v>3791</v>
      </c>
      <c r="G744" s="4" t="s">
        <v>1321</v>
      </c>
      <c r="H744" s="43"/>
      <c r="I744" s="4"/>
      <c r="J744" s="4"/>
      <c r="K744" s="4"/>
      <c r="L744" s="4" t="s">
        <v>1418</v>
      </c>
      <c r="M744" s="43"/>
      <c r="N744" s="255">
        <v>34515</v>
      </c>
      <c r="O744" s="265">
        <v>100</v>
      </c>
      <c r="P744" s="270">
        <v>-1</v>
      </c>
      <c r="Q744" s="255">
        <v>34515</v>
      </c>
      <c r="R744" s="283">
        <v>-34515</v>
      </c>
      <c r="S744" s="283">
        <v>-34515</v>
      </c>
      <c r="T744" s="287">
        <v>0</v>
      </c>
      <c r="U744" s="287">
        <v>0</v>
      </c>
      <c r="V744" s="287">
        <v>0</v>
      </c>
      <c r="W744" s="283">
        <v>34515</v>
      </c>
      <c r="X744" s="283">
        <v>0</v>
      </c>
      <c r="Y744" s="199" t="s">
        <v>1392</v>
      </c>
      <c r="Z744" s="517" t="s">
        <v>5546</v>
      </c>
      <c r="AA744" s="493"/>
      <c r="AB744" s="507"/>
    </row>
    <row r="745" spans="2:28" x14ac:dyDescent="0.15">
      <c r="B745" s="333" t="s">
        <v>3890</v>
      </c>
      <c r="C745" s="528">
        <v>43216</v>
      </c>
      <c r="D745" s="198" t="s">
        <v>3891</v>
      </c>
      <c r="E745" s="53" t="s">
        <v>1396</v>
      </c>
      <c r="F745" s="198" t="s">
        <v>3789</v>
      </c>
      <c r="G745" s="3" t="s">
        <v>368</v>
      </c>
      <c r="H745" s="53" t="s">
        <v>792</v>
      </c>
      <c r="I745" s="3" t="s">
        <v>1413</v>
      </c>
      <c r="J745" s="4" t="s">
        <v>262</v>
      </c>
      <c r="K745" s="4" t="s">
        <v>365</v>
      </c>
      <c r="L745" s="190" t="s">
        <v>3893</v>
      </c>
      <c r="M745" s="191" t="s">
        <v>3892</v>
      </c>
      <c r="N745" s="255">
        <v>260000</v>
      </c>
      <c r="O745" s="265">
        <v>60</v>
      </c>
      <c r="P745" s="270">
        <v>1</v>
      </c>
      <c r="Q745" s="255">
        <v>156000</v>
      </c>
      <c r="R745" s="283">
        <v>156000</v>
      </c>
      <c r="S745" s="283">
        <v>46422</v>
      </c>
      <c r="T745" s="287">
        <v>0</v>
      </c>
      <c r="U745" s="287">
        <v>1</v>
      </c>
      <c r="V745" s="287">
        <v>0</v>
      </c>
      <c r="W745" s="283">
        <v>15600</v>
      </c>
      <c r="X745" s="283">
        <v>0</v>
      </c>
      <c r="Y745" s="199" t="s">
        <v>1392</v>
      </c>
      <c r="Z745" s="517" t="s">
        <v>5543</v>
      </c>
      <c r="AA745" s="493" t="s">
        <v>1485</v>
      </c>
      <c r="AB745" s="507"/>
    </row>
    <row r="746" spans="2:28" x14ac:dyDescent="0.15">
      <c r="B746" s="333" t="s">
        <v>3901</v>
      </c>
      <c r="C746" s="528">
        <v>43216</v>
      </c>
      <c r="D746" s="198" t="s">
        <v>3918</v>
      </c>
      <c r="E746" s="53" t="s">
        <v>1396</v>
      </c>
      <c r="F746" s="198" t="s">
        <v>21</v>
      </c>
      <c r="G746" s="3" t="s">
        <v>50</v>
      </c>
      <c r="H746" s="53" t="s">
        <v>381</v>
      </c>
      <c r="I746" s="3" t="s">
        <v>1408</v>
      </c>
      <c r="J746" s="4" t="s">
        <v>299</v>
      </c>
      <c r="K746" s="4" t="s">
        <v>373</v>
      </c>
      <c r="L746" s="4" t="s">
        <v>3919</v>
      </c>
      <c r="M746" s="43"/>
      <c r="N746" s="255">
        <v>3000</v>
      </c>
      <c r="O746" s="265">
        <v>100</v>
      </c>
      <c r="P746" s="270">
        <v>1</v>
      </c>
      <c r="Q746" s="255">
        <v>3000</v>
      </c>
      <c r="R746" s="283">
        <v>3000</v>
      </c>
      <c r="S746" s="283">
        <v>208</v>
      </c>
      <c r="T746" s="287">
        <v>0</v>
      </c>
      <c r="U746" s="287">
        <v>0</v>
      </c>
      <c r="V746" s="287">
        <v>0</v>
      </c>
      <c r="W746" s="283">
        <v>2192</v>
      </c>
      <c r="X746" s="283">
        <v>0</v>
      </c>
      <c r="Y746" s="199" t="s">
        <v>1392</v>
      </c>
      <c r="Z746" s="517" t="s">
        <v>5166</v>
      </c>
      <c r="AA746" s="493" t="s">
        <v>1485</v>
      </c>
      <c r="AB746" s="507"/>
    </row>
    <row r="747" spans="2:28" x14ac:dyDescent="0.15">
      <c r="B747" s="333" t="s">
        <v>3920</v>
      </c>
      <c r="C747" s="528">
        <v>43216</v>
      </c>
      <c r="D747" s="198" t="s">
        <v>3921</v>
      </c>
      <c r="E747" s="53" t="s">
        <v>1396</v>
      </c>
      <c r="F747" s="198" t="s">
        <v>21</v>
      </c>
      <c r="G747" s="3" t="s">
        <v>50</v>
      </c>
      <c r="H747" s="198" t="s">
        <v>3924</v>
      </c>
      <c r="I747" s="3" t="s">
        <v>3925</v>
      </c>
      <c r="J747" s="4" t="s">
        <v>265</v>
      </c>
      <c r="K747" s="4" t="s">
        <v>1155</v>
      </c>
      <c r="L747" s="4" t="s">
        <v>3922</v>
      </c>
      <c r="M747" s="43" t="s">
        <v>3923</v>
      </c>
      <c r="N747" s="255">
        <v>410000</v>
      </c>
      <c r="O747" s="265">
        <v>60</v>
      </c>
      <c r="P747" s="270">
        <v>1</v>
      </c>
      <c r="Q747" s="255">
        <v>246000</v>
      </c>
      <c r="R747" s="283">
        <v>246000</v>
      </c>
      <c r="S747" s="283">
        <v>69294</v>
      </c>
      <c r="T747" s="287">
        <v>0</v>
      </c>
      <c r="U747" s="287">
        <v>1</v>
      </c>
      <c r="V747" s="287">
        <v>0</v>
      </c>
      <c r="W747" s="283">
        <v>24600</v>
      </c>
      <c r="X747" s="283">
        <v>0</v>
      </c>
      <c r="Y747" s="199" t="s">
        <v>1392</v>
      </c>
      <c r="Z747" s="517" t="s">
        <v>5532</v>
      </c>
      <c r="AA747" s="493" t="s">
        <v>1485</v>
      </c>
      <c r="AB747" s="507"/>
    </row>
    <row r="748" spans="2:28" x14ac:dyDescent="0.15">
      <c r="B748" s="333" t="s">
        <v>3929</v>
      </c>
      <c r="C748" s="528">
        <v>43220</v>
      </c>
      <c r="D748" s="198" t="s">
        <v>3930</v>
      </c>
      <c r="E748" s="53" t="s">
        <v>1391</v>
      </c>
      <c r="F748" s="198" t="s">
        <v>897</v>
      </c>
      <c r="G748" s="3" t="s">
        <v>3931</v>
      </c>
      <c r="H748" s="53"/>
      <c r="I748" s="3"/>
      <c r="J748" s="4" t="s">
        <v>268</v>
      </c>
      <c r="K748" s="4" t="s">
        <v>1158</v>
      </c>
      <c r="L748" s="4" t="s">
        <v>3932</v>
      </c>
      <c r="M748" s="191" t="s">
        <v>3936</v>
      </c>
      <c r="N748" s="255">
        <v>186000</v>
      </c>
      <c r="O748" s="265">
        <v>100</v>
      </c>
      <c r="P748" s="270">
        <v>1</v>
      </c>
      <c r="Q748" s="255">
        <v>186000</v>
      </c>
      <c r="R748" s="283">
        <v>186000</v>
      </c>
      <c r="S748" s="283">
        <v>91048</v>
      </c>
      <c r="T748" s="287">
        <v>1</v>
      </c>
      <c r="U748" s="287">
        <v>0</v>
      </c>
      <c r="V748" s="287">
        <v>0</v>
      </c>
      <c r="W748" s="283">
        <v>0</v>
      </c>
      <c r="X748" s="283">
        <v>0</v>
      </c>
      <c r="Y748" s="199" t="s">
        <v>1395</v>
      </c>
      <c r="Z748" s="517" t="s">
        <v>5553</v>
      </c>
      <c r="AA748" s="493" t="s">
        <v>1485</v>
      </c>
      <c r="AB748" s="507"/>
    </row>
    <row r="749" spans="2:28" x14ac:dyDescent="0.15">
      <c r="B749" s="333" t="s">
        <v>3926</v>
      </c>
      <c r="C749" s="528">
        <v>43221</v>
      </c>
      <c r="D749" s="198" t="s">
        <v>3927</v>
      </c>
      <c r="E749" s="53" t="s">
        <v>1396</v>
      </c>
      <c r="F749" s="198" t="s">
        <v>3788</v>
      </c>
      <c r="G749" s="3" t="s">
        <v>372</v>
      </c>
      <c r="H749" s="53"/>
      <c r="I749" s="3"/>
      <c r="J749" s="4" t="s">
        <v>270</v>
      </c>
      <c r="K749" s="4" t="s">
        <v>539</v>
      </c>
      <c r="L749" s="4" t="s">
        <v>1962</v>
      </c>
      <c r="M749" s="43" t="s">
        <v>3928</v>
      </c>
      <c r="N749" s="255">
        <v>318000</v>
      </c>
      <c r="O749" s="265">
        <v>60</v>
      </c>
      <c r="P749" s="270">
        <v>1</v>
      </c>
      <c r="Q749" s="255">
        <v>190800</v>
      </c>
      <c r="R749" s="283">
        <v>190800</v>
      </c>
      <c r="S749" s="283">
        <v>75019</v>
      </c>
      <c r="T749" s="287">
        <v>1</v>
      </c>
      <c r="U749" s="287">
        <v>0</v>
      </c>
      <c r="V749" s="287">
        <v>0</v>
      </c>
      <c r="W749" s="283">
        <v>0</v>
      </c>
      <c r="X749" s="283">
        <v>0</v>
      </c>
      <c r="Y749" s="199" t="s">
        <v>1395</v>
      </c>
      <c r="Z749" s="517" t="s">
        <v>5537</v>
      </c>
      <c r="AA749" s="493" t="s">
        <v>1485</v>
      </c>
      <c r="AB749" s="507"/>
    </row>
    <row r="750" spans="2:28" x14ac:dyDescent="0.15">
      <c r="B750" s="333" t="s">
        <v>3929</v>
      </c>
      <c r="C750" s="528">
        <v>43222</v>
      </c>
      <c r="D750" s="198" t="s">
        <v>3930</v>
      </c>
      <c r="E750" s="53" t="s">
        <v>1396</v>
      </c>
      <c r="F750" s="198" t="s">
        <v>21</v>
      </c>
      <c r="G750" s="3" t="s">
        <v>50</v>
      </c>
      <c r="H750" s="53" t="s">
        <v>2019</v>
      </c>
      <c r="I750" s="3" t="s">
        <v>2021</v>
      </c>
      <c r="J750" s="4" t="s">
        <v>299</v>
      </c>
      <c r="K750" s="4" t="s">
        <v>373</v>
      </c>
      <c r="L750" s="4" t="s">
        <v>3935</v>
      </c>
      <c r="M750" s="43"/>
      <c r="N750" s="255">
        <v>20000</v>
      </c>
      <c r="O750" s="265">
        <v>100</v>
      </c>
      <c r="P750" s="270">
        <v>1</v>
      </c>
      <c r="Q750" s="255">
        <v>20000</v>
      </c>
      <c r="R750" s="283">
        <v>20000</v>
      </c>
      <c r="S750" s="283">
        <v>5386</v>
      </c>
      <c r="T750" s="287">
        <v>0</v>
      </c>
      <c r="U750" s="287">
        <v>0</v>
      </c>
      <c r="V750" s="287">
        <v>0</v>
      </c>
      <c r="W750" s="283">
        <v>14614</v>
      </c>
      <c r="X750" s="283">
        <v>0</v>
      </c>
      <c r="Y750" s="199" t="s">
        <v>1392</v>
      </c>
      <c r="Z750" s="517" t="s">
        <v>5449</v>
      </c>
      <c r="AA750" s="493" t="s">
        <v>1485</v>
      </c>
      <c r="AB750" s="507"/>
    </row>
    <row r="751" spans="2:28" x14ac:dyDescent="0.15">
      <c r="B751" s="333" t="s">
        <v>3933</v>
      </c>
      <c r="C751" s="528">
        <v>43222</v>
      </c>
      <c r="D751" s="198" t="s">
        <v>3934</v>
      </c>
      <c r="E751" s="53" t="s">
        <v>1391</v>
      </c>
      <c r="F751" s="198" t="s">
        <v>3783</v>
      </c>
      <c r="G751" s="3" t="s">
        <v>362</v>
      </c>
      <c r="H751" s="53" t="s">
        <v>689</v>
      </c>
      <c r="I751" s="3" t="s">
        <v>1394</v>
      </c>
      <c r="J751" s="4" t="s">
        <v>271</v>
      </c>
      <c r="K751" s="4" t="s">
        <v>1160</v>
      </c>
      <c r="L751" s="190" t="s">
        <v>3938</v>
      </c>
      <c r="M751" s="43" t="s">
        <v>3937</v>
      </c>
      <c r="N751" s="255">
        <v>358000</v>
      </c>
      <c r="O751" s="265">
        <v>55</v>
      </c>
      <c r="P751" s="270">
        <v>1</v>
      </c>
      <c r="Q751" s="255">
        <v>196900</v>
      </c>
      <c r="R751" s="283">
        <v>196900</v>
      </c>
      <c r="S751" s="283">
        <v>68386</v>
      </c>
      <c r="T751" s="287">
        <v>1</v>
      </c>
      <c r="U751" s="287">
        <v>0</v>
      </c>
      <c r="V751" s="287">
        <v>0</v>
      </c>
      <c r="W751" s="283">
        <v>0</v>
      </c>
      <c r="X751" s="283">
        <v>0</v>
      </c>
      <c r="Y751" s="199" t="s">
        <v>1395</v>
      </c>
      <c r="Z751" s="517" t="s">
        <v>5166</v>
      </c>
      <c r="AA751" s="493" t="s">
        <v>1485</v>
      </c>
      <c r="AB751" s="507"/>
    </row>
    <row r="752" spans="2:28" x14ac:dyDescent="0.15">
      <c r="B752" s="333" t="s">
        <v>3939</v>
      </c>
      <c r="C752" s="528">
        <v>43223</v>
      </c>
      <c r="D752" s="198" t="s">
        <v>3940</v>
      </c>
      <c r="E752" s="53" t="s">
        <v>1391</v>
      </c>
      <c r="F752" s="198" t="s">
        <v>3783</v>
      </c>
      <c r="G752" s="3" t="s">
        <v>362</v>
      </c>
      <c r="H752" s="53" t="s">
        <v>689</v>
      </c>
      <c r="I752" s="3" t="s">
        <v>1394</v>
      </c>
      <c r="J752" s="4" t="s">
        <v>262</v>
      </c>
      <c r="K752" s="4" t="s">
        <v>365</v>
      </c>
      <c r="L752" s="4" t="s">
        <v>3941</v>
      </c>
      <c r="M752" s="43" t="s">
        <v>3942</v>
      </c>
      <c r="N752" s="255">
        <v>210000</v>
      </c>
      <c r="O752" s="265">
        <v>100</v>
      </c>
      <c r="P752" s="270">
        <v>1</v>
      </c>
      <c r="Q752" s="255">
        <v>210000</v>
      </c>
      <c r="R752" s="283">
        <v>210000</v>
      </c>
      <c r="S752" s="283">
        <v>103322</v>
      </c>
      <c r="T752" s="287">
        <v>1</v>
      </c>
      <c r="U752" s="287">
        <v>0</v>
      </c>
      <c r="V752" s="287">
        <v>0</v>
      </c>
      <c r="W752" s="283">
        <v>0</v>
      </c>
      <c r="X752" s="283">
        <v>0</v>
      </c>
      <c r="Y752" s="199" t="s">
        <v>1395</v>
      </c>
      <c r="Z752" s="517" t="s">
        <v>5166</v>
      </c>
      <c r="AA752" s="493" t="s">
        <v>1485</v>
      </c>
      <c r="AB752" s="507"/>
    </row>
    <row r="753" spans="2:28" x14ac:dyDescent="0.15">
      <c r="B753" s="333" t="s">
        <v>3943</v>
      </c>
      <c r="C753" s="528">
        <v>43225</v>
      </c>
      <c r="D753" s="198" t="s">
        <v>3944</v>
      </c>
      <c r="E753" s="53" t="s">
        <v>1391</v>
      </c>
      <c r="F753" s="198" t="s">
        <v>3783</v>
      </c>
      <c r="G753" s="3" t="s">
        <v>362</v>
      </c>
      <c r="H753" s="53" t="s">
        <v>689</v>
      </c>
      <c r="I753" s="3" t="s">
        <v>1394</v>
      </c>
      <c r="J753" s="4" t="s">
        <v>264</v>
      </c>
      <c r="K753" s="4" t="s">
        <v>538</v>
      </c>
      <c r="L753" s="4" t="s">
        <v>3945</v>
      </c>
      <c r="M753" s="43" t="s">
        <v>3946</v>
      </c>
      <c r="N753" s="255">
        <v>358000</v>
      </c>
      <c r="O753" s="265">
        <v>55</v>
      </c>
      <c r="P753" s="270">
        <v>1</v>
      </c>
      <c r="Q753" s="255">
        <v>196900</v>
      </c>
      <c r="R753" s="283">
        <v>196900</v>
      </c>
      <c r="S753" s="283">
        <v>67791</v>
      </c>
      <c r="T753" s="287">
        <v>1</v>
      </c>
      <c r="U753" s="287">
        <v>0</v>
      </c>
      <c r="V753" s="287">
        <v>0</v>
      </c>
      <c r="W753" s="283">
        <v>0</v>
      </c>
      <c r="X753" s="283">
        <v>0</v>
      </c>
      <c r="Y753" s="199" t="s">
        <v>1395</v>
      </c>
      <c r="Z753" s="517" t="s">
        <v>5166</v>
      </c>
      <c r="AA753" s="493" t="s">
        <v>1485</v>
      </c>
      <c r="AB753" s="507"/>
    </row>
    <row r="754" spans="2:28" x14ac:dyDescent="0.15">
      <c r="B754" s="333" t="s">
        <v>3947</v>
      </c>
      <c r="C754" s="528">
        <v>43227</v>
      </c>
      <c r="D754" s="198" t="s">
        <v>3948</v>
      </c>
      <c r="E754" s="53" t="s">
        <v>1391</v>
      </c>
      <c r="F754" s="198" t="s">
        <v>3783</v>
      </c>
      <c r="G754" s="3" t="s">
        <v>362</v>
      </c>
      <c r="H754" s="53" t="s">
        <v>689</v>
      </c>
      <c r="I754" s="3" t="s">
        <v>1394</v>
      </c>
      <c r="J754" s="4" t="s">
        <v>262</v>
      </c>
      <c r="K754" s="4" t="s">
        <v>365</v>
      </c>
      <c r="L754" s="4" t="s">
        <v>3941</v>
      </c>
      <c r="M754" s="43" t="s">
        <v>3949</v>
      </c>
      <c r="N754" s="255">
        <v>210000</v>
      </c>
      <c r="O754" s="265">
        <v>100</v>
      </c>
      <c r="P754" s="270">
        <v>1</v>
      </c>
      <c r="Q754" s="255">
        <v>210000</v>
      </c>
      <c r="R754" s="283">
        <v>210000</v>
      </c>
      <c r="S754" s="283">
        <v>103322</v>
      </c>
      <c r="T754" s="287">
        <v>1</v>
      </c>
      <c r="U754" s="287">
        <v>0</v>
      </c>
      <c r="V754" s="287">
        <v>0</v>
      </c>
      <c r="W754" s="283">
        <v>0</v>
      </c>
      <c r="X754" s="283">
        <v>0</v>
      </c>
      <c r="Y754" s="199" t="s">
        <v>1395</v>
      </c>
      <c r="Z754" s="517" t="s">
        <v>5166</v>
      </c>
      <c r="AA754" s="493" t="s">
        <v>1485</v>
      </c>
      <c r="AB754" s="507"/>
    </row>
    <row r="755" spans="2:28" x14ac:dyDescent="0.15">
      <c r="B755" s="333" t="s">
        <v>3950</v>
      </c>
      <c r="C755" s="528">
        <v>43227</v>
      </c>
      <c r="D755" s="198" t="s">
        <v>3951</v>
      </c>
      <c r="E755" s="53" t="s">
        <v>1396</v>
      </c>
      <c r="F755" s="198" t="s">
        <v>21</v>
      </c>
      <c r="G755" s="3" t="s">
        <v>50</v>
      </c>
      <c r="H755" s="53" t="s">
        <v>380</v>
      </c>
      <c r="I755" s="3" t="s">
        <v>1976</v>
      </c>
      <c r="J755" s="4" t="s">
        <v>272</v>
      </c>
      <c r="K755" s="4" t="s">
        <v>363</v>
      </c>
      <c r="L755" s="4" t="s">
        <v>2250</v>
      </c>
      <c r="M755" s="43" t="s">
        <v>1499</v>
      </c>
      <c r="N755" s="255">
        <v>252000</v>
      </c>
      <c r="O755" s="265">
        <v>100</v>
      </c>
      <c r="P755" s="270">
        <v>1</v>
      </c>
      <c r="Q755" s="255">
        <v>252000</v>
      </c>
      <c r="R755" s="283">
        <v>252000</v>
      </c>
      <c r="S755" s="283">
        <v>46438</v>
      </c>
      <c r="T755" s="287">
        <v>0</v>
      </c>
      <c r="U755" s="287">
        <v>1</v>
      </c>
      <c r="V755" s="287">
        <v>0</v>
      </c>
      <c r="W755" s="283">
        <v>29076</v>
      </c>
      <c r="X755" s="283">
        <v>0</v>
      </c>
      <c r="Y755" s="199" t="s">
        <v>1392</v>
      </c>
      <c r="Z755" s="517" t="s">
        <v>5166</v>
      </c>
      <c r="AA755" s="493" t="s">
        <v>1485</v>
      </c>
      <c r="AB755" s="507"/>
    </row>
    <row r="756" spans="2:28" x14ac:dyDescent="0.15">
      <c r="B756" s="333" t="s">
        <v>3953</v>
      </c>
      <c r="C756" s="528">
        <v>43228</v>
      </c>
      <c r="D756" s="198" t="s">
        <v>3954</v>
      </c>
      <c r="E756" s="53" t="s">
        <v>1391</v>
      </c>
      <c r="F756" s="198" t="s">
        <v>3955</v>
      </c>
      <c r="G756" s="3" t="s">
        <v>1421</v>
      </c>
      <c r="H756" s="53" t="s">
        <v>3478</v>
      </c>
      <c r="I756" s="3" t="s">
        <v>3479</v>
      </c>
      <c r="J756" s="4" t="s">
        <v>273</v>
      </c>
      <c r="K756" s="4" t="s">
        <v>1161</v>
      </c>
      <c r="L756" s="4" t="s">
        <v>2755</v>
      </c>
      <c r="M756" s="43" t="s">
        <v>3956</v>
      </c>
      <c r="N756" s="255">
        <v>260000</v>
      </c>
      <c r="O756" s="265">
        <v>55</v>
      </c>
      <c r="P756" s="270">
        <v>1</v>
      </c>
      <c r="Q756" s="255">
        <v>143000</v>
      </c>
      <c r="R756" s="283">
        <v>143000</v>
      </c>
      <c r="S756" s="283">
        <v>53536</v>
      </c>
      <c r="T756" s="287">
        <v>1</v>
      </c>
      <c r="U756" s="287">
        <v>0</v>
      </c>
      <c r="V756" s="287">
        <v>0</v>
      </c>
      <c r="W756" s="283">
        <v>0</v>
      </c>
      <c r="X756" s="283">
        <v>0</v>
      </c>
      <c r="Y756" s="199" t="s">
        <v>1395</v>
      </c>
      <c r="Z756" s="517" t="s">
        <v>5533</v>
      </c>
      <c r="AA756" s="493" t="s">
        <v>1485</v>
      </c>
      <c r="AB756" s="507"/>
    </row>
    <row r="757" spans="2:28" x14ac:dyDescent="0.15">
      <c r="B757" s="333" t="s">
        <v>3957</v>
      </c>
      <c r="C757" s="528">
        <v>43229</v>
      </c>
      <c r="D757" s="198" t="s">
        <v>3958</v>
      </c>
      <c r="E757" s="53" t="s">
        <v>1391</v>
      </c>
      <c r="F757" s="198" t="s">
        <v>3786</v>
      </c>
      <c r="G757" s="3" t="s">
        <v>364</v>
      </c>
      <c r="H757" s="53" t="s">
        <v>473</v>
      </c>
      <c r="I757" s="3" t="s">
        <v>1400</v>
      </c>
      <c r="J757" s="4" t="s">
        <v>262</v>
      </c>
      <c r="K757" s="4" t="s">
        <v>365</v>
      </c>
      <c r="L757" s="4" t="s">
        <v>1690</v>
      </c>
      <c r="M757" s="43" t="s">
        <v>3959</v>
      </c>
      <c r="N757" s="255">
        <v>260000</v>
      </c>
      <c r="O757" s="265">
        <v>65</v>
      </c>
      <c r="P757" s="270">
        <v>1</v>
      </c>
      <c r="Q757" s="255">
        <v>169000</v>
      </c>
      <c r="R757" s="283">
        <v>169000</v>
      </c>
      <c r="S757" s="283">
        <v>55542</v>
      </c>
      <c r="T757" s="287">
        <v>0</v>
      </c>
      <c r="U757" s="287">
        <v>1</v>
      </c>
      <c r="V757" s="287">
        <v>0</v>
      </c>
      <c r="W757" s="283">
        <v>19500</v>
      </c>
      <c r="X757" s="283">
        <v>0</v>
      </c>
      <c r="Y757" s="199" t="s">
        <v>1392</v>
      </c>
      <c r="Z757" s="517" t="s">
        <v>5537</v>
      </c>
      <c r="AA757" s="493" t="s">
        <v>1485</v>
      </c>
      <c r="AB757" s="507"/>
    </row>
    <row r="758" spans="2:28" x14ac:dyDescent="0.15">
      <c r="B758" s="333" t="s">
        <v>3960</v>
      </c>
      <c r="C758" s="528">
        <v>43229</v>
      </c>
      <c r="D758" s="198" t="s">
        <v>3961</v>
      </c>
      <c r="E758" s="53" t="s">
        <v>1396</v>
      </c>
      <c r="F758" s="198" t="s">
        <v>3784</v>
      </c>
      <c r="G758" s="3" t="s">
        <v>1110</v>
      </c>
      <c r="H758" s="53" t="s">
        <v>796</v>
      </c>
      <c r="I758" s="3" t="s">
        <v>1428</v>
      </c>
      <c r="J758" s="4" t="s">
        <v>262</v>
      </c>
      <c r="K758" s="4" t="s">
        <v>365</v>
      </c>
      <c r="L758" s="4" t="s">
        <v>3941</v>
      </c>
      <c r="M758" s="43" t="s">
        <v>3962</v>
      </c>
      <c r="N758" s="255">
        <v>210000</v>
      </c>
      <c r="O758" s="265">
        <v>100</v>
      </c>
      <c r="P758" s="270">
        <v>1</v>
      </c>
      <c r="Q758" s="255">
        <v>210000</v>
      </c>
      <c r="R758" s="283">
        <v>210000</v>
      </c>
      <c r="S758" s="283">
        <v>76322</v>
      </c>
      <c r="T758" s="287">
        <v>0</v>
      </c>
      <c r="U758" s="287">
        <v>1</v>
      </c>
      <c r="V758" s="287">
        <v>0</v>
      </c>
      <c r="W758" s="283">
        <v>27000</v>
      </c>
      <c r="X758" s="283">
        <v>0</v>
      </c>
      <c r="Y758" s="199" t="s">
        <v>1392</v>
      </c>
      <c r="Z758" s="517" t="s">
        <v>5543</v>
      </c>
      <c r="AA758" s="493" t="s">
        <v>1485</v>
      </c>
      <c r="AB758" s="507"/>
    </row>
    <row r="759" spans="2:28" x14ac:dyDescent="0.15">
      <c r="B759" s="333" t="s">
        <v>3963</v>
      </c>
      <c r="C759" s="528">
        <v>43229</v>
      </c>
      <c r="D759" s="198" t="s">
        <v>3964</v>
      </c>
      <c r="E759" s="53" t="s">
        <v>1391</v>
      </c>
      <c r="F759" s="198" t="s">
        <v>3786</v>
      </c>
      <c r="G759" s="3" t="s">
        <v>364</v>
      </c>
      <c r="H759" s="53" t="s">
        <v>420</v>
      </c>
      <c r="I759" s="3" t="s">
        <v>3509</v>
      </c>
      <c r="J759" s="4" t="s">
        <v>298</v>
      </c>
      <c r="K759" s="4" t="s">
        <v>1168</v>
      </c>
      <c r="L759" s="4" t="s">
        <v>3965</v>
      </c>
      <c r="M759" s="43"/>
      <c r="N759" s="255">
        <v>500</v>
      </c>
      <c r="O759" s="265">
        <v>65</v>
      </c>
      <c r="P759" s="270">
        <v>2</v>
      </c>
      <c r="Q759" s="255">
        <v>325</v>
      </c>
      <c r="R759" s="283">
        <v>650</v>
      </c>
      <c r="S759" s="283">
        <v>336</v>
      </c>
      <c r="T759" s="287">
        <v>0</v>
      </c>
      <c r="U759" s="287">
        <v>0</v>
      </c>
      <c r="V759" s="287">
        <v>0</v>
      </c>
      <c r="W759" s="283">
        <v>74</v>
      </c>
      <c r="X759" s="283">
        <v>0</v>
      </c>
      <c r="Y759" s="199" t="s">
        <v>1392</v>
      </c>
      <c r="Z759" s="517" t="s">
        <v>5543</v>
      </c>
      <c r="AA759" s="493" t="s">
        <v>1485</v>
      </c>
      <c r="AB759" s="507"/>
    </row>
    <row r="760" spans="2:28" x14ac:dyDescent="0.15">
      <c r="B760" s="333" t="s">
        <v>3963</v>
      </c>
      <c r="C760" s="528">
        <v>43229</v>
      </c>
      <c r="D760" s="198" t="s">
        <v>3964</v>
      </c>
      <c r="E760" s="53" t="s">
        <v>1391</v>
      </c>
      <c r="F760" s="198" t="s">
        <v>3786</v>
      </c>
      <c r="G760" s="3" t="s">
        <v>364</v>
      </c>
      <c r="H760" s="53" t="s">
        <v>420</v>
      </c>
      <c r="I760" s="3" t="s">
        <v>3509</v>
      </c>
      <c r="J760" s="4"/>
      <c r="K760" s="4"/>
      <c r="L760" s="4" t="s">
        <v>1520</v>
      </c>
      <c r="M760" s="43"/>
      <c r="N760" s="255">
        <v>600</v>
      </c>
      <c r="O760" s="265">
        <v>100</v>
      </c>
      <c r="P760" s="270">
        <v>1</v>
      </c>
      <c r="Q760" s="255">
        <v>600</v>
      </c>
      <c r="R760" s="283">
        <v>600</v>
      </c>
      <c r="S760" s="283">
        <v>0</v>
      </c>
      <c r="T760" s="287">
        <v>0</v>
      </c>
      <c r="U760" s="287">
        <v>0</v>
      </c>
      <c r="V760" s="287">
        <v>0</v>
      </c>
      <c r="W760" s="283">
        <v>0</v>
      </c>
      <c r="X760" s="283">
        <v>0</v>
      </c>
      <c r="Y760" s="199" t="s">
        <v>4146</v>
      </c>
      <c r="Z760" s="517" t="s">
        <v>5543</v>
      </c>
      <c r="AA760" s="493" t="s">
        <v>1485</v>
      </c>
      <c r="AB760" s="507"/>
    </row>
    <row r="761" spans="2:28" x14ac:dyDescent="0.15">
      <c r="B761" s="333" t="s">
        <v>3855</v>
      </c>
      <c r="C761" s="528">
        <v>43231</v>
      </c>
      <c r="D761" s="198" t="s">
        <v>3856</v>
      </c>
      <c r="E761" s="53" t="s">
        <v>2382</v>
      </c>
      <c r="F761" s="198" t="s">
        <v>3842</v>
      </c>
      <c r="G761" s="3" t="s">
        <v>2375</v>
      </c>
      <c r="H761" s="53"/>
      <c r="I761" s="3" t="s">
        <v>3857</v>
      </c>
      <c r="J761" s="4" t="s">
        <v>298</v>
      </c>
      <c r="K761" s="4" t="s">
        <v>1168</v>
      </c>
      <c r="L761" s="4" t="s">
        <v>3966</v>
      </c>
      <c r="M761" s="43"/>
      <c r="N761" s="255">
        <v>1100</v>
      </c>
      <c r="O761" s="265">
        <v>100</v>
      </c>
      <c r="P761" s="270">
        <v>1</v>
      </c>
      <c r="Q761" s="255">
        <v>820</v>
      </c>
      <c r="R761" s="283">
        <v>820</v>
      </c>
      <c r="S761" s="283">
        <v>0</v>
      </c>
      <c r="T761" s="287">
        <v>0</v>
      </c>
      <c r="U761" s="287">
        <v>0</v>
      </c>
      <c r="V761" s="287">
        <v>0</v>
      </c>
      <c r="W761" s="283">
        <v>0</v>
      </c>
      <c r="X761" s="283">
        <v>0</v>
      </c>
      <c r="Y761" s="199" t="s">
        <v>1395</v>
      </c>
      <c r="Z761" s="517" t="s">
        <v>5451</v>
      </c>
      <c r="AA761" s="493"/>
      <c r="AB761" s="507"/>
    </row>
    <row r="762" spans="2:28" x14ac:dyDescent="0.15">
      <c r="B762" s="333" t="s">
        <v>3967</v>
      </c>
      <c r="C762" s="528">
        <v>43231</v>
      </c>
      <c r="D762" s="198" t="s">
        <v>3968</v>
      </c>
      <c r="E762" s="53" t="s">
        <v>1391</v>
      </c>
      <c r="F762" s="198" t="s">
        <v>3783</v>
      </c>
      <c r="G762" s="3" t="s">
        <v>362</v>
      </c>
      <c r="H762" s="53" t="s">
        <v>689</v>
      </c>
      <c r="I762" s="3" t="s">
        <v>1394</v>
      </c>
      <c r="J762" s="4" t="s">
        <v>264</v>
      </c>
      <c r="K762" s="4" t="s">
        <v>538</v>
      </c>
      <c r="L762" s="4" t="s">
        <v>2515</v>
      </c>
      <c r="M762" s="43" t="s">
        <v>2753</v>
      </c>
      <c r="N762" s="255">
        <v>340000</v>
      </c>
      <c r="O762" s="265">
        <v>55</v>
      </c>
      <c r="P762" s="270">
        <v>1</v>
      </c>
      <c r="Q762" s="255">
        <v>187000</v>
      </c>
      <c r="R762" s="283">
        <v>187000</v>
      </c>
      <c r="S762" s="283">
        <v>50210</v>
      </c>
      <c r="T762" s="287">
        <v>1</v>
      </c>
      <c r="U762" s="287">
        <v>0</v>
      </c>
      <c r="V762" s="287">
        <v>0</v>
      </c>
      <c r="W762" s="283">
        <v>0</v>
      </c>
      <c r="X762" s="283">
        <v>0</v>
      </c>
      <c r="Y762" s="199" t="s">
        <v>1395</v>
      </c>
      <c r="Z762" s="517" t="s">
        <v>5543</v>
      </c>
      <c r="AA762" s="493" t="s">
        <v>1485</v>
      </c>
      <c r="AB762" s="507"/>
    </row>
    <row r="763" spans="2:28" x14ac:dyDescent="0.15">
      <c r="B763" s="333" t="s">
        <v>3969</v>
      </c>
      <c r="C763" s="528">
        <v>43234</v>
      </c>
      <c r="D763" s="198" t="s">
        <v>3970</v>
      </c>
      <c r="E763" s="53" t="s">
        <v>2382</v>
      </c>
      <c r="F763" s="198" t="s">
        <v>3842</v>
      </c>
      <c r="G763" s="3" t="s">
        <v>2375</v>
      </c>
      <c r="H763" s="53"/>
      <c r="I763" s="3" t="s">
        <v>3971</v>
      </c>
      <c r="J763" s="4" t="s">
        <v>298</v>
      </c>
      <c r="K763" s="4" t="s">
        <v>1168</v>
      </c>
      <c r="L763" s="4" t="s">
        <v>1482</v>
      </c>
      <c r="M763" s="43"/>
      <c r="N763" s="255">
        <v>111000</v>
      </c>
      <c r="O763" s="265">
        <v>100</v>
      </c>
      <c r="P763" s="270">
        <v>1</v>
      </c>
      <c r="Q763" s="255">
        <v>111000</v>
      </c>
      <c r="R763" s="283">
        <v>111000</v>
      </c>
      <c r="S763" s="283">
        <v>72000</v>
      </c>
      <c r="T763" s="287">
        <v>0</v>
      </c>
      <c r="U763" s="287">
        <v>0</v>
      </c>
      <c r="V763" s="287">
        <v>0</v>
      </c>
      <c r="W763" s="283">
        <v>0</v>
      </c>
      <c r="X763" s="283">
        <v>0</v>
      </c>
      <c r="Y763" s="199" t="s">
        <v>1395</v>
      </c>
      <c r="Z763" s="517" t="s">
        <v>5451</v>
      </c>
      <c r="AA763" s="493"/>
      <c r="AB763" s="507"/>
    </row>
    <row r="764" spans="2:28" x14ac:dyDescent="0.15">
      <c r="B764" s="333" t="s">
        <v>3977</v>
      </c>
      <c r="C764" s="528">
        <v>43235</v>
      </c>
      <c r="D764" s="198" t="s">
        <v>3978</v>
      </c>
      <c r="E764" s="53" t="s">
        <v>1391</v>
      </c>
      <c r="F764" s="198" t="s">
        <v>3979</v>
      </c>
      <c r="G764" s="3" t="s">
        <v>3972</v>
      </c>
      <c r="H764" s="53"/>
      <c r="I764" s="3"/>
      <c r="J764" s="4" t="s">
        <v>262</v>
      </c>
      <c r="K764" s="4" t="s">
        <v>365</v>
      </c>
      <c r="L764" s="4" t="s">
        <v>1690</v>
      </c>
      <c r="M764" s="43" t="s">
        <v>3980</v>
      </c>
      <c r="N764" s="255">
        <v>260000</v>
      </c>
      <c r="O764" s="265">
        <v>60</v>
      </c>
      <c r="P764" s="270">
        <v>1</v>
      </c>
      <c r="Q764" s="255">
        <v>156000</v>
      </c>
      <c r="R764" s="283">
        <v>156000</v>
      </c>
      <c r="S764" s="283">
        <v>62042</v>
      </c>
      <c r="T764" s="287">
        <v>1</v>
      </c>
      <c r="U764" s="287">
        <v>0</v>
      </c>
      <c r="V764" s="287">
        <v>0</v>
      </c>
      <c r="W764" s="283">
        <v>0</v>
      </c>
      <c r="X764" s="283">
        <v>0</v>
      </c>
      <c r="Y764" s="199" t="s">
        <v>1395</v>
      </c>
      <c r="Z764" s="517" t="s">
        <v>5557</v>
      </c>
      <c r="AA764" s="493"/>
      <c r="AB764" s="507"/>
    </row>
    <row r="765" spans="2:28" x14ac:dyDescent="0.15">
      <c r="B765" s="333" t="s">
        <v>3982</v>
      </c>
      <c r="C765" s="528">
        <v>43237</v>
      </c>
      <c r="D765" s="198" t="s">
        <v>3983</v>
      </c>
      <c r="E765" s="53" t="s">
        <v>1391</v>
      </c>
      <c r="F765" s="198" t="s">
        <v>3783</v>
      </c>
      <c r="G765" s="3" t="s">
        <v>362</v>
      </c>
      <c r="H765" s="53" t="s">
        <v>689</v>
      </c>
      <c r="I765" s="3" t="s">
        <v>1394</v>
      </c>
      <c r="J765" s="3" t="s">
        <v>262</v>
      </c>
      <c r="K765" s="3" t="s">
        <v>365</v>
      </c>
      <c r="L765" s="3" t="s">
        <v>1728</v>
      </c>
      <c r="M765" s="53" t="s">
        <v>3984</v>
      </c>
      <c r="N765" s="258">
        <v>270000</v>
      </c>
      <c r="O765" s="266">
        <v>55</v>
      </c>
      <c r="P765" s="272">
        <v>1</v>
      </c>
      <c r="Q765" s="258">
        <v>148500</v>
      </c>
      <c r="R765" s="286">
        <v>148500</v>
      </c>
      <c r="S765" s="286">
        <v>52342</v>
      </c>
      <c r="T765" s="288">
        <v>1</v>
      </c>
      <c r="U765" s="288">
        <v>0</v>
      </c>
      <c r="V765" s="288">
        <v>0</v>
      </c>
      <c r="W765" s="286">
        <v>0</v>
      </c>
      <c r="X765" s="286">
        <v>0</v>
      </c>
      <c r="Y765" s="200" t="s">
        <v>1395</v>
      </c>
      <c r="Z765" s="517" t="s">
        <v>5532</v>
      </c>
      <c r="AA765" s="499" t="s">
        <v>1485</v>
      </c>
      <c r="AB765" s="508"/>
    </row>
    <row r="766" spans="2:28" x14ac:dyDescent="0.15">
      <c r="B766" s="333" t="s">
        <v>3985</v>
      </c>
      <c r="C766" s="528">
        <v>43237</v>
      </c>
      <c r="D766" s="198" t="s">
        <v>3986</v>
      </c>
      <c r="E766" s="53" t="s">
        <v>1391</v>
      </c>
      <c r="F766" s="198" t="s">
        <v>3783</v>
      </c>
      <c r="G766" s="3" t="s">
        <v>362</v>
      </c>
      <c r="H766" s="53" t="s">
        <v>689</v>
      </c>
      <c r="I766" s="3" t="s">
        <v>1394</v>
      </c>
      <c r="J766" s="4" t="s">
        <v>262</v>
      </c>
      <c r="K766" s="4" t="s">
        <v>365</v>
      </c>
      <c r="L766" s="4" t="s">
        <v>3987</v>
      </c>
      <c r="M766" s="43" t="s">
        <v>3988</v>
      </c>
      <c r="N766" s="255">
        <v>270000</v>
      </c>
      <c r="O766" s="265">
        <v>55</v>
      </c>
      <c r="P766" s="270">
        <v>1</v>
      </c>
      <c r="Q766" s="255">
        <v>148500</v>
      </c>
      <c r="R766" s="283">
        <v>148500</v>
      </c>
      <c r="S766" s="283">
        <v>50542</v>
      </c>
      <c r="T766" s="287">
        <v>1</v>
      </c>
      <c r="U766" s="287">
        <v>0</v>
      </c>
      <c r="V766" s="287">
        <v>0</v>
      </c>
      <c r="W766" s="283">
        <v>0</v>
      </c>
      <c r="X766" s="283">
        <v>0</v>
      </c>
      <c r="Y766" s="199" t="s">
        <v>1395</v>
      </c>
      <c r="Z766" s="517" t="s">
        <v>5532</v>
      </c>
      <c r="AA766" s="493" t="s">
        <v>1485</v>
      </c>
      <c r="AB766" s="507"/>
    </row>
    <row r="767" spans="2:28" x14ac:dyDescent="0.15">
      <c r="B767" s="333" t="s">
        <v>4002</v>
      </c>
      <c r="C767" s="528">
        <v>43237</v>
      </c>
      <c r="D767" s="198" t="s">
        <v>4003</v>
      </c>
      <c r="E767" s="53" t="s">
        <v>1396</v>
      </c>
      <c r="F767" s="198" t="s">
        <v>3789</v>
      </c>
      <c r="G767" s="3" t="s">
        <v>368</v>
      </c>
      <c r="H767" s="53" t="s">
        <v>792</v>
      </c>
      <c r="I767" s="3" t="s">
        <v>1413</v>
      </c>
      <c r="J767" s="4" t="s">
        <v>262</v>
      </c>
      <c r="K767" s="4" t="s">
        <v>365</v>
      </c>
      <c r="L767" s="4" t="s">
        <v>1738</v>
      </c>
      <c r="M767" s="43" t="s">
        <v>4004</v>
      </c>
      <c r="N767" s="255">
        <v>270000</v>
      </c>
      <c r="O767" s="265">
        <v>55</v>
      </c>
      <c r="P767" s="270">
        <v>1</v>
      </c>
      <c r="Q767" s="255">
        <v>148500</v>
      </c>
      <c r="R767" s="283">
        <v>148500</v>
      </c>
      <c r="S767" s="283">
        <v>38892</v>
      </c>
      <c r="T767" s="287">
        <v>0</v>
      </c>
      <c r="U767" s="287">
        <v>1</v>
      </c>
      <c r="V767" s="287">
        <v>0</v>
      </c>
      <c r="W767" s="283">
        <v>12150</v>
      </c>
      <c r="X767" s="283">
        <v>0</v>
      </c>
      <c r="Y767" s="199" t="s">
        <v>1392</v>
      </c>
      <c r="Z767" s="517" t="s">
        <v>5542</v>
      </c>
      <c r="AA767" s="493" t="s">
        <v>1485</v>
      </c>
      <c r="AB767" s="507"/>
    </row>
    <row r="768" spans="2:28" x14ac:dyDescent="0.15">
      <c r="B768" s="333" t="s">
        <v>4005</v>
      </c>
      <c r="C768" s="528">
        <v>43237</v>
      </c>
      <c r="D768" s="198" t="s">
        <v>4006</v>
      </c>
      <c r="E768" s="53" t="s">
        <v>1396</v>
      </c>
      <c r="F768" s="198" t="s">
        <v>3789</v>
      </c>
      <c r="G768" s="3" t="s">
        <v>368</v>
      </c>
      <c r="H768" s="53" t="s">
        <v>792</v>
      </c>
      <c r="I768" s="3" t="s">
        <v>1413</v>
      </c>
      <c r="J768" s="4" t="s">
        <v>268</v>
      </c>
      <c r="K768" s="4" t="s">
        <v>1158</v>
      </c>
      <c r="L768" s="4" t="s">
        <v>4007</v>
      </c>
      <c r="M768" s="43" t="s">
        <v>4008</v>
      </c>
      <c r="N768" s="255">
        <v>216000</v>
      </c>
      <c r="O768" s="265">
        <v>100</v>
      </c>
      <c r="P768" s="270">
        <v>1</v>
      </c>
      <c r="Q768" s="255">
        <v>216000</v>
      </c>
      <c r="R768" s="283">
        <v>216000</v>
      </c>
      <c r="S768" s="283">
        <v>85965</v>
      </c>
      <c r="T768" s="287">
        <v>0</v>
      </c>
      <c r="U768" s="287">
        <v>1</v>
      </c>
      <c r="V768" s="287">
        <v>0</v>
      </c>
      <c r="W768" s="283">
        <v>24999</v>
      </c>
      <c r="X768" s="283">
        <v>0</v>
      </c>
      <c r="Y768" s="199" t="s">
        <v>1392</v>
      </c>
      <c r="Z768" s="517" t="s">
        <v>5543</v>
      </c>
      <c r="AA768" s="493" t="s">
        <v>1485</v>
      </c>
      <c r="AB768" s="507"/>
    </row>
    <row r="769" spans="2:28" x14ac:dyDescent="0.15">
      <c r="B769" s="333" t="s">
        <v>4009</v>
      </c>
      <c r="C769" s="528">
        <v>43237</v>
      </c>
      <c r="D769" s="198" t="s">
        <v>4010</v>
      </c>
      <c r="E769" s="53" t="s">
        <v>1391</v>
      </c>
      <c r="F769" s="198" t="s">
        <v>3786</v>
      </c>
      <c r="G769" s="3" t="s">
        <v>364</v>
      </c>
      <c r="H769" s="53" t="s">
        <v>444</v>
      </c>
      <c r="I769" s="3" t="s">
        <v>1440</v>
      </c>
      <c r="J769" s="4" t="s">
        <v>262</v>
      </c>
      <c r="K769" s="4" t="s">
        <v>365</v>
      </c>
      <c r="L769" s="190" t="s">
        <v>4017</v>
      </c>
      <c r="M769" s="43" t="s">
        <v>4011</v>
      </c>
      <c r="N769" s="255">
        <v>195000</v>
      </c>
      <c r="O769" s="265">
        <v>100</v>
      </c>
      <c r="P769" s="270">
        <v>1</v>
      </c>
      <c r="Q769" s="255">
        <v>195000</v>
      </c>
      <c r="R769" s="283">
        <v>195000</v>
      </c>
      <c r="S769" s="283">
        <v>65822</v>
      </c>
      <c r="T769" s="287">
        <v>0</v>
      </c>
      <c r="U769" s="287">
        <v>0</v>
      </c>
      <c r="V769" s="287">
        <v>0</v>
      </c>
      <c r="W769" s="283">
        <v>22500</v>
      </c>
      <c r="X769" s="283">
        <v>0</v>
      </c>
      <c r="Y769" s="199" t="s">
        <v>1392</v>
      </c>
      <c r="Z769" s="517" t="s">
        <v>5166</v>
      </c>
      <c r="AA769" s="493" t="s">
        <v>1485</v>
      </c>
      <c r="AB769" s="507"/>
    </row>
    <row r="770" spans="2:28" x14ac:dyDescent="0.15">
      <c r="B770" s="333" t="s">
        <v>3989</v>
      </c>
      <c r="C770" s="528">
        <v>43238</v>
      </c>
      <c r="D770" s="198" t="s">
        <v>3990</v>
      </c>
      <c r="E770" s="53" t="s">
        <v>1391</v>
      </c>
      <c r="F770" s="198" t="s">
        <v>2834</v>
      </c>
      <c r="G770" s="3" t="s">
        <v>3559</v>
      </c>
      <c r="H770" s="53"/>
      <c r="I770" s="3"/>
      <c r="J770" s="4" t="s">
        <v>297</v>
      </c>
      <c r="K770" s="4" t="s">
        <v>369</v>
      </c>
      <c r="L770" s="4" t="s">
        <v>3991</v>
      </c>
      <c r="M770" s="43"/>
      <c r="N770" s="255">
        <v>100</v>
      </c>
      <c r="O770" s="265">
        <v>50</v>
      </c>
      <c r="P770" s="270">
        <v>10</v>
      </c>
      <c r="Q770" s="255">
        <v>50</v>
      </c>
      <c r="R770" s="283">
        <v>500</v>
      </c>
      <c r="S770" s="283">
        <v>280</v>
      </c>
      <c r="T770" s="287">
        <v>0</v>
      </c>
      <c r="U770" s="287">
        <v>0</v>
      </c>
      <c r="V770" s="287">
        <v>0</v>
      </c>
      <c r="W770" s="283">
        <v>0</v>
      </c>
      <c r="X770" s="283">
        <v>0</v>
      </c>
      <c r="Y770" s="199" t="s">
        <v>1395</v>
      </c>
      <c r="Z770" s="517" t="s">
        <v>5170</v>
      </c>
      <c r="AA770" s="493" t="s">
        <v>1485</v>
      </c>
      <c r="AB770" s="507"/>
    </row>
    <row r="771" spans="2:28" x14ac:dyDescent="0.15">
      <c r="B771" s="333" t="s">
        <v>3989</v>
      </c>
      <c r="C771" s="528">
        <v>43238</v>
      </c>
      <c r="D771" s="198" t="s">
        <v>3990</v>
      </c>
      <c r="E771" s="53" t="s">
        <v>1391</v>
      </c>
      <c r="F771" s="198" t="s">
        <v>2834</v>
      </c>
      <c r="G771" s="3" t="s">
        <v>3559</v>
      </c>
      <c r="H771" s="53"/>
      <c r="I771" s="3"/>
      <c r="J771" s="4" t="s">
        <v>297</v>
      </c>
      <c r="K771" s="4" t="s">
        <v>369</v>
      </c>
      <c r="L771" s="4" t="s">
        <v>3991</v>
      </c>
      <c r="M771" s="43"/>
      <c r="N771" s="255">
        <v>100</v>
      </c>
      <c r="O771" s="265">
        <v>50</v>
      </c>
      <c r="P771" s="270">
        <v>90</v>
      </c>
      <c r="Q771" s="255">
        <v>50</v>
      </c>
      <c r="R771" s="283">
        <v>4500</v>
      </c>
      <c r="S771" s="283">
        <v>2520</v>
      </c>
      <c r="T771" s="287">
        <v>0</v>
      </c>
      <c r="U771" s="287">
        <v>0</v>
      </c>
      <c r="V771" s="287">
        <v>0</v>
      </c>
      <c r="W771" s="283">
        <v>0</v>
      </c>
      <c r="X771" s="283">
        <v>0</v>
      </c>
      <c r="Y771" s="199" t="s">
        <v>1395</v>
      </c>
      <c r="Z771" s="517" t="s">
        <v>5554</v>
      </c>
      <c r="AA771" s="493" t="s">
        <v>1485</v>
      </c>
      <c r="AB771" s="507"/>
    </row>
    <row r="772" spans="2:28" x14ac:dyDescent="0.15">
      <c r="B772" s="333" t="s">
        <v>3989</v>
      </c>
      <c r="C772" s="528">
        <v>43238</v>
      </c>
      <c r="D772" s="198" t="s">
        <v>3990</v>
      </c>
      <c r="E772" s="53" t="s">
        <v>1391</v>
      </c>
      <c r="F772" s="198" t="s">
        <v>2834</v>
      </c>
      <c r="G772" s="3" t="s">
        <v>3559</v>
      </c>
      <c r="H772" s="53"/>
      <c r="I772" s="3"/>
      <c r="J772" s="190" t="s">
        <v>4022</v>
      </c>
      <c r="K772" s="190" t="s">
        <v>4023</v>
      </c>
      <c r="L772" s="4" t="s">
        <v>3992</v>
      </c>
      <c r="M772" s="43"/>
      <c r="N772" s="255">
        <v>100</v>
      </c>
      <c r="O772" s="265">
        <v>50</v>
      </c>
      <c r="P772" s="270">
        <v>100</v>
      </c>
      <c r="Q772" s="255">
        <v>50</v>
      </c>
      <c r="R772" s="283">
        <v>5000</v>
      </c>
      <c r="S772" s="283">
        <v>2800</v>
      </c>
      <c r="T772" s="287">
        <v>0</v>
      </c>
      <c r="U772" s="287">
        <v>0</v>
      </c>
      <c r="V772" s="287">
        <v>0</v>
      </c>
      <c r="W772" s="283">
        <v>0</v>
      </c>
      <c r="X772" s="283">
        <v>0</v>
      </c>
      <c r="Y772" s="199" t="s">
        <v>1395</v>
      </c>
      <c r="Z772" s="517" t="s">
        <v>5548</v>
      </c>
      <c r="AA772" s="493" t="s">
        <v>1485</v>
      </c>
      <c r="AB772" s="507"/>
    </row>
    <row r="773" spans="2:28" x14ac:dyDescent="0.15">
      <c r="B773" s="333" t="s">
        <v>3993</v>
      </c>
      <c r="C773" s="528">
        <v>43238</v>
      </c>
      <c r="D773" s="198" t="s">
        <v>3994</v>
      </c>
      <c r="E773" s="53" t="s">
        <v>1396</v>
      </c>
      <c r="F773" s="198" t="s">
        <v>3789</v>
      </c>
      <c r="G773" s="3" t="s">
        <v>368</v>
      </c>
      <c r="H773" s="53" t="s">
        <v>792</v>
      </c>
      <c r="I773" s="3" t="s">
        <v>1413</v>
      </c>
      <c r="J773" s="4" t="s">
        <v>3995</v>
      </c>
      <c r="K773" s="4" t="s">
        <v>1213</v>
      </c>
      <c r="L773" s="4" t="s">
        <v>3996</v>
      </c>
      <c r="M773" s="43" t="s">
        <v>3997</v>
      </c>
      <c r="N773" s="255">
        <v>250000</v>
      </c>
      <c r="O773" s="265">
        <v>100</v>
      </c>
      <c r="P773" s="270">
        <v>1</v>
      </c>
      <c r="Q773" s="255">
        <v>250000</v>
      </c>
      <c r="R773" s="283">
        <v>250000</v>
      </c>
      <c r="S773" s="283">
        <v>34208</v>
      </c>
      <c r="T773" s="287">
        <v>0</v>
      </c>
      <c r="U773" s="287">
        <v>1</v>
      </c>
      <c r="V773" s="287">
        <v>0</v>
      </c>
      <c r="W773" s="283">
        <v>19384</v>
      </c>
      <c r="X773" s="283">
        <v>0</v>
      </c>
      <c r="Y773" s="199" t="s">
        <v>1392</v>
      </c>
      <c r="Z773" s="517" t="s">
        <v>5166</v>
      </c>
      <c r="AA773" s="493" t="s">
        <v>1485</v>
      </c>
      <c r="AB773" s="507"/>
    </row>
    <row r="774" spans="2:28" x14ac:dyDescent="0.15">
      <c r="B774" s="333" t="s">
        <v>3998</v>
      </c>
      <c r="C774" s="528">
        <v>43238</v>
      </c>
      <c r="D774" s="198" t="s">
        <v>3999</v>
      </c>
      <c r="E774" s="53" t="s">
        <v>1396</v>
      </c>
      <c r="F774" s="198" t="s">
        <v>3789</v>
      </c>
      <c r="G774" s="3" t="s">
        <v>368</v>
      </c>
      <c r="H774" s="53" t="s">
        <v>792</v>
      </c>
      <c r="I774" s="3" t="s">
        <v>1413</v>
      </c>
      <c r="J774" s="4" t="s">
        <v>262</v>
      </c>
      <c r="K774" s="4" t="s">
        <v>365</v>
      </c>
      <c r="L774" s="190" t="s">
        <v>4017</v>
      </c>
      <c r="M774" s="43" t="s">
        <v>4000</v>
      </c>
      <c r="N774" s="255">
        <v>195000</v>
      </c>
      <c r="O774" s="265">
        <v>100</v>
      </c>
      <c r="P774" s="270">
        <v>1</v>
      </c>
      <c r="Q774" s="255">
        <v>195000</v>
      </c>
      <c r="R774" s="283">
        <v>195000</v>
      </c>
      <c r="S774" s="283">
        <v>65822</v>
      </c>
      <c r="T774" s="287">
        <v>0</v>
      </c>
      <c r="U774" s="287">
        <v>1</v>
      </c>
      <c r="V774" s="287">
        <v>0</v>
      </c>
      <c r="W774" s="283">
        <v>22500</v>
      </c>
      <c r="X774" s="283">
        <v>0</v>
      </c>
      <c r="Y774" s="199" t="s">
        <v>1392</v>
      </c>
      <c r="Z774" s="517" t="s">
        <v>5166</v>
      </c>
      <c r="AA774" s="500" t="s">
        <v>4001</v>
      </c>
      <c r="AB774" s="509"/>
    </row>
    <row r="775" spans="2:28" x14ac:dyDescent="0.15">
      <c r="B775" s="333" t="s">
        <v>4012</v>
      </c>
      <c r="C775" s="528">
        <v>43238</v>
      </c>
      <c r="D775" s="198" t="s">
        <v>4013</v>
      </c>
      <c r="E775" s="53" t="s">
        <v>1391</v>
      </c>
      <c r="F775" s="198" t="s">
        <v>4014</v>
      </c>
      <c r="G775" s="3" t="s">
        <v>370</v>
      </c>
      <c r="H775" s="53" t="s">
        <v>1135</v>
      </c>
      <c r="I775" s="3" t="s">
        <v>1427</v>
      </c>
      <c r="J775" s="4" t="s">
        <v>3995</v>
      </c>
      <c r="K775" s="4" t="s">
        <v>1213</v>
      </c>
      <c r="L775" s="4" t="s">
        <v>4015</v>
      </c>
      <c r="M775" s="43" t="s">
        <v>4016</v>
      </c>
      <c r="N775" s="255">
        <v>250000</v>
      </c>
      <c r="O775" s="265">
        <v>100</v>
      </c>
      <c r="P775" s="270">
        <v>1</v>
      </c>
      <c r="Q775" s="255">
        <v>250000</v>
      </c>
      <c r="R775" s="283">
        <v>250000</v>
      </c>
      <c r="S775" s="283">
        <v>35677</v>
      </c>
      <c r="T775" s="287">
        <v>0</v>
      </c>
      <c r="U775" s="287">
        <v>1</v>
      </c>
      <c r="V775" s="287">
        <v>0</v>
      </c>
      <c r="W775" s="283">
        <v>21415</v>
      </c>
      <c r="X775" s="283">
        <v>0</v>
      </c>
      <c r="Y775" s="199" t="s">
        <v>1392</v>
      </c>
      <c r="Z775" s="517" t="s">
        <v>5535</v>
      </c>
      <c r="AA775" s="493" t="s">
        <v>1485</v>
      </c>
      <c r="AB775" s="507"/>
    </row>
    <row r="776" spans="2:28" x14ac:dyDescent="0.15">
      <c r="B776" s="333" t="s">
        <v>4018</v>
      </c>
      <c r="C776" s="528">
        <v>43238</v>
      </c>
      <c r="D776" s="198" t="s">
        <v>4019</v>
      </c>
      <c r="E776" s="53" t="s">
        <v>1396</v>
      </c>
      <c r="F776" s="198" t="s">
        <v>21</v>
      </c>
      <c r="G776" s="3" t="s">
        <v>50</v>
      </c>
      <c r="H776" s="53" t="s">
        <v>381</v>
      </c>
      <c r="I776" s="3" t="s">
        <v>1408</v>
      </c>
      <c r="J776" s="4"/>
      <c r="K776" s="4"/>
      <c r="L776" s="4" t="s">
        <v>4020</v>
      </c>
      <c r="M776" s="43"/>
      <c r="N776" s="255">
        <v>25000</v>
      </c>
      <c r="O776" s="265">
        <v>100</v>
      </c>
      <c r="P776" s="270">
        <v>1</v>
      </c>
      <c r="Q776" s="255">
        <v>25000</v>
      </c>
      <c r="R776" s="283">
        <v>25000</v>
      </c>
      <c r="S776" s="283">
        <v>0</v>
      </c>
      <c r="T776" s="287">
        <v>0</v>
      </c>
      <c r="U776" s="287">
        <v>0</v>
      </c>
      <c r="V776" s="287">
        <v>0</v>
      </c>
      <c r="W776" s="283">
        <v>0</v>
      </c>
      <c r="X776" s="283">
        <v>0</v>
      </c>
      <c r="Y776" s="199" t="s">
        <v>4146</v>
      </c>
      <c r="Z776" s="517" t="s">
        <v>5166</v>
      </c>
      <c r="AA776" s="493" t="s">
        <v>1485</v>
      </c>
      <c r="AB776" s="507"/>
    </row>
    <row r="777" spans="2:28" x14ac:dyDescent="0.15">
      <c r="B777" s="333" t="s">
        <v>4018</v>
      </c>
      <c r="C777" s="528">
        <v>43238</v>
      </c>
      <c r="D777" s="198" t="s">
        <v>4019</v>
      </c>
      <c r="E777" s="53" t="s">
        <v>1396</v>
      </c>
      <c r="F777" s="198" t="s">
        <v>21</v>
      </c>
      <c r="G777" s="3" t="s">
        <v>50</v>
      </c>
      <c r="H777" s="53" t="s">
        <v>381</v>
      </c>
      <c r="I777" s="3" t="s">
        <v>1408</v>
      </c>
      <c r="J777" s="4" t="s">
        <v>298</v>
      </c>
      <c r="K777" s="4" t="s">
        <v>1168</v>
      </c>
      <c r="L777" s="4" t="s">
        <v>4021</v>
      </c>
      <c r="M777" s="43"/>
      <c r="N777" s="255">
        <v>3500</v>
      </c>
      <c r="O777" s="265">
        <v>65</v>
      </c>
      <c r="P777" s="270">
        <v>2</v>
      </c>
      <c r="Q777" s="255">
        <v>2275</v>
      </c>
      <c r="R777" s="283">
        <v>4550</v>
      </c>
      <c r="S777" s="283">
        <v>1466</v>
      </c>
      <c r="T777" s="287">
        <v>0</v>
      </c>
      <c r="U777" s="287">
        <v>0</v>
      </c>
      <c r="V777" s="287">
        <v>0</v>
      </c>
      <c r="W777" s="283">
        <v>524</v>
      </c>
      <c r="X777" s="283">
        <v>0</v>
      </c>
      <c r="Y777" s="199" t="s">
        <v>1392</v>
      </c>
      <c r="Z777" s="517" t="s">
        <v>5166</v>
      </c>
      <c r="AA777" s="493" t="s">
        <v>1485</v>
      </c>
      <c r="AB777" s="507"/>
    </row>
    <row r="778" spans="2:28" x14ac:dyDescent="0.15">
      <c r="B778" s="333" t="s">
        <v>4027</v>
      </c>
      <c r="C778" s="528">
        <v>43238</v>
      </c>
      <c r="D778" s="198" t="s">
        <v>4028</v>
      </c>
      <c r="E778" s="53" t="s">
        <v>1391</v>
      </c>
      <c r="F778" s="198" t="s">
        <v>3786</v>
      </c>
      <c r="G778" s="3" t="s">
        <v>364</v>
      </c>
      <c r="H778" s="198" t="s">
        <v>4094</v>
      </c>
      <c r="I778" s="3" t="s">
        <v>4024</v>
      </c>
      <c r="J778" s="4" t="s">
        <v>297</v>
      </c>
      <c r="K778" s="4" t="s">
        <v>369</v>
      </c>
      <c r="L778" s="4" t="s">
        <v>1509</v>
      </c>
      <c r="M778" s="43"/>
      <c r="N778" s="255">
        <v>200</v>
      </c>
      <c r="O778" s="265">
        <v>50</v>
      </c>
      <c r="P778" s="270">
        <v>1</v>
      </c>
      <c r="Q778" s="255">
        <v>100</v>
      </c>
      <c r="R778" s="283">
        <v>10000</v>
      </c>
      <c r="S778" s="283">
        <v>5700</v>
      </c>
      <c r="T778" s="287">
        <v>0</v>
      </c>
      <c r="U778" s="287">
        <v>0</v>
      </c>
      <c r="V778" s="287">
        <v>0</v>
      </c>
      <c r="W778" s="283">
        <v>1500</v>
      </c>
      <c r="X778" s="283">
        <v>0</v>
      </c>
      <c r="Y778" s="199" t="s">
        <v>1392</v>
      </c>
      <c r="Z778" s="517" t="s">
        <v>5532</v>
      </c>
      <c r="AA778" s="493" t="s">
        <v>1485</v>
      </c>
      <c r="AB778" s="507"/>
    </row>
    <row r="779" spans="2:28" x14ac:dyDescent="0.15">
      <c r="B779" s="333" t="s">
        <v>4029</v>
      </c>
      <c r="C779" s="528">
        <v>43238</v>
      </c>
      <c r="D779" s="198" t="s">
        <v>4030</v>
      </c>
      <c r="E779" s="53" t="s">
        <v>1391</v>
      </c>
      <c r="F779" s="198" t="s">
        <v>3786</v>
      </c>
      <c r="G779" s="3" t="s">
        <v>364</v>
      </c>
      <c r="H779" s="53" t="s">
        <v>416</v>
      </c>
      <c r="I779" s="3" t="s">
        <v>4031</v>
      </c>
      <c r="J779" s="4" t="s">
        <v>297</v>
      </c>
      <c r="K779" s="4" t="s">
        <v>369</v>
      </c>
      <c r="L779" s="4" t="s">
        <v>1509</v>
      </c>
      <c r="M779" s="43"/>
      <c r="N779" s="255">
        <v>200</v>
      </c>
      <c r="O779" s="265">
        <v>50</v>
      </c>
      <c r="P779" s="270">
        <v>100</v>
      </c>
      <c r="Q779" s="255">
        <v>100</v>
      </c>
      <c r="R779" s="283">
        <v>10000</v>
      </c>
      <c r="S779" s="283">
        <v>7200</v>
      </c>
      <c r="T779" s="287">
        <v>0</v>
      </c>
      <c r="U779" s="287">
        <v>0</v>
      </c>
      <c r="V779" s="287">
        <v>0</v>
      </c>
      <c r="W779" s="283">
        <v>0</v>
      </c>
      <c r="X779" s="283">
        <v>0</v>
      </c>
      <c r="Y779" s="199" t="s">
        <v>1395</v>
      </c>
      <c r="Z779" s="517" t="s">
        <v>5450</v>
      </c>
      <c r="AA779" s="493" t="s">
        <v>1485</v>
      </c>
      <c r="AB779" s="507"/>
    </row>
    <row r="780" spans="2:28" x14ac:dyDescent="0.15">
      <c r="B780" s="333" t="s">
        <v>4032</v>
      </c>
      <c r="C780" s="528">
        <v>43238</v>
      </c>
      <c r="D780" s="198" t="s">
        <v>4033</v>
      </c>
      <c r="E780" s="53" t="s">
        <v>1391</v>
      </c>
      <c r="F780" s="198" t="s">
        <v>3786</v>
      </c>
      <c r="G780" s="3" t="s">
        <v>364</v>
      </c>
      <c r="H780" s="53" t="s">
        <v>470</v>
      </c>
      <c r="I780" s="3" t="s">
        <v>1597</v>
      </c>
      <c r="J780" s="4" t="s">
        <v>297</v>
      </c>
      <c r="K780" s="4" t="s">
        <v>369</v>
      </c>
      <c r="L780" s="4" t="s">
        <v>1509</v>
      </c>
      <c r="M780" s="43"/>
      <c r="N780" s="255">
        <v>200</v>
      </c>
      <c r="O780" s="265">
        <v>50</v>
      </c>
      <c r="P780" s="270">
        <v>100</v>
      </c>
      <c r="Q780" s="255">
        <v>100</v>
      </c>
      <c r="R780" s="283">
        <v>10000</v>
      </c>
      <c r="S780" s="283">
        <v>5700</v>
      </c>
      <c r="T780" s="287">
        <v>0</v>
      </c>
      <c r="U780" s="287">
        <v>0</v>
      </c>
      <c r="V780" s="287">
        <v>0</v>
      </c>
      <c r="W780" s="283">
        <v>0</v>
      </c>
      <c r="X780" s="283">
        <v>0</v>
      </c>
      <c r="Y780" s="199" t="s">
        <v>1395</v>
      </c>
      <c r="Z780" s="517" t="s">
        <v>5556</v>
      </c>
      <c r="AA780" s="493" t="s">
        <v>1485</v>
      </c>
      <c r="AB780" s="507"/>
    </row>
    <row r="781" spans="2:28" x14ac:dyDescent="0.15">
      <c r="B781" s="333" t="s">
        <v>4034</v>
      </c>
      <c r="C781" s="528">
        <v>43238</v>
      </c>
      <c r="D781" s="198" t="s">
        <v>4035</v>
      </c>
      <c r="E781" s="53" t="s">
        <v>1396</v>
      </c>
      <c r="F781" s="198" t="s">
        <v>3863</v>
      </c>
      <c r="G781" s="3" t="s">
        <v>322</v>
      </c>
      <c r="H781" s="53"/>
      <c r="I781" s="3"/>
      <c r="J781" s="4" t="s">
        <v>297</v>
      </c>
      <c r="K781" s="4" t="s">
        <v>369</v>
      </c>
      <c r="L781" s="4" t="s">
        <v>1509</v>
      </c>
      <c r="M781" s="43"/>
      <c r="N781" s="255">
        <v>200</v>
      </c>
      <c r="O781" s="265">
        <v>50</v>
      </c>
      <c r="P781" s="270">
        <v>100</v>
      </c>
      <c r="Q781" s="255">
        <v>100</v>
      </c>
      <c r="R781" s="283">
        <v>10000</v>
      </c>
      <c r="S781" s="283">
        <v>5700</v>
      </c>
      <c r="T781" s="287">
        <v>0</v>
      </c>
      <c r="U781" s="287">
        <v>0</v>
      </c>
      <c r="V781" s="287">
        <v>0</v>
      </c>
      <c r="W781" s="283">
        <v>1500</v>
      </c>
      <c r="X781" s="283">
        <v>0</v>
      </c>
      <c r="Y781" s="199" t="s">
        <v>1392</v>
      </c>
      <c r="Z781" s="517" t="s">
        <v>5167</v>
      </c>
      <c r="AA781" s="493" t="s">
        <v>1485</v>
      </c>
      <c r="AB781" s="507"/>
    </row>
    <row r="782" spans="2:28" x14ac:dyDescent="0.15">
      <c r="B782" s="333" t="s">
        <v>4036</v>
      </c>
      <c r="C782" s="528">
        <v>43238</v>
      </c>
      <c r="D782" s="198" t="s">
        <v>4037</v>
      </c>
      <c r="E782" s="53" t="s">
        <v>1391</v>
      </c>
      <c r="F782" s="198" t="s">
        <v>3783</v>
      </c>
      <c r="G782" s="3" t="s">
        <v>362</v>
      </c>
      <c r="H782" s="53" t="s">
        <v>689</v>
      </c>
      <c r="I782" s="3" t="s">
        <v>1394</v>
      </c>
      <c r="J782" s="4" t="s">
        <v>261</v>
      </c>
      <c r="K782" s="4" t="s">
        <v>1153</v>
      </c>
      <c r="L782" s="4" t="s">
        <v>2682</v>
      </c>
      <c r="M782" s="43" t="s">
        <v>4038</v>
      </c>
      <c r="N782" s="255">
        <v>270000</v>
      </c>
      <c r="O782" s="265">
        <v>55</v>
      </c>
      <c r="P782" s="270">
        <v>1</v>
      </c>
      <c r="Q782" s="255">
        <v>148500</v>
      </c>
      <c r="R782" s="283">
        <v>148500</v>
      </c>
      <c r="S782" s="283">
        <v>42862</v>
      </c>
      <c r="T782" s="287">
        <v>1</v>
      </c>
      <c r="U782" s="287">
        <v>0</v>
      </c>
      <c r="V782" s="287">
        <v>0</v>
      </c>
      <c r="W782" s="283">
        <v>0</v>
      </c>
      <c r="X782" s="283">
        <v>0</v>
      </c>
      <c r="Y782" s="199" t="s">
        <v>1395</v>
      </c>
      <c r="Z782" s="517" t="s">
        <v>5542</v>
      </c>
      <c r="AA782" s="493" t="s">
        <v>1485</v>
      </c>
      <c r="AB782" s="507"/>
    </row>
    <row r="783" spans="2:28" x14ac:dyDescent="0.15">
      <c r="B783" s="333" t="s">
        <v>4039</v>
      </c>
      <c r="C783" s="528">
        <v>43238</v>
      </c>
      <c r="D783" s="198" t="s">
        <v>4040</v>
      </c>
      <c r="E783" s="53" t="s">
        <v>1391</v>
      </c>
      <c r="F783" s="198" t="s">
        <v>3783</v>
      </c>
      <c r="G783" s="3" t="s">
        <v>362</v>
      </c>
      <c r="H783" s="53" t="s">
        <v>778</v>
      </c>
      <c r="I783" s="3" t="s">
        <v>1441</v>
      </c>
      <c r="J783" s="4" t="s">
        <v>268</v>
      </c>
      <c r="K783" s="4" t="s">
        <v>1158</v>
      </c>
      <c r="L783" s="4" t="s">
        <v>4041</v>
      </c>
      <c r="M783" s="43" t="s">
        <v>4042</v>
      </c>
      <c r="N783" s="255">
        <v>233000</v>
      </c>
      <c r="O783" s="265">
        <v>100</v>
      </c>
      <c r="P783" s="270">
        <v>1</v>
      </c>
      <c r="Q783" s="255">
        <v>233000</v>
      </c>
      <c r="R783" s="283">
        <v>233000</v>
      </c>
      <c r="S783" s="283">
        <v>128799</v>
      </c>
      <c r="T783" s="287">
        <v>1</v>
      </c>
      <c r="U783" s="287">
        <v>0</v>
      </c>
      <c r="V783" s="287">
        <v>0</v>
      </c>
      <c r="W783" s="283">
        <v>0</v>
      </c>
      <c r="X783" s="283">
        <v>0</v>
      </c>
      <c r="Y783" s="199" t="s">
        <v>1395</v>
      </c>
      <c r="Z783" s="517" t="s">
        <v>5542</v>
      </c>
      <c r="AA783" s="493" t="s">
        <v>1485</v>
      </c>
      <c r="AB783" s="507"/>
    </row>
    <row r="784" spans="2:28" x14ac:dyDescent="0.15">
      <c r="B784" s="333" t="s">
        <v>4067</v>
      </c>
      <c r="C784" s="528">
        <v>43240</v>
      </c>
      <c r="D784" s="198" t="s">
        <v>4068</v>
      </c>
      <c r="E784" s="53" t="s">
        <v>1391</v>
      </c>
      <c r="F784" s="198" t="s">
        <v>3786</v>
      </c>
      <c r="G784" s="3" t="s">
        <v>364</v>
      </c>
      <c r="H784" s="53" t="s">
        <v>492</v>
      </c>
      <c r="I784" s="3" t="s">
        <v>1431</v>
      </c>
      <c r="J784" s="4" t="s">
        <v>297</v>
      </c>
      <c r="K784" s="4" t="s">
        <v>369</v>
      </c>
      <c r="L784" s="4" t="s">
        <v>4069</v>
      </c>
      <c r="M784" s="43"/>
      <c r="N784" s="255">
        <v>100</v>
      </c>
      <c r="O784" s="265">
        <v>50</v>
      </c>
      <c r="P784" s="270">
        <v>100</v>
      </c>
      <c r="Q784" s="255">
        <v>50</v>
      </c>
      <c r="R784" s="283">
        <v>5000</v>
      </c>
      <c r="S784" s="283">
        <v>2050</v>
      </c>
      <c r="T784" s="287">
        <v>0</v>
      </c>
      <c r="U784" s="287">
        <v>0</v>
      </c>
      <c r="V784" s="287">
        <v>0</v>
      </c>
      <c r="W784" s="283">
        <v>750</v>
      </c>
      <c r="X784" s="283">
        <v>0</v>
      </c>
      <c r="Y784" s="199" t="s">
        <v>4108</v>
      </c>
      <c r="Z784" s="517" t="s">
        <v>5167</v>
      </c>
      <c r="AA784" s="493" t="s">
        <v>1485</v>
      </c>
      <c r="AB784" s="507"/>
    </row>
    <row r="785" spans="2:30" x14ac:dyDescent="0.15">
      <c r="B785" s="333" t="s">
        <v>4053</v>
      </c>
      <c r="C785" s="528">
        <v>43241</v>
      </c>
      <c r="D785" s="198" t="s">
        <v>4054</v>
      </c>
      <c r="E785" s="53" t="s">
        <v>1396</v>
      </c>
      <c r="F785" s="198" t="s">
        <v>21</v>
      </c>
      <c r="G785" s="3" t="s">
        <v>50</v>
      </c>
      <c r="H785" s="53" t="s">
        <v>1434</v>
      </c>
      <c r="I785" s="3" t="s">
        <v>1435</v>
      </c>
      <c r="J785" s="3" t="s">
        <v>270</v>
      </c>
      <c r="K785" s="3" t="s">
        <v>539</v>
      </c>
      <c r="L785" s="3" t="s">
        <v>1639</v>
      </c>
      <c r="M785" s="53" t="s">
        <v>4052</v>
      </c>
      <c r="N785" s="258">
        <v>318000</v>
      </c>
      <c r="O785" s="266">
        <v>50</v>
      </c>
      <c r="P785" s="272">
        <v>1</v>
      </c>
      <c r="Q785" s="258">
        <v>159000</v>
      </c>
      <c r="R785" s="286">
        <v>159000</v>
      </c>
      <c r="S785" s="286">
        <v>73038</v>
      </c>
      <c r="T785" s="288">
        <v>0</v>
      </c>
      <c r="U785" s="288">
        <v>1</v>
      </c>
      <c r="V785" s="288">
        <v>0</v>
      </c>
      <c r="W785" s="286">
        <v>9540</v>
      </c>
      <c r="X785" s="286">
        <v>0</v>
      </c>
      <c r="Y785" s="200" t="s">
        <v>1392</v>
      </c>
      <c r="Z785" s="517" t="s">
        <v>5167</v>
      </c>
      <c r="AA785" s="499" t="s">
        <v>1485</v>
      </c>
      <c r="AB785" s="508"/>
    </row>
    <row r="786" spans="2:30" x14ac:dyDescent="0.15">
      <c r="B786" s="333" t="s">
        <v>4053</v>
      </c>
      <c r="C786" s="528">
        <v>43241</v>
      </c>
      <c r="D786" s="198" t="s">
        <v>4054</v>
      </c>
      <c r="E786" s="53" t="s">
        <v>1396</v>
      </c>
      <c r="F786" s="198" t="s">
        <v>21</v>
      </c>
      <c r="G786" s="3" t="s">
        <v>50</v>
      </c>
      <c r="H786" s="53" t="s">
        <v>1434</v>
      </c>
      <c r="I786" s="3" t="s">
        <v>1435</v>
      </c>
      <c r="J786" s="3" t="s">
        <v>310</v>
      </c>
      <c r="K786" s="3" t="s">
        <v>1539</v>
      </c>
      <c r="L786" s="3" t="s">
        <v>2548</v>
      </c>
      <c r="M786" s="53" t="s">
        <v>4055</v>
      </c>
      <c r="N786" s="258">
        <v>430000</v>
      </c>
      <c r="O786" s="266">
        <v>55</v>
      </c>
      <c r="P786" s="272">
        <v>1</v>
      </c>
      <c r="Q786" s="258">
        <v>236500</v>
      </c>
      <c r="R786" s="286">
        <v>236500</v>
      </c>
      <c r="S786" s="286">
        <v>68370</v>
      </c>
      <c r="T786" s="288">
        <v>0</v>
      </c>
      <c r="U786" s="288">
        <v>1</v>
      </c>
      <c r="V786" s="288">
        <v>0</v>
      </c>
      <c r="W786" s="286">
        <v>19350</v>
      </c>
      <c r="X786" s="286">
        <v>0</v>
      </c>
      <c r="Y786" s="200" t="s">
        <v>1392</v>
      </c>
      <c r="Z786" s="517" t="s">
        <v>5167</v>
      </c>
      <c r="AA786" s="499" t="s">
        <v>1485</v>
      </c>
      <c r="AB786" s="508"/>
    </row>
    <row r="787" spans="2:30" x14ac:dyDescent="0.15">
      <c r="B787" s="333" t="s">
        <v>4059</v>
      </c>
      <c r="C787" s="528">
        <v>43241</v>
      </c>
      <c r="D787" s="198" t="s">
        <v>4058</v>
      </c>
      <c r="E787" s="53" t="s">
        <v>1396</v>
      </c>
      <c r="F787" s="198" t="s">
        <v>21</v>
      </c>
      <c r="G787" s="3" t="s">
        <v>50</v>
      </c>
      <c r="H787" s="53" t="s">
        <v>1434</v>
      </c>
      <c r="I787" s="3" t="s">
        <v>1435</v>
      </c>
      <c r="J787" s="3" t="s">
        <v>268</v>
      </c>
      <c r="K787" s="3" t="s">
        <v>1158</v>
      </c>
      <c r="L787" s="3" t="s">
        <v>4056</v>
      </c>
      <c r="M787" s="53" t="s">
        <v>4057</v>
      </c>
      <c r="N787" s="258">
        <v>216000</v>
      </c>
      <c r="O787" s="266">
        <v>100</v>
      </c>
      <c r="P787" s="272">
        <v>1</v>
      </c>
      <c r="Q787" s="258">
        <v>216000</v>
      </c>
      <c r="R787" s="286">
        <v>216000</v>
      </c>
      <c r="S787" s="286">
        <v>96549</v>
      </c>
      <c r="T787" s="288">
        <v>0</v>
      </c>
      <c r="U787" s="288">
        <v>1</v>
      </c>
      <c r="V787" s="288">
        <v>0</v>
      </c>
      <c r="W787" s="286">
        <v>24999</v>
      </c>
      <c r="X787" s="286">
        <v>0</v>
      </c>
      <c r="Y787" s="200" t="s">
        <v>1392</v>
      </c>
      <c r="Z787" s="517" t="s">
        <v>5167</v>
      </c>
      <c r="AA787" s="499" t="s">
        <v>1485</v>
      </c>
      <c r="AB787" s="508"/>
    </row>
    <row r="788" spans="2:30" x14ac:dyDescent="0.15">
      <c r="B788" s="333" t="s">
        <v>4060</v>
      </c>
      <c r="C788" s="528">
        <v>43241</v>
      </c>
      <c r="D788" s="198" t="s">
        <v>4061</v>
      </c>
      <c r="E788" s="53" t="s">
        <v>1396</v>
      </c>
      <c r="F788" s="198" t="s">
        <v>21</v>
      </c>
      <c r="G788" s="3" t="s">
        <v>50</v>
      </c>
      <c r="H788" s="53" t="s">
        <v>1434</v>
      </c>
      <c r="I788" s="3" t="s">
        <v>1435</v>
      </c>
      <c r="J788" s="3" t="s">
        <v>310</v>
      </c>
      <c r="K788" s="3" t="s">
        <v>1539</v>
      </c>
      <c r="L788" s="3" t="s">
        <v>4062</v>
      </c>
      <c r="M788" s="53" t="s">
        <v>4063</v>
      </c>
      <c r="N788" s="258">
        <v>430000</v>
      </c>
      <c r="O788" s="266">
        <v>60</v>
      </c>
      <c r="P788" s="272">
        <v>-1</v>
      </c>
      <c r="Q788" s="258">
        <v>258000</v>
      </c>
      <c r="R788" s="286">
        <v>-258000</v>
      </c>
      <c r="S788" s="286">
        <v>-76220</v>
      </c>
      <c r="T788" s="288">
        <v>0</v>
      </c>
      <c r="U788" s="288">
        <v>-1</v>
      </c>
      <c r="V788" s="288">
        <v>0</v>
      </c>
      <c r="W788" s="286">
        <v>-25800</v>
      </c>
      <c r="X788" s="286">
        <v>0</v>
      </c>
      <c r="Y788" s="200" t="s">
        <v>1392</v>
      </c>
      <c r="Z788" s="517" t="s">
        <v>5549</v>
      </c>
      <c r="AA788" s="499" t="s">
        <v>1485</v>
      </c>
      <c r="AB788" s="508"/>
    </row>
    <row r="789" spans="2:30" x14ac:dyDescent="0.15">
      <c r="B789" s="333" t="s">
        <v>4251</v>
      </c>
      <c r="C789" s="528">
        <v>43241</v>
      </c>
      <c r="D789" s="198" t="s">
        <v>4054</v>
      </c>
      <c r="E789" s="53" t="s">
        <v>1396</v>
      </c>
      <c r="F789" s="198" t="s">
        <v>21</v>
      </c>
      <c r="G789" s="3" t="s">
        <v>50</v>
      </c>
      <c r="H789" s="53" t="s">
        <v>1434</v>
      </c>
      <c r="I789" s="3" t="s">
        <v>1435</v>
      </c>
      <c r="J789" s="3" t="s">
        <v>271</v>
      </c>
      <c r="K789" s="3" t="s">
        <v>1160</v>
      </c>
      <c r="L789" s="3" t="s">
        <v>4050</v>
      </c>
      <c r="M789" s="53" t="s">
        <v>4051</v>
      </c>
      <c r="N789" s="258">
        <v>358000</v>
      </c>
      <c r="O789" s="266">
        <v>55</v>
      </c>
      <c r="P789" s="272">
        <v>1</v>
      </c>
      <c r="Q789" s="258">
        <v>196900</v>
      </c>
      <c r="R789" s="286">
        <v>196900</v>
      </c>
      <c r="S789" s="286">
        <v>52276</v>
      </c>
      <c r="T789" s="288">
        <v>0</v>
      </c>
      <c r="U789" s="288">
        <v>1</v>
      </c>
      <c r="V789" s="288">
        <v>0</v>
      </c>
      <c r="W789" s="286">
        <v>16110</v>
      </c>
      <c r="X789" s="286">
        <v>0</v>
      </c>
      <c r="Y789" s="200" t="s">
        <v>1392</v>
      </c>
      <c r="Z789" s="517" t="s">
        <v>5535</v>
      </c>
      <c r="AA789" s="499"/>
      <c r="AB789" s="508"/>
    </row>
    <row r="790" spans="2:30" x14ac:dyDescent="0.15">
      <c r="B790" s="333" t="s">
        <v>4048</v>
      </c>
      <c r="C790" s="528">
        <v>43245</v>
      </c>
      <c r="D790" s="198" t="s">
        <v>4049</v>
      </c>
      <c r="E790" s="53" t="s">
        <v>1396</v>
      </c>
      <c r="F790" s="198" t="s">
        <v>3789</v>
      </c>
      <c r="G790" s="3" t="s">
        <v>368</v>
      </c>
      <c r="H790" s="53" t="s">
        <v>792</v>
      </c>
      <c r="I790" s="3" t="s">
        <v>1413</v>
      </c>
      <c r="J790" s="3" t="s">
        <v>295</v>
      </c>
      <c r="K790" s="3" t="s">
        <v>1166</v>
      </c>
      <c r="L790" s="3" t="s">
        <v>1483</v>
      </c>
      <c r="M790" s="53"/>
      <c r="N790" s="258">
        <v>33000</v>
      </c>
      <c r="O790" s="266">
        <v>65</v>
      </c>
      <c r="P790" s="272">
        <v>1</v>
      </c>
      <c r="Q790" s="258">
        <v>21450</v>
      </c>
      <c r="R790" s="286">
        <v>21450</v>
      </c>
      <c r="S790" s="286">
        <v>5725</v>
      </c>
      <c r="T790" s="288">
        <v>0</v>
      </c>
      <c r="U790" s="288">
        <v>0</v>
      </c>
      <c r="V790" s="288">
        <v>0</v>
      </c>
      <c r="W790" s="286">
        <v>2475</v>
      </c>
      <c r="X790" s="286">
        <v>0</v>
      </c>
      <c r="Y790" s="200" t="s">
        <v>1392</v>
      </c>
      <c r="Z790" s="517" t="s">
        <v>5166</v>
      </c>
      <c r="AA790" s="499" t="s">
        <v>1485</v>
      </c>
      <c r="AB790" s="508"/>
    </row>
    <row r="791" spans="2:30" x14ac:dyDescent="0.15">
      <c r="B791" s="333" t="s">
        <v>4060</v>
      </c>
      <c r="C791" s="528">
        <v>43245</v>
      </c>
      <c r="D791" s="198" t="s">
        <v>4061</v>
      </c>
      <c r="E791" s="53" t="s">
        <v>1396</v>
      </c>
      <c r="F791" s="198" t="s">
        <v>21</v>
      </c>
      <c r="G791" s="3" t="s">
        <v>50</v>
      </c>
      <c r="H791" s="53" t="s">
        <v>381</v>
      </c>
      <c r="I791" s="3" t="s">
        <v>1408</v>
      </c>
      <c r="J791" s="3" t="s">
        <v>272</v>
      </c>
      <c r="K791" s="3" t="s">
        <v>363</v>
      </c>
      <c r="L791" s="3" t="s">
        <v>1916</v>
      </c>
      <c r="M791" s="53" t="s">
        <v>3535</v>
      </c>
      <c r="N791" s="258">
        <v>238000</v>
      </c>
      <c r="O791" s="266">
        <v>100</v>
      </c>
      <c r="P791" s="272">
        <v>1</v>
      </c>
      <c r="Q791" s="258">
        <v>238000</v>
      </c>
      <c r="R791" s="286">
        <v>238000</v>
      </c>
      <c r="S791" s="286">
        <v>58208</v>
      </c>
      <c r="T791" s="288">
        <v>0</v>
      </c>
      <c r="U791" s="288">
        <v>1</v>
      </c>
      <c r="V791" s="288">
        <v>0</v>
      </c>
      <c r="W791" s="286">
        <v>27461</v>
      </c>
      <c r="X791" s="286">
        <v>0</v>
      </c>
      <c r="Y791" s="200" t="s">
        <v>1392</v>
      </c>
      <c r="Z791" s="517" t="s">
        <v>5166</v>
      </c>
      <c r="AA791" s="499" t="s">
        <v>1485</v>
      </c>
      <c r="AB791" s="508"/>
    </row>
    <row r="792" spans="2:30" x14ac:dyDescent="0.15">
      <c r="B792" s="333" t="s">
        <v>4064</v>
      </c>
      <c r="C792" s="528">
        <v>43245</v>
      </c>
      <c r="D792" s="198" t="s">
        <v>4065</v>
      </c>
      <c r="E792" s="53" t="s">
        <v>1396</v>
      </c>
      <c r="F792" s="198" t="s">
        <v>3784</v>
      </c>
      <c r="G792" s="3" t="s">
        <v>1110</v>
      </c>
      <c r="H792" s="53" t="s">
        <v>802</v>
      </c>
      <c r="I792" s="3" t="s">
        <v>1417</v>
      </c>
      <c r="J792" s="3" t="s">
        <v>299</v>
      </c>
      <c r="K792" s="3" t="s">
        <v>373</v>
      </c>
      <c r="L792" s="3" t="s">
        <v>4066</v>
      </c>
      <c r="M792" s="53"/>
      <c r="N792" s="258">
        <v>100000</v>
      </c>
      <c r="O792" s="266">
        <v>100</v>
      </c>
      <c r="P792" s="272">
        <v>1</v>
      </c>
      <c r="Q792" s="258">
        <v>100000</v>
      </c>
      <c r="R792" s="286">
        <v>100000</v>
      </c>
      <c r="S792" s="286">
        <v>42962</v>
      </c>
      <c r="T792" s="288">
        <v>0</v>
      </c>
      <c r="U792" s="288">
        <v>0</v>
      </c>
      <c r="V792" s="288">
        <v>0</v>
      </c>
      <c r="W792" s="286">
        <v>11538</v>
      </c>
      <c r="X792" s="286">
        <v>0</v>
      </c>
      <c r="Y792" s="200" t="s">
        <v>1392</v>
      </c>
      <c r="Z792" s="517" t="s">
        <v>5167</v>
      </c>
      <c r="AA792" s="499" t="s">
        <v>1485</v>
      </c>
      <c r="AB792" s="508"/>
    </row>
    <row r="793" spans="2:30" x14ac:dyDescent="0.15">
      <c r="B793" s="333" t="s">
        <v>4070</v>
      </c>
      <c r="C793" s="528">
        <v>43245</v>
      </c>
      <c r="D793" s="198" t="s">
        <v>4071</v>
      </c>
      <c r="E793" s="53" t="s">
        <v>1391</v>
      </c>
      <c r="F793" s="198" t="s">
        <v>2834</v>
      </c>
      <c r="G793" s="3" t="s">
        <v>3559</v>
      </c>
      <c r="H793" s="53"/>
      <c r="I793" s="3"/>
      <c r="J793" s="3" t="s">
        <v>297</v>
      </c>
      <c r="K793" s="3" t="s">
        <v>369</v>
      </c>
      <c r="L793" s="3" t="s">
        <v>4072</v>
      </c>
      <c r="M793" s="53"/>
      <c r="N793" s="258">
        <v>100</v>
      </c>
      <c r="O793" s="266">
        <v>50</v>
      </c>
      <c r="P793" s="272">
        <v>10</v>
      </c>
      <c r="Q793" s="258">
        <v>50</v>
      </c>
      <c r="R793" s="286">
        <v>500</v>
      </c>
      <c r="S793" s="286">
        <v>280</v>
      </c>
      <c r="T793" s="288">
        <v>0</v>
      </c>
      <c r="U793" s="288">
        <v>0</v>
      </c>
      <c r="V793" s="288">
        <v>0</v>
      </c>
      <c r="W793" s="286">
        <v>0</v>
      </c>
      <c r="X793" s="286">
        <v>0</v>
      </c>
      <c r="Y793" s="200" t="s">
        <v>1395</v>
      </c>
      <c r="Z793" s="517" t="s">
        <v>5170</v>
      </c>
      <c r="AA793" s="499" t="s">
        <v>1485</v>
      </c>
      <c r="AB793" s="508"/>
    </row>
    <row r="794" spans="2:30" x14ac:dyDescent="0.15">
      <c r="B794" s="333" t="s">
        <v>4070</v>
      </c>
      <c r="C794" s="528">
        <v>43245</v>
      </c>
      <c r="D794" s="198" t="s">
        <v>4071</v>
      </c>
      <c r="E794" s="53" t="s">
        <v>1391</v>
      </c>
      <c r="F794" s="198" t="s">
        <v>2834</v>
      </c>
      <c r="G794" s="3" t="s">
        <v>3559</v>
      </c>
      <c r="H794" s="53"/>
      <c r="I794" s="3"/>
      <c r="J794" s="3" t="s">
        <v>297</v>
      </c>
      <c r="K794" s="3" t="s">
        <v>369</v>
      </c>
      <c r="L794" s="3" t="s">
        <v>4072</v>
      </c>
      <c r="M794" s="53"/>
      <c r="N794" s="258">
        <v>100</v>
      </c>
      <c r="O794" s="266">
        <v>50</v>
      </c>
      <c r="P794" s="272">
        <v>90</v>
      </c>
      <c r="Q794" s="258">
        <v>50</v>
      </c>
      <c r="R794" s="286">
        <v>4500</v>
      </c>
      <c r="S794" s="286">
        <v>2520</v>
      </c>
      <c r="T794" s="288">
        <v>0</v>
      </c>
      <c r="U794" s="288">
        <v>0</v>
      </c>
      <c r="V794" s="288">
        <v>0</v>
      </c>
      <c r="W794" s="286">
        <v>0</v>
      </c>
      <c r="X794" s="286">
        <v>0</v>
      </c>
      <c r="Y794" s="200" t="s">
        <v>1395</v>
      </c>
      <c r="Z794" s="517" t="s">
        <v>5548</v>
      </c>
      <c r="AA794" s="499" t="s">
        <v>1485</v>
      </c>
      <c r="AB794" s="508"/>
    </row>
    <row r="795" spans="2:30" x14ac:dyDescent="0.15">
      <c r="B795" s="333" t="s">
        <v>4070</v>
      </c>
      <c r="C795" s="528">
        <v>43245</v>
      </c>
      <c r="D795" s="198" t="s">
        <v>4071</v>
      </c>
      <c r="E795" s="53" t="s">
        <v>1391</v>
      </c>
      <c r="F795" s="198" t="s">
        <v>2834</v>
      </c>
      <c r="G795" s="3" t="s">
        <v>3559</v>
      </c>
      <c r="H795" s="53"/>
      <c r="I795" s="3"/>
      <c r="J795" s="3" t="s">
        <v>297</v>
      </c>
      <c r="K795" s="3" t="s">
        <v>369</v>
      </c>
      <c r="L795" s="3" t="s">
        <v>4073</v>
      </c>
      <c r="M795" s="53"/>
      <c r="N795" s="258">
        <v>100</v>
      </c>
      <c r="O795" s="266">
        <v>50</v>
      </c>
      <c r="P795" s="272">
        <v>100</v>
      </c>
      <c r="Q795" s="258">
        <v>50</v>
      </c>
      <c r="R795" s="286">
        <v>5000</v>
      </c>
      <c r="S795" s="286">
        <v>2800</v>
      </c>
      <c r="T795" s="288">
        <v>0</v>
      </c>
      <c r="U795" s="288">
        <v>0</v>
      </c>
      <c r="V795" s="288">
        <v>0</v>
      </c>
      <c r="W795" s="286">
        <v>0</v>
      </c>
      <c r="X795" s="286">
        <v>0</v>
      </c>
      <c r="Y795" s="200" t="s">
        <v>1395</v>
      </c>
      <c r="Z795" s="517" t="s">
        <v>5548</v>
      </c>
      <c r="AA795" s="499" t="s">
        <v>1485</v>
      </c>
      <c r="AB795" s="508"/>
    </row>
    <row r="796" spans="2:30" x14ac:dyDescent="0.15">
      <c r="B796" s="333" t="s">
        <v>4074</v>
      </c>
      <c r="C796" s="528">
        <v>43245</v>
      </c>
      <c r="D796" s="198" t="s">
        <v>4075</v>
      </c>
      <c r="E796" s="53" t="s">
        <v>1396</v>
      </c>
      <c r="F796" s="198" t="s">
        <v>21</v>
      </c>
      <c r="G796" s="3" t="s">
        <v>50</v>
      </c>
      <c r="H796" s="53" t="s">
        <v>381</v>
      </c>
      <c r="I796" s="3" t="s">
        <v>1408</v>
      </c>
      <c r="J796" s="3" t="s">
        <v>298</v>
      </c>
      <c r="K796" s="3" t="s">
        <v>1168</v>
      </c>
      <c r="L796" s="3" t="s">
        <v>1412</v>
      </c>
      <c r="M796" s="53"/>
      <c r="N796" s="258">
        <v>2400</v>
      </c>
      <c r="O796" s="266">
        <v>60</v>
      </c>
      <c r="P796" s="272">
        <v>4</v>
      </c>
      <c r="Q796" s="258">
        <v>1440</v>
      </c>
      <c r="R796" s="286">
        <v>5760</v>
      </c>
      <c r="S796" s="286">
        <v>1984</v>
      </c>
      <c r="T796" s="288">
        <v>0</v>
      </c>
      <c r="U796" s="288">
        <v>0</v>
      </c>
      <c r="V796" s="288">
        <v>0</v>
      </c>
      <c r="W796" s="286">
        <v>576</v>
      </c>
      <c r="X796" s="286">
        <v>0</v>
      </c>
      <c r="Y796" s="200" t="s">
        <v>1392</v>
      </c>
      <c r="Z796" s="517" t="s">
        <v>5166</v>
      </c>
      <c r="AA796" s="499" t="s">
        <v>1485</v>
      </c>
      <c r="AB796" s="508"/>
    </row>
    <row r="797" spans="2:30" x14ac:dyDescent="0.15">
      <c r="B797" s="333" t="s">
        <v>4088</v>
      </c>
      <c r="C797" s="528">
        <v>43248</v>
      </c>
      <c r="D797" s="198" t="s">
        <v>4089</v>
      </c>
      <c r="E797" s="53" t="s">
        <v>1391</v>
      </c>
      <c r="F797" s="198" t="s">
        <v>4083</v>
      </c>
      <c r="G797" s="3" t="s">
        <v>4090</v>
      </c>
      <c r="H797" s="53"/>
      <c r="I797" s="3"/>
      <c r="J797" s="3" t="s">
        <v>268</v>
      </c>
      <c r="K797" s="3" t="s">
        <v>1158</v>
      </c>
      <c r="L797" s="3" t="s">
        <v>4091</v>
      </c>
      <c r="M797" s="53" t="s">
        <v>4092</v>
      </c>
      <c r="N797" s="258">
        <v>270000</v>
      </c>
      <c r="O797" s="266">
        <v>60</v>
      </c>
      <c r="P797" s="272">
        <v>1</v>
      </c>
      <c r="Q797" s="258">
        <v>162000</v>
      </c>
      <c r="R797" s="286">
        <v>162000</v>
      </c>
      <c r="S797" s="286">
        <v>64629</v>
      </c>
      <c r="T797" s="288">
        <v>1</v>
      </c>
      <c r="U797" s="288">
        <v>0</v>
      </c>
      <c r="V797" s="288">
        <v>0</v>
      </c>
      <c r="W797" s="286">
        <v>0</v>
      </c>
      <c r="X797" s="286">
        <v>0</v>
      </c>
      <c r="Y797" s="200" t="s">
        <v>1395</v>
      </c>
      <c r="Z797" s="517" t="s">
        <v>5558</v>
      </c>
      <c r="AA797" s="499" t="s">
        <v>1485</v>
      </c>
      <c r="AB797" s="508"/>
      <c r="AD797" s="286"/>
    </row>
    <row r="798" spans="2:30" x14ac:dyDescent="0.15">
      <c r="B798" s="333" t="s">
        <v>4097</v>
      </c>
      <c r="C798" s="528">
        <v>43250</v>
      </c>
      <c r="D798" s="198" t="s">
        <v>4098</v>
      </c>
      <c r="E798" s="53" t="s">
        <v>1391</v>
      </c>
      <c r="F798" s="198" t="s">
        <v>3783</v>
      </c>
      <c r="G798" s="3" t="s">
        <v>362</v>
      </c>
      <c r="H798" s="53" t="s">
        <v>689</v>
      </c>
      <c r="I798" s="3" t="s">
        <v>1394</v>
      </c>
      <c r="J798" s="3" t="s">
        <v>262</v>
      </c>
      <c r="K798" s="3" t="s">
        <v>365</v>
      </c>
      <c r="L798" s="3" t="s">
        <v>1690</v>
      </c>
      <c r="M798" s="53" t="s">
        <v>4099</v>
      </c>
      <c r="N798" s="258">
        <v>260000</v>
      </c>
      <c r="O798" s="266">
        <v>55</v>
      </c>
      <c r="P798" s="272">
        <v>1</v>
      </c>
      <c r="Q798" s="258">
        <v>143000</v>
      </c>
      <c r="R798" s="286">
        <v>143000</v>
      </c>
      <c r="S798" s="286">
        <v>45542</v>
      </c>
      <c r="T798" s="288">
        <v>1</v>
      </c>
      <c r="U798" s="288">
        <v>0</v>
      </c>
      <c r="V798" s="288">
        <v>0</v>
      </c>
      <c r="W798" s="286">
        <v>0</v>
      </c>
      <c r="X798" s="286">
        <v>0</v>
      </c>
      <c r="Y798" s="200" t="s">
        <v>1395</v>
      </c>
      <c r="Z798" s="517" t="s">
        <v>5166</v>
      </c>
      <c r="AA798" s="499" t="s">
        <v>1485</v>
      </c>
      <c r="AB798" s="508"/>
    </row>
    <row r="799" spans="2:30" x14ac:dyDescent="0.15">
      <c r="B799" s="333" t="s">
        <v>4043</v>
      </c>
      <c r="C799" s="528">
        <v>43252</v>
      </c>
      <c r="D799" s="198" t="s">
        <v>4044</v>
      </c>
      <c r="E799" s="53" t="s">
        <v>1391</v>
      </c>
      <c r="F799" s="198" t="s">
        <v>4334</v>
      </c>
      <c r="G799" s="3" t="s">
        <v>4045</v>
      </c>
      <c r="H799" s="53"/>
      <c r="I799" s="3"/>
      <c r="J799" s="3" t="s">
        <v>3995</v>
      </c>
      <c r="K799" s="3" t="s">
        <v>1213</v>
      </c>
      <c r="L799" s="3" t="s">
        <v>4046</v>
      </c>
      <c r="M799" s="53" t="s">
        <v>4047</v>
      </c>
      <c r="N799" s="258">
        <v>250000</v>
      </c>
      <c r="O799" s="266">
        <v>100</v>
      </c>
      <c r="P799" s="272">
        <v>1</v>
      </c>
      <c r="Q799" s="258">
        <v>250000</v>
      </c>
      <c r="R799" s="286">
        <v>250000</v>
      </c>
      <c r="S799" s="286">
        <v>34208</v>
      </c>
      <c r="T799" s="288">
        <v>0</v>
      </c>
      <c r="U799" s="288">
        <v>1</v>
      </c>
      <c r="V799" s="288">
        <v>0</v>
      </c>
      <c r="W799" s="286">
        <v>19384</v>
      </c>
      <c r="X799" s="286">
        <v>0</v>
      </c>
      <c r="Y799" s="200" t="s">
        <v>1392</v>
      </c>
      <c r="Z799" s="517" t="s">
        <v>5167</v>
      </c>
      <c r="AA799" s="499"/>
      <c r="AB799" s="508"/>
    </row>
    <row r="800" spans="2:30" x14ac:dyDescent="0.15">
      <c r="B800" s="333" t="s">
        <v>4076</v>
      </c>
      <c r="C800" s="528">
        <v>43252</v>
      </c>
      <c r="D800" s="198" t="s">
        <v>4077</v>
      </c>
      <c r="E800" s="53" t="s">
        <v>1391</v>
      </c>
      <c r="F800" s="198" t="s">
        <v>3783</v>
      </c>
      <c r="G800" s="3" t="s">
        <v>362</v>
      </c>
      <c r="H800" s="53" t="s">
        <v>689</v>
      </c>
      <c r="I800" s="3" t="s">
        <v>1394</v>
      </c>
      <c r="J800" s="3" t="s">
        <v>268</v>
      </c>
      <c r="K800" s="3" t="s">
        <v>1158</v>
      </c>
      <c r="L800" s="3" t="s">
        <v>2210</v>
      </c>
      <c r="M800" s="53" t="s">
        <v>4078</v>
      </c>
      <c r="N800" s="258">
        <v>270000</v>
      </c>
      <c r="O800" s="266">
        <v>50</v>
      </c>
      <c r="P800" s="272">
        <v>1</v>
      </c>
      <c r="Q800" s="258">
        <v>135000</v>
      </c>
      <c r="R800" s="286">
        <v>135000</v>
      </c>
      <c r="S800" s="286">
        <v>41049</v>
      </c>
      <c r="T800" s="288">
        <v>1</v>
      </c>
      <c r="U800" s="288">
        <v>0</v>
      </c>
      <c r="V800" s="288">
        <v>0</v>
      </c>
      <c r="W800" s="286">
        <v>0</v>
      </c>
      <c r="X800" s="286">
        <v>0</v>
      </c>
      <c r="Y800" s="200" t="s">
        <v>1395</v>
      </c>
      <c r="Z800" s="517" t="s">
        <v>5166</v>
      </c>
      <c r="AA800" s="499" t="s">
        <v>1485</v>
      </c>
      <c r="AB800" s="508"/>
    </row>
    <row r="801" spans="2:28" x14ac:dyDescent="0.15">
      <c r="B801" s="333" t="s">
        <v>4079</v>
      </c>
      <c r="C801" s="528">
        <v>43252</v>
      </c>
      <c r="D801" s="198" t="s">
        <v>4080</v>
      </c>
      <c r="E801" s="53" t="s">
        <v>1391</v>
      </c>
      <c r="F801" s="198" t="s">
        <v>3783</v>
      </c>
      <c r="G801" s="3" t="s">
        <v>362</v>
      </c>
      <c r="H801" s="53" t="s">
        <v>692</v>
      </c>
      <c r="I801" s="3" t="s">
        <v>1397</v>
      </c>
      <c r="J801" s="3" t="s">
        <v>262</v>
      </c>
      <c r="K801" s="3" t="s">
        <v>365</v>
      </c>
      <c r="L801" s="3" t="s">
        <v>4081</v>
      </c>
      <c r="M801" s="53" t="s">
        <v>4082</v>
      </c>
      <c r="N801" s="258">
        <v>260000</v>
      </c>
      <c r="O801" s="266">
        <v>50</v>
      </c>
      <c r="P801" s="272">
        <v>1</v>
      </c>
      <c r="Q801" s="258">
        <v>130000</v>
      </c>
      <c r="R801" s="286">
        <v>130000</v>
      </c>
      <c r="S801" s="286">
        <v>33042</v>
      </c>
      <c r="T801" s="288">
        <v>1</v>
      </c>
      <c r="U801" s="288">
        <v>0</v>
      </c>
      <c r="V801" s="288">
        <v>0</v>
      </c>
      <c r="W801" s="286">
        <v>0</v>
      </c>
      <c r="X801" s="286">
        <v>0</v>
      </c>
      <c r="Y801" s="200" t="s">
        <v>1395</v>
      </c>
      <c r="Z801" s="517" t="s">
        <v>5166</v>
      </c>
      <c r="AA801" s="499" t="s">
        <v>1485</v>
      </c>
      <c r="AB801" s="508"/>
    </row>
    <row r="802" spans="2:28" x14ac:dyDescent="0.15">
      <c r="B802" s="333" t="s">
        <v>4100</v>
      </c>
      <c r="C802" s="528">
        <v>43252</v>
      </c>
      <c r="D802" s="198" t="s">
        <v>4101</v>
      </c>
      <c r="E802" s="53" t="s">
        <v>1391</v>
      </c>
      <c r="F802" s="198" t="s">
        <v>3786</v>
      </c>
      <c r="G802" s="3" t="s">
        <v>364</v>
      </c>
      <c r="H802" s="53" t="s">
        <v>2385</v>
      </c>
      <c r="I802" s="3" t="s">
        <v>2752</v>
      </c>
      <c r="J802" s="3" t="s">
        <v>1402</v>
      </c>
      <c r="K802" s="3" t="s">
        <v>1403</v>
      </c>
      <c r="L802" s="3" t="s">
        <v>4102</v>
      </c>
      <c r="M802" s="53" t="s">
        <v>4103</v>
      </c>
      <c r="N802" s="258">
        <v>305000</v>
      </c>
      <c r="O802" s="266">
        <v>65</v>
      </c>
      <c r="P802" s="272">
        <v>1</v>
      </c>
      <c r="Q802" s="258">
        <v>198250</v>
      </c>
      <c r="R802" s="286">
        <v>198250</v>
      </c>
      <c r="S802" s="286">
        <v>47667</v>
      </c>
      <c r="T802" s="288">
        <v>0</v>
      </c>
      <c r="U802" s="288">
        <v>1</v>
      </c>
      <c r="V802" s="288">
        <v>0</v>
      </c>
      <c r="W802" s="286">
        <v>22875</v>
      </c>
      <c r="X802" s="286">
        <v>0</v>
      </c>
      <c r="Y802" s="200" t="s">
        <v>1392</v>
      </c>
      <c r="Z802" s="517" t="s">
        <v>5166</v>
      </c>
      <c r="AA802" s="499" t="s">
        <v>1485</v>
      </c>
      <c r="AB802" s="508"/>
    </row>
    <row r="803" spans="2:28" x14ac:dyDescent="0.15">
      <c r="B803" s="333" t="s">
        <v>4104</v>
      </c>
      <c r="C803" s="528">
        <v>43252</v>
      </c>
      <c r="D803" s="198" t="s">
        <v>4105</v>
      </c>
      <c r="E803" s="53" t="s">
        <v>1396</v>
      </c>
      <c r="F803" s="198" t="s">
        <v>3789</v>
      </c>
      <c r="G803" s="3" t="s">
        <v>368</v>
      </c>
      <c r="H803" s="53" t="s">
        <v>792</v>
      </c>
      <c r="I803" s="3" t="s">
        <v>1413</v>
      </c>
      <c r="J803" s="3" t="s">
        <v>1402</v>
      </c>
      <c r="K803" s="3" t="s">
        <v>1403</v>
      </c>
      <c r="L803" s="3" t="s">
        <v>4106</v>
      </c>
      <c r="M803" s="53" t="s">
        <v>4107</v>
      </c>
      <c r="N803" s="258">
        <v>300000</v>
      </c>
      <c r="O803" s="266">
        <v>60</v>
      </c>
      <c r="P803" s="272">
        <v>1</v>
      </c>
      <c r="Q803" s="258">
        <v>180000</v>
      </c>
      <c r="R803" s="286">
        <v>180000</v>
      </c>
      <c r="S803" s="286">
        <v>37942</v>
      </c>
      <c r="T803" s="288">
        <v>0</v>
      </c>
      <c r="U803" s="288">
        <v>1</v>
      </c>
      <c r="V803" s="288">
        <v>0</v>
      </c>
      <c r="W803" s="286">
        <v>18000</v>
      </c>
      <c r="X803" s="286">
        <v>0</v>
      </c>
      <c r="Y803" s="200" t="s">
        <v>1392</v>
      </c>
      <c r="Z803" s="517" t="s">
        <v>5166</v>
      </c>
      <c r="AA803" s="499" t="s">
        <v>1485</v>
      </c>
      <c r="AB803" s="508"/>
    </row>
    <row r="804" spans="2:28" x14ac:dyDescent="0.15">
      <c r="B804" s="333" t="s">
        <v>4109</v>
      </c>
      <c r="C804" s="528">
        <v>43252</v>
      </c>
      <c r="D804" s="198" t="s">
        <v>4110</v>
      </c>
      <c r="E804" s="53" t="s">
        <v>1391</v>
      </c>
      <c r="F804" s="198" t="s">
        <v>2834</v>
      </c>
      <c r="G804" s="3" t="s">
        <v>3559</v>
      </c>
      <c r="H804" s="53"/>
      <c r="I804" s="3"/>
      <c r="J804" s="3" t="s">
        <v>296</v>
      </c>
      <c r="K804" s="3" t="s">
        <v>1167</v>
      </c>
      <c r="L804" s="3" t="s">
        <v>1468</v>
      </c>
      <c r="M804" s="53"/>
      <c r="N804" s="258">
        <v>3500</v>
      </c>
      <c r="O804" s="266">
        <v>60</v>
      </c>
      <c r="P804" s="272">
        <v>5</v>
      </c>
      <c r="Q804" s="258">
        <v>2100</v>
      </c>
      <c r="R804" s="286">
        <v>10500</v>
      </c>
      <c r="S804" s="286">
        <v>4500</v>
      </c>
      <c r="T804" s="288">
        <v>0</v>
      </c>
      <c r="U804" s="288">
        <v>0</v>
      </c>
      <c r="V804" s="288">
        <v>0</v>
      </c>
      <c r="W804" s="286">
        <v>0</v>
      </c>
      <c r="X804" s="286">
        <v>0</v>
      </c>
      <c r="Y804" s="200" t="s">
        <v>1395</v>
      </c>
      <c r="Z804" s="517" t="s">
        <v>5170</v>
      </c>
      <c r="AA804" s="499" t="s">
        <v>1485</v>
      </c>
      <c r="AB804" s="508"/>
    </row>
    <row r="805" spans="2:28" x14ac:dyDescent="0.15">
      <c r="B805" s="333" t="s">
        <v>4109</v>
      </c>
      <c r="C805" s="528">
        <v>43252</v>
      </c>
      <c r="D805" s="198" t="s">
        <v>4110</v>
      </c>
      <c r="E805" s="53" t="s">
        <v>1391</v>
      </c>
      <c r="F805" s="198" t="s">
        <v>2834</v>
      </c>
      <c r="G805" s="3" t="s">
        <v>3559</v>
      </c>
      <c r="H805" s="53"/>
      <c r="I805" s="3"/>
      <c r="J805" s="3" t="s">
        <v>296</v>
      </c>
      <c r="K805" s="3" t="s">
        <v>1167</v>
      </c>
      <c r="L805" s="3" t="s">
        <v>1468</v>
      </c>
      <c r="M805" s="53"/>
      <c r="N805" s="258">
        <v>3500</v>
      </c>
      <c r="O805" s="266">
        <v>60</v>
      </c>
      <c r="P805" s="272">
        <v>1</v>
      </c>
      <c r="Q805" s="258">
        <v>2100</v>
      </c>
      <c r="R805" s="286">
        <v>2100</v>
      </c>
      <c r="S805" s="286">
        <v>900</v>
      </c>
      <c r="T805" s="288">
        <v>0</v>
      </c>
      <c r="U805" s="288">
        <v>0</v>
      </c>
      <c r="V805" s="288">
        <v>0</v>
      </c>
      <c r="W805" s="286">
        <v>0</v>
      </c>
      <c r="X805" s="286">
        <v>0</v>
      </c>
      <c r="Y805" s="200" t="s">
        <v>1395</v>
      </c>
      <c r="Z805" s="517" t="s">
        <v>5170</v>
      </c>
      <c r="AA805" s="499" t="s">
        <v>1485</v>
      </c>
      <c r="AB805" s="508"/>
    </row>
    <row r="806" spans="2:28" x14ac:dyDescent="0.15">
      <c r="B806" s="333" t="s">
        <v>4111</v>
      </c>
      <c r="C806" s="528">
        <v>43252</v>
      </c>
      <c r="D806" s="198" t="s">
        <v>4112</v>
      </c>
      <c r="E806" s="53" t="s">
        <v>1396</v>
      </c>
      <c r="F806" s="198" t="s">
        <v>21</v>
      </c>
      <c r="G806" s="3" t="s">
        <v>50</v>
      </c>
      <c r="H806" s="53" t="s">
        <v>381</v>
      </c>
      <c r="I806" s="3" t="s">
        <v>1408</v>
      </c>
      <c r="J806" s="3" t="s">
        <v>271</v>
      </c>
      <c r="K806" s="3" t="s">
        <v>1160</v>
      </c>
      <c r="L806" s="3" t="s">
        <v>1951</v>
      </c>
      <c r="M806" s="53" t="s">
        <v>4113</v>
      </c>
      <c r="N806" s="258">
        <v>213000</v>
      </c>
      <c r="O806" s="266">
        <v>100</v>
      </c>
      <c r="P806" s="272">
        <v>1</v>
      </c>
      <c r="Q806" s="258">
        <v>213000</v>
      </c>
      <c r="R806" s="286">
        <v>213000</v>
      </c>
      <c r="S806" s="286">
        <v>63595</v>
      </c>
      <c r="T806" s="288">
        <v>0</v>
      </c>
      <c r="U806" s="288">
        <v>1</v>
      </c>
      <c r="V806" s="288">
        <v>0</v>
      </c>
      <c r="W806" s="286">
        <v>24576</v>
      </c>
      <c r="X806" s="286">
        <v>0</v>
      </c>
      <c r="Y806" s="200" t="s">
        <v>1392</v>
      </c>
      <c r="Z806" s="517" t="s">
        <v>5532</v>
      </c>
      <c r="AA806" s="499" t="s">
        <v>1485</v>
      </c>
      <c r="AB806" s="508"/>
    </row>
    <row r="807" spans="2:28" x14ac:dyDescent="0.15">
      <c r="B807" s="333" t="s">
        <v>4116</v>
      </c>
      <c r="C807" s="528">
        <v>43252</v>
      </c>
      <c r="D807" s="198" t="s">
        <v>4117</v>
      </c>
      <c r="E807" s="53" t="s">
        <v>1396</v>
      </c>
      <c r="F807" s="198" t="s">
        <v>21</v>
      </c>
      <c r="G807" s="3" t="s">
        <v>50</v>
      </c>
      <c r="H807" s="53" t="s">
        <v>1434</v>
      </c>
      <c r="I807" s="3" t="s">
        <v>1435</v>
      </c>
      <c r="J807" s="3" t="s">
        <v>271</v>
      </c>
      <c r="K807" s="3" t="s">
        <v>1160</v>
      </c>
      <c r="L807" s="3" t="s">
        <v>1964</v>
      </c>
      <c r="M807" s="53" t="s">
        <v>4118</v>
      </c>
      <c r="N807" s="258">
        <v>225000</v>
      </c>
      <c r="O807" s="266">
        <v>100</v>
      </c>
      <c r="P807" s="272">
        <v>1</v>
      </c>
      <c r="Q807" s="258">
        <v>225000</v>
      </c>
      <c r="R807" s="286">
        <v>225000</v>
      </c>
      <c r="S807" s="286">
        <v>72425</v>
      </c>
      <c r="T807" s="288">
        <v>0</v>
      </c>
      <c r="U807" s="288">
        <v>1</v>
      </c>
      <c r="V807" s="288">
        <v>0</v>
      </c>
      <c r="W807" s="286">
        <v>25961</v>
      </c>
      <c r="X807" s="286">
        <v>0</v>
      </c>
      <c r="Y807" s="200" t="s">
        <v>1392</v>
      </c>
      <c r="Z807" s="517" t="s">
        <v>5549</v>
      </c>
      <c r="AA807" s="499" t="s">
        <v>1485</v>
      </c>
      <c r="AB807" s="508"/>
    </row>
    <row r="808" spans="2:28" x14ac:dyDescent="0.15">
      <c r="B808" s="333" t="s">
        <v>4119</v>
      </c>
      <c r="C808" s="528">
        <v>43252</v>
      </c>
      <c r="D808" s="198" t="s">
        <v>4120</v>
      </c>
      <c r="E808" s="53" t="s">
        <v>1391</v>
      </c>
      <c r="F808" s="198" t="s">
        <v>3783</v>
      </c>
      <c r="G808" s="3" t="s">
        <v>362</v>
      </c>
      <c r="H808" s="53" t="s">
        <v>689</v>
      </c>
      <c r="I808" s="3" t="s">
        <v>1394</v>
      </c>
      <c r="J808" s="3" t="s">
        <v>1402</v>
      </c>
      <c r="K808" s="3" t="s">
        <v>1403</v>
      </c>
      <c r="L808" s="3" t="s">
        <v>4121</v>
      </c>
      <c r="M808" s="53" t="s">
        <v>4122</v>
      </c>
      <c r="N808" s="258">
        <v>310000</v>
      </c>
      <c r="O808" s="266">
        <v>50</v>
      </c>
      <c r="P808" s="272">
        <v>1</v>
      </c>
      <c r="Q808" s="258">
        <v>155000</v>
      </c>
      <c r="R808" s="286">
        <v>155000</v>
      </c>
      <c r="S808" s="286">
        <v>41472</v>
      </c>
      <c r="T808" s="288">
        <v>1</v>
      </c>
      <c r="U808" s="288">
        <v>0</v>
      </c>
      <c r="V808" s="288">
        <v>0</v>
      </c>
      <c r="W808" s="286">
        <v>0</v>
      </c>
      <c r="X808" s="286">
        <v>0</v>
      </c>
      <c r="Y808" s="200" t="s">
        <v>1395</v>
      </c>
      <c r="Z808" s="517" t="s">
        <v>5166</v>
      </c>
      <c r="AA808" s="499" t="s">
        <v>1485</v>
      </c>
      <c r="AB808" s="508"/>
    </row>
    <row r="809" spans="2:28" x14ac:dyDescent="0.15">
      <c r="B809" s="333" t="s">
        <v>4126</v>
      </c>
      <c r="C809" s="528">
        <v>43252</v>
      </c>
      <c r="D809" s="198" t="s">
        <v>4127</v>
      </c>
      <c r="E809" s="53" t="s">
        <v>1396</v>
      </c>
      <c r="F809" s="198" t="s">
        <v>21</v>
      </c>
      <c r="G809" s="3" t="s">
        <v>50</v>
      </c>
      <c r="H809" s="53" t="s">
        <v>379</v>
      </c>
      <c r="I809" s="3" t="s">
        <v>2551</v>
      </c>
      <c r="J809" s="3" t="s">
        <v>265</v>
      </c>
      <c r="K809" s="3" t="s">
        <v>1155</v>
      </c>
      <c r="L809" s="3" t="s">
        <v>1743</v>
      </c>
      <c r="M809" s="53" t="s">
        <v>3779</v>
      </c>
      <c r="N809" s="258">
        <v>390000</v>
      </c>
      <c r="O809" s="266">
        <v>60</v>
      </c>
      <c r="P809" s="272">
        <v>-1</v>
      </c>
      <c r="Q809" s="258">
        <v>234000</v>
      </c>
      <c r="R809" s="286">
        <v>-234000</v>
      </c>
      <c r="S809" s="286">
        <v>-73040</v>
      </c>
      <c r="T809" s="288">
        <v>0</v>
      </c>
      <c r="U809" s="288">
        <v>-1</v>
      </c>
      <c r="V809" s="288">
        <v>0</v>
      </c>
      <c r="W809" s="286">
        <v>-23400</v>
      </c>
      <c r="X809" s="286">
        <v>0</v>
      </c>
      <c r="Y809" s="200" t="s">
        <v>1392</v>
      </c>
      <c r="Z809" s="517" t="s">
        <v>5543</v>
      </c>
      <c r="AA809" s="499" t="s">
        <v>1485</v>
      </c>
      <c r="AB809" s="508"/>
    </row>
    <row r="810" spans="2:28" x14ac:dyDescent="0.15">
      <c r="B810" s="333" t="s">
        <v>4128</v>
      </c>
      <c r="C810" s="528">
        <v>43252</v>
      </c>
      <c r="D810" s="198" t="s">
        <v>4129</v>
      </c>
      <c r="E810" s="53" t="s">
        <v>1396</v>
      </c>
      <c r="F810" s="198" t="s">
        <v>21</v>
      </c>
      <c r="G810" s="3" t="s">
        <v>50</v>
      </c>
      <c r="H810" s="53" t="s">
        <v>379</v>
      </c>
      <c r="I810" s="3" t="s">
        <v>2551</v>
      </c>
      <c r="J810" s="3" t="s">
        <v>265</v>
      </c>
      <c r="K810" s="3" t="s">
        <v>1155</v>
      </c>
      <c r="L810" s="3" t="s">
        <v>1743</v>
      </c>
      <c r="M810" s="53" t="s">
        <v>3779</v>
      </c>
      <c r="N810" s="258">
        <v>380000</v>
      </c>
      <c r="O810" s="266">
        <v>60</v>
      </c>
      <c r="P810" s="272">
        <v>1</v>
      </c>
      <c r="Q810" s="258">
        <v>228000</v>
      </c>
      <c r="R810" s="286">
        <v>228000</v>
      </c>
      <c r="S810" s="286">
        <v>67640</v>
      </c>
      <c r="T810" s="288">
        <v>0</v>
      </c>
      <c r="U810" s="288">
        <v>1</v>
      </c>
      <c r="V810" s="288">
        <v>0</v>
      </c>
      <c r="W810" s="286">
        <v>22800</v>
      </c>
      <c r="X810" s="286">
        <v>0</v>
      </c>
      <c r="Y810" s="200" t="s">
        <v>1392</v>
      </c>
      <c r="Z810" s="517" t="s">
        <v>5166</v>
      </c>
      <c r="AA810" s="499" t="s">
        <v>1485</v>
      </c>
      <c r="AB810" s="508"/>
    </row>
    <row r="811" spans="2:28" x14ac:dyDescent="0.15">
      <c r="B811" s="333" t="s">
        <v>4130</v>
      </c>
      <c r="C811" s="528">
        <v>43252</v>
      </c>
      <c r="D811" s="198" t="s">
        <v>4131</v>
      </c>
      <c r="E811" s="53" t="s">
        <v>1391</v>
      </c>
      <c r="F811" s="198" t="s">
        <v>3783</v>
      </c>
      <c r="G811" s="3" t="s">
        <v>362</v>
      </c>
      <c r="H811" s="53" t="s">
        <v>692</v>
      </c>
      <c r="I811" s="3" t="s">
        <v>1397</v>
      </c>
      <c r="J811" s="3" t="s">
        <v>3995</v>
      </c>
      <c r="K811" s="3" t="s">
        <v>1213</v>
      </c>
      <c r="L811" s="3" t="s">
        <v>4132</v>
      </c>
      <c r="M811" s="53" t="s">
        <v>4133</v>
      </c>
      <c r="N811" s="258">
        <v>250000</v>
      </c>
      <c r="O811" s="266">
        <v>100</v>
      </c>
      <c r="P811" s="272">
        <v>1</v>
      </c>
      <c r="Q811" s="258">
        <v>250000</v>
      </c>
      <c r="R811" s="286">
        <v>250000</v>
      </c>
      <c r="S811" s="286">
        <v>57092</v>
      </c>
      <c r="T811" s="288">
        <v>1</v>
      </c>
      <c r="U811" s="288">
        <v>0</v>
      </c>
      <c r="V811" s="288">
        <v>0</v>
      </c>
      <c r="W811" s="286">
        <v>0</v>
      </c>
      <c r="X811" s="286">
        <v>0</v>
      </c>
      <c r="Y811" s="200" t="s">
        <v>1395</v>
      </c>
      <c r="Z811" s="517" t="s">
        <v>5542</v>
      </c>
      <c r="AA811" s="499" t="s">
        <v>1485</v>
      </c>
      <c r="AB811" s="508"/>
    </row>
    <row r="812" spans="2:28" x14ac:dyDescent="0.15">
      <c r="B812" s="333" t="s">
        <v>4134</v>
      </c>
      <c r="C812" s="528">
        <v>43252</v>
      </c>
      <c r="D812" s="198" t="s">
        <v>4135</v>
      </c>
      <c r="E812" s="53" t="s">
        <v>1391</v>
      </c>
      <c r="F812" s="198" t="s">
        <v>3955</v>
      </c>
      <c r="G812" s="3" t="s">
        <v>1421</v>
      </c>
      <c r="H812" s="53" t="s">
        <v>3478</v>
      </c>
      <c r="I812" s="3" t="s">
        <v>3479</v>
      </c>
      <c r="J812" s="3" t="s">
        <v>271</v>
      </c>
      <c r="K812" s="3" t="s">
        <v>1160</v>
      </c>
      <c r="L812" s="3" t="s">
        <v>1642</v>
      </c>
      <c r="M812" s="53" t="s">
        <v>4136</v>
      </c>
      <c r="N812" s="258">
        <v>358000</v>
      </c>
      <c r="O812" s="266">
        <v>50</v>
      </c>
      <c r="P812" s="272">
        <v>1</v>
      </c>
      <c r="Q812" s="258">
        <v>179000</v>
      </c>
      <c r="R812" s="286">
        <v>179000</v>
      </c>
      <c r="S812" s="286">
        <v>50486</v>
      </c>
      <c r="T812" s="288">
        <v>1</v>
      </c>
      <c r="U812" s="288">
        <v>0</v>
      </c>
      <c r="V812" s="288">
        <v>0</v>
      </c>
      <c r="W812" s="286">
        <v>0</v>
      </c>
      <c r="X812" s="286">
        <v>0</v>
      </c>
      <c r="Y812" s="200" t="s">
        <v>1395</v>
      </c>
      <c r="Z812" s="517" t="s">
        <v>5449</v>
      </c>
      <c r="AA812" s="499" t="s">
        <v>1485</v>
      </c>
      <c r="AB812" s="508"/>
    </row>
    <row r="813" spans="2:28" x14ac:dyDescent="0.15">
      <c r="B813" s="333" t="s">
        <v>4141</v>
      </c>
      <c r="C813" s="528">
        <v>43252</v>
      </c>
      <c r="D813" s="198" t="s">
        <v>4142</v>
      </c>
      <c r="E813" s="53" t="s">
        <v>358</v>
      </c>
      <c r="F813" s="198" t="s">
        <v>4143</v>
      </c>
      <c r="G813" s="3" t="s">
        <v>4045</v>
      </c>
      <c r="H813" s="53"/>
      <c r="I813" s="3"/>
      <c r="J813" s="3" t="s">
        <v>271</v>
      </c>
      <c r="K813" s="3" t="s">
        <v>1160</v>
      </c>
      <c r="L813" s="3" t="s">
        <v>1964</v>
      </c>
      <c r="M813" s="53" t="s">
        <v>4144</v>
      </c>
      <c r="N813" s="258">
        <v>225000</v>
      </c>
      <c r="O813" s="266">
        <v>100</v>
      </c>
      <c r="P813" s="272">
        <v>1</v>
      </c>
      <c r="Q813" s="258">
        <v>225000</v>
      </c>
      <c r="R813" s="286">
        <v>225000</v>
      </c>
      <c r="S813" s="286">
        <v>72425</v>
      </c>
      <c r="T813" s="288">
        <v>0</v>
      </c>
      <c r="U813" s="288">
        <v>1</v>
      </c>
      <c r="V813" s="288">
        <v>0</v>
      </c>
      <c r="W813" s="286">
        <v>25961</v>
      </c>
      <c r="X813" s="286">
        <v>0</v>
      </c>
      <c r="Y813" s="200" t="s">
        <v>1392</v>
      </c>
      <c r="Z813" s="517" t="s">
        <v>5167</v>
      </c>
      <c r="AA813" s="499" t="s">
        <v>1485</v>
      </c>
      <c r="AB813" s="508"/>
    </row>
    <row r="814" spans="2:28" x14ac:dyDescent="0.15">
      <c r="B814" s="333" t="s">
        <v>4212</v>
      </c>
      <c r="C814" s="528">
        <v>43252</v>
      </c>
      <c r="D814" s="198" t="s">
        <v>4218</v>
      </c>
      <c r="E814" s="53" t="s">
        <v>1396</v>
      </c>
      <c r="F814" s="198" t="s">
        <v>21</v>
      </c>
      <c r="G814" s="3" t="s">
        <v>50</v>
      </c>
      <c r="H814" s="53" t="s">
        <v>379</v>
      </c>
      <c r="I814" s="3" t="s">
        <v>2551</v>
      </c>
      <c r="J814" s="3" t="s">
        <v>299</v>
      </c>
      <c r="K814" s="3" t="s">
        <v>373</v>
      </c>
      <c r="L814" s="3" t="s">
        <v>4213</v>
      </c>
      <c r="M814" s="53"/>
      <c r="N814" s="258">
        <v>5000</v>
      </c>
      <c r="O814" s="266">
        <v>100</v>
      </c>
      <c r="P814" s="272">
        <v>1</v>
      </c>
      <c r="Q814" s="258">
        <v>5000</v>
      </c>
      <c r="R814" s="286">
        <v>5000</v>
      </c>
      <c r="S814" s="286">
        <v>1348</v>
      </c>
      <c r="T814" s="288">
        <v>0</v>
      </c>
      <c r="U814" s="288">
        <v>0</v>
      </c>
      <c r="V814" s="288">
        <v>0</v>
      </c>
      <c r="W814" s="286">
        <v>3652</v>
      </c>
      <c r="X814" s="286">
        <v>0</v>
      </c>
      <c r="Y814" s="200" t="s">
        <v>1392</v>
      </c>
      <c r="Z814" s="517" t="s">
        <v>5166</v>
      </c>
      <c r="AA814" s="499"/>
      <c r="AB814" s="508"/>
    </row>
    <row r="815" spans="2:28" x14ac:dyDescent="0.15">
      <c r="B815" s="333" t="s">
        <v>4123</v>
      </c>
      <c r="C815" s="528">
        <v>43255</v>
      </c>
      <c r="D815" s="198" t="s">
        <v>4124</v>
      </c>
      <c r="E815" s="53" t="s">
        <v>1396</v>
      </c>
      <c r="F815" s="198" t="s">
        <v>3789</v>
      </c>
      <c r="G815" s="3" t="s">
        <v>368</v>
      </c>
      <c r="H815" s="53" t="s">
        <v>792</v>
      </c>
      <c r="I815" s="3" t="s">
        <v>1413</v>
      </c>
      <c r="J815" s="3" t="s">
        <v>298</v>
      </c>
      <c r="K815" s="3" t="s">
        <v>1168</v>
      </c>
      <c r="L815" s="3" t="s">
        <v>4125</v>
      </c>
      <c r="M815" s="53"/>
      <c r="N815" s="258">
        <v>2200</v>
      </c>
      <c r="O815" s="266">
        <v>65</v>
      </c>
      <c r="P815" s="272">
        <v>1</v>
      </c>
      <c r="Q815" s="258">
        <v>1430</v>
      </c>
      <c r="R815" s="286">
        <v>1430</v>
      </c>
      <c r="S815" s="286">
        <v>0</v>
      </c>
      <c r="T815" s="288">
        <v>0</v>
      </c>
      <c r="U815" s="288">
        <v>0</v>
      </c>
      <c r="V815" s="288">
        <v>0</v>
      </c>
      <c r="W815" s="286">
        <v>165</v>
      </c>
      <c r="X815" s="286">
        <v>0</v>
      </c>
      <c r="Y815" s="200" t="s">
        <v>1392</v>
      </c>
      <c r="Z815" s="517" t="s">
        <v>5166</v>
      </c>
      <c r="AA815" s="499" t="s">
        <v>1485</v>
      </c>
      <c r="AB815" s="508"/>
    </row>
    <row r="816" spans="2:28" x14ac:dyDescent="0.15">
      <c r="B816" s="333" t="s">
        <v>4240</v>
      </c>
      <c r="C816" s="528">
        <v>43255</v>
      </c>
      <c r="D816" s="198" t="s">
        <v>4241</v>
      </c>
      <c r="E816" s="53" t="s">
        <v>2382</v>
      </c>
      <c r="F816" s="198" t="s">
        <v>3842</v>
      </c>
      <c r="G816" s="3" t="s">
        <v>2375</v>
      </c>
      <c r="H816" s="53"/>
      <c r="I816" s="3" t="s">
        <v>4300</v>
      </c>
      <c r="J816" s="3" t="s">
        <v>299</v>
      </c>
      <c r="K816" s="3" t="s">
        <v>373</v>
      </c>
      <c r="L816" s="3" t="s">
        <v>4301</v>
      </c>
      <c r="M816" s="53"/>
      <c r="N816" s="258">
        <v>20000</v>
      </c>
      <c r="O816" s="266">
        <v>100</v>
      </c>
      <c r="P816" s="272">
        <v>1</v>
      </c>
      <c r="Q816" s="258">
        <v>20000</v>
      </c>
      <c r="R816" s="286">
        <v>20000</v>
      </c>
      <c r="S816" s="286">
        <v>5000</v>
      </c>
      <c r="T816" s="288">
        <v>0</v>
      </c>
      <c r="U816" s="288">
        <v>0</v>
      </c>
      <c r="V816" s="288">
        <v>0</v>
      </c>
      <c r="W816" s="286">
        <v>0</v>
      </c>
      <c r="X816" s="286">
        <v>0</v>
      </c>
      <c r="Y816" s="200"/>
      <c r="Z816" s="517" t="s">
        <v>5547</v>
      </c>
      <c r="AA816" s="499"/>
      <c r="AB816" s="508"/>
    </row>
    <row r="817" spans="2:28" x14ac:dyDescent="0.15">
      <c r="B817" s="333" t="s">
        <v>4260</v>
      </c>
      <c r="C817" s="528">
        <v>43257</v>
      </c>
      <c r="D817" s="198" t="s">
        <v>4262</v>
      </c>
      <c r="E817" s="53" t="s">
        <v>1396</v>
      </c>
      <c r="F817" s="198" t="s">
        <v>3789</v>
      </c>
      <c r="G817" s="3" t="s">
        <v>368</v>
      </c>
      <c r="H817" s="53" t="s">
        <v>794</v>
      </c>
      <c r="I817" s="3" t="s">
        <v>1871</v>
      </c>
      <c r="J817" s="3" t="s">
        <v>297</v>
      </c>
      <c r="K817" s="3" t="s">
        <v>369</v>
      </c>
      <c r="L817" s="3" t="s">
        <v>3991</v>
      </c>
      <c r="M817" s="53"/>
      <c r="N817" s="258">
        <v>100</v>
      </c>
      <c r="O817" s="266">
        <v>50</v>
      </c>
      <c r="P817" s="272">
        <v>100</v>
      </c>
      <c r="Q817" s="258">
        <v>50</v>
      </c>
      <c r="R817" s="286">
        <v>5000</v>
      </c>
      <c r="S817" s="286">
        <v>2050</v>
      </c>
      <c r="T817" s="288">
        <v>0</v>
      </c>
      <c r="U817" s="288">
        <v>0</v>
      </c>
      <c r="V817" s="288">
        <v>0</v>
      </c>
      <c r="W817" s="286">
        <v>750</v>
      </c>
      <c r="X817" s="286">
        <v>0</v>
      </c>
      <c r="Y817" s="200" t="s">
        <v>1392</v>
      </c>
      <c r="Z817" s="517" t="s">
        <v>5166</v>
      </c>
      <c r="AA817" s="499"/>
      <c r="AB817" s="508"/>
    </row>
    <row r="818" spans="2:28" x14ac:dyDescent="0.15">
      <c r="B818" s="333" t="s">
        <v>4115</v>
      </c>
      <c r="C818" s="528">
        <v>43259</v>
      </c>
      <c r="D818" s="198" t="s">
        <v>4157</v>
      </c>
      <c r="E818" s="53" t="s">
        <v>358</v>
      </c>
      <c r="F818" s="198" t="s">
        <v>4158</v>
      </c>
      <c r="G818" s="3" t="s">
        <v>147</v>
      </c>
      <c r="H818" s="53" t="s">
        <v>4159</v>
      </c>
      <c r="I818" s="3" t="s">
        <v>4160</v>
      </c>
      <c r="J818" s="3" t="s">
        <v>4161</v>
      </c>
      <c r="K818" s="197" t="s">
        <v>283</v>
      </c>
      <c r="L818" s="3" t="s">
        <v>4162</v>
      </c>
      <c r="M818" s="53" t="s">
        <v>4163</v>
      </c>
      <c r="N818" s="258">
        <v>216000</v>
      </c>
      <c r="O818" s="266">
        <v>100</v>
      </c>
      <c r="P818" s="272">
        <v>1</v>
      </c>
      <c r="Q818" s="258">
        <v>216000</v>
      </c>
      <c r="R818" s="286">
        <v>216000</v>
      </c>
      <c r="S818" s="286">
        <v>96549</v>
      </c>
      <c r="T818" s="288">
        <v>0</v>
      </c>
      <c r="U818" s="288">
        <v>1</v>
      </c>
      <c r="V818" s="288">
        <v>0</v>
      </c>
      <c r="W818" s="286">
        <v>24999</v>
      </c>
      <c r="X818" s="286">
        <v>0</v>
      </c>
      <c r="Y818" s="200" t="s">
        <v>4164</v>
      </c>
      <c r="Z818" s="517" t="s">
        <v>5549</v>
      </c>
      <c r="AA818" s="499" t="s">
        <v>1485</v>
      </c>
      <c r="AB818" s="508"/>
    </row>
    <row r="819" spans="2:28" x14ac:dyDescent="0.15">
      <c r="B819" s="333" t="s">
        <v>4149</v>
      </c>
      <c r="C819" s="528">
        <v>43259</v>
      </c>
      <c r="D819" s="198" t="s">
        <v>4150</v>
      </c>
      <c r="E819" s="53" t="s">
        <v>1391</v>
      </c>
      <c r="F819" s="198" t="s">
        <v>3786</v>
      </c>
      <c r="G819" s="3" t="s">
        <v>364</v>
      </c>
      <c r="H819" s="53" t="s">
        <v>420</v>
      </c>
      <c r="I819" s="3" t="s">
        <v>3509</v>
      </c>
      <c r="J819" s="3" t="s">
        <v>271</v>
      </c>
      <c r="K819" s="3" t="s">
        <v>1160</v>
      </c>
      <c r="L819" s="3" t="s">
        <v>1503</v>
      </c>
      <c r="M819" s="53" t="s">
        <v>4151</v>
      </c>
      <c r="N819" s="258">
        <v>234000</v>
      </c>
      <c r="O819" s="266">
        <v>100</v>
      </c>
      <c r="P819" s="272">
        <v>1</v>
      </c>
      <c r="Q819" s="258">
        <v>234000</v>
      </c>
      <c r="R819" s="286">
        <v>234000</v>
      </c>
      <c r="S819" s="286">
        <v>56536</v>
      </c>
      <c r="T819" s="288">
        <v>0</v>
      </c>
      <c r="U819" s="288">
        <v>1</v>
      </c>
      <c r="V819" s="288">
        <v>0</v>
      </c>
      <c r="W819" s="286">
        <v>29250</v>
      </c>
      <c r="X819" s="286">
        <v>0</v>
      </c>
      <c r="Y819" s="200" t="s">
        <v>1392</v>
      </c>
      <c r="Z819" s="517" t="s">
        <v>5543</v>
      </c>
      <c r="AA819" s="499" t="s">
        <v>1485</v>
      </c>
      <c r="AB819" s="508"/>
    </row>
    <row r="820" spans="2:28" x14ac:dyDescent="0.15">
      <c r="B820" s="333" t="s">
        <v>4152</v>
      </c>
      <c r="C820" s="528">
        <v>43259</v>
      </c>
      <c r="D820" s="198" t="s">
        <v>4153</v>
      </c>
      <c r="E820" s="53" t="s">
        <v>1391</v>
      </c>
      <c r="F820" s="198" t="s">
        <v>4154</v>
      </c>
      <c r="G820" s="3" t="s">
        <v>371</v>
      </c>
      <c r="H820" s="53" t="s">
        <v>383</v>
      </c>
      <c r="I820" s="3" t="s">
        <v>4114</v>
      </c>
      <c r="J820" s="3" t="s">
        <v>272</v>
      </c>
      <c r="K820" s="3" t="s">
        <v>363</v>
      </c>
      <c r="L820" s="3" t="s">
        <v>4155</v>
      </c>
      <c r="M820" s="53" t="s">
        <v>4156</v>
      </c>
      <c r="N820" s="258">
        <v>280000</v>
      </c>
      <c r="O820" s="266">
        <v>60</v>
      </c>
      <c r="P820" s="272">
        <v>1</v>
      </c>
      <c r="Q820" s="258">
        <v>168000</v>
      </c>
      <c r="R820" s="286">
        <v>168000</v>
      </c>
      <c r="S820" s="286">
        <v>50510</v>
      </c>
      <c r="T820" s="288">
        <v>0</v>
      </c>
      <c r="U820" s="288">
        <v>1</v>
      </c>
      <c r="V820" s="288">
        <v>0</v>
      </c>
      <c r="W820" s="286">
        <v>16800</v>
      </c>
      <c r="X820" s="286">
        <v>0</v>
      </c>
      <c r="Y820" s="200" t="s">
        <v>1392</v>
      </c>
      <c r="Z820" s="517" t="s">
        <v>5166</v>
      </c>
      <c r="AA820" s="499" t="s">
        <v>1485</v>
      </c>
      <c r="AB820" s="508"/>
    </row>
    <row r="821" spans="2:28" x14ac:dyDescent="0.15">
      <c r="B821" s="333" t="s">
        <v>4165</v>
      </c>
      <c r="C821" s="528">
        <v>43259</v>
      </c>
      <c r="D821" s="198" t="s">
        <v>4166</v>
      </c>
      <c r="E821" s="53" t="s">
        <v>1396</v>
      </c>
      <c r="F821" s="198" t="s">
        <v>21</v>
      </c>
      <c r="G821" s="3" t="s">
        <v>50</v>
      </c>
      <c r="H821" s="53" t="s">
        <v>381</v>
      </c>
      <c r="I821" s="3" t="s">
        <v>1408</v>
      </c>
      <c r="J821" s="3" t="s">
        <v>271</v>
      </c>
      <c r="K821" s="3" t="s">
        <v>1160</v>
      </c>
      <c r="L821" s="3" t="s">
        <v>1964</v>
      </c>
      <c r="M821" s="53" t="s">
        <v>4167</v>
      </c>
      <c r="N821" s="258">
        <v>225000</v>
      </c>
      <c r="O821" s="266">
        <v>100</v>
      </c>
      <c r="P821" s="272">
        <v>1</v>
      </c>
      <c r="Q821" s="258">
        <v>225000</v>
      </c>
      <c r="R821" s="286">
        <v>225000</v>
      </c>
      <c r="S821" s="286">
        <v>72425</v>
      </c>
      <c r="T821" s="288">
        <v>0</v>
      </c>
      <c r="U821" s="288">
        <v>1</v>
      </c>
      <c r="V821" s="288">
        <v>0</v>
      </c>
      <c r="W821" s="286">
        <v>25961</v>
      </c>
      <c r="X821" s="286">
        <v>0</v>
      </c>
      <c r="Y821" s="200" t="s">
        <v>1392</v>
      </c>
      <c r="Z821" s="517" t="s">
        <v>5166</v>
      </c>
      <c r="AA821" s="499" t="s">
        <v>1485</v>
      </c>
      <c r="AB821" s="508"/>
    </row>
    <row r="822" spans="2:28" x14ac:dyDescent="0.15">
      <c r="B822" s="333" t="s">
        <v>4171</v>
      </c>
      <c r="C822" s="528">
        <v>43259</v>
      </c>
      <c r="D822" s="198" t="s">
        <v>4172</v>
      </c>
      <c r="E822" s="53" t="s">
        <v>1391</v>
      </c>
      <c r="F822" s="198" t="s">
        <v>2768</v>
      </c>
      <c r="G822" s="3" t="s">
        <v>3415</v>
      </c>
      <c r="H822" s="53"/>
      <c r="I822" s="3"/>
      <c r="J822" s="3" t="s">
        <v>268</v>
      </c>
      <c r="K822" s="3" t="s">
        <v>1158</v>
      </c>
      <c r="L822" s="3" t="s">
        <v>4173</v>
      </c>
      <c r="M822" s="53" t="s">
        <v>4174</v>
      </c>
      <c r="N822" s="258">
        <v>130000</v>
      </c>
      <c r="O822" s="266">
        <v>100</v>
      </c>
      <c r="P822" s="272">
        <v>1</v>
      </c>
      <c r="Q822" s="258">
        <v>130000</v>
      </c>
      <c r="R822" s="286">
        <v>130000</v>
      </c>
      <c r="S822" s="286">
        <v>55786</v>
      </c>
      <c r="T822" s="288">
        <v>1</v>
      </c>
      <c r="U822" s="288">
        <v>0</v>
      </c>
      <c r="V822" s="288">
        <v>0</v>
      </c>
      <c r="W822" s="286">
        <v>0</v>
      </c>
      <c r="X822" s="286">
        <v>0</v>
      </c>
      <c r="Y822" s="200" t="s">
        <v>1395</v>
      </c>
      <c r="Z822" s="517" t="s">
        <v>5166</v>
      </c>
      <c r="AA822" s="499" t="s">
        <v>1485</v>
      </c>
      <c r="AB822" s="508"/>
    </row>
    <row r="823" spans="2:28" x14ac:dyDescent="0.15">
      <c r="B823" s="333" t="s">
        <v>4261</v>
      </c>
      <c r="C823" s="528">
        <v>43259</v>
      </c>
      <c r="D823" s="198" t="s">
        <v>4263</v>
      </c>
      <c r="E823" s="53" t="s">
        <v>1391</v>
      </c>
      <c r="F823" s="198" t="s">
        <v>3786</v>
      </c>
      <c r="G823" s="3" t="s">
        <v>364</v>
      </c>
      <c r="H823" s="53" t="s">
        <v>420</v>
      </c>
      <c r="I823" s="3" t="s">
        <v>3509</v>
      </c>
      <c r="J823" s="3" t="s">
        <v>270</v>
      </c>
      <c r="K823" s="3" t="s">
        <v>539</v>
      </c>
      <c r="L823" s="3" t="s">
        <v>4258</v>
      </c>
      <c r="M823" s="53" t="s">
        <v>4259</v>
      </c>
      <c r="N823" s="258">
        <v>328000</v>
      </c>
      <c r="O823" s="266">
        <v>55</v>
      </c>
      <c r="P823" s="272">
        <v>1</v>
      </c>
      <c r="Q823" s="258">
        <v>180400</v>
      </c>
      <c r="R823" s="286">
        <v>180400</v>
      </c>
      <c r="S823" s="286">
        <v>49859</v>
      </c>
      <c r="T823" s="288">
        <v>0</v>
      </c>
      <c r="U823" s="288">
        <v>1</v>
      </c>
      <c r="V823" s="288">
        <v>0</v>
      </c>
      <c r="W823" s="286">
        <v>14760</v>
      </c>
      <c r="X823" s="286">
        <v>0</v>
      </c>
      <c r="Y823" s="200" t="s">
        <v>1392</v>
      </c>
      <c r="Z823" s="517" t="s">
        <v>5166</v>
      </c>
      <c r="AA823" s="499"/>
      <c r="AB823" s="508"/>
    </row>
    <row r="824" spans="2:28" x14ac:dyDescent="0.15">
      <c r="B824" s="333" t="s">
        <v>4175</v>
      </c>
      <c r="C824" s="528">
        <v>43260</v>
      </c>
      <c r="D824" s="198" t="s">
        <v>4176</v>
      </c>
      <c r="E824" s="53" t="s">
        <v>1391</v>
      </c>
      <c r="F824" s="198" t="s">
        <v>3786</v>
      </c>
      <c r="G824" s="3" t="s">
        <v>364</v>
      </c>
      <c r="H824" s="53" t="s">
        <v>525</v>
      </c>
      <c r="I824" s="3" t="s">
        <v>1466</v>
      </c>
      <c r="J824" s="3" t="s">
        <v>268</v>
      </c>
      <c r="K824" s="3" t="s">
        <v>1158</v>
      </c>
      <c r="L824" s="197" t="s">
        <v>4178</v>
      </c>
      <c r="M824" s="53" t="s">
        <v>4177</v>
      </c>
      <c r="N824" s="258">
        <v>130000</v>
      </c>
      <c r="O824" s="266">
        <v>100</v>
      </c>
      <c r="P824" s="272">
        <v>1</v>
      </c>
      <c r="Q824" s="258">
        <v>130000</v>
      </c>
      <c r="R824" s="286">
        <v>130000</v>
      </c>
      <c r="S824" s="286">
        <v>55786</v>
      </c>
      <c r="T824" s="288">
        <v>1</v>
      </c>
      <c r="U824" s="288">
        <v>0</v>
      </c>
      <c r="V824" s="288">
        <v>0</v>
      </c>
      <c r="W824" s="286">
        <v>0</v>
      </c>
      <c r="X824" s="286">
        <v>0</v>
      </c>
      <c r="Y824" s="200" t="s">
        <v>1395</v>
      </c>
      <c r="Z824" s="517" t="s">
        <v>5170</v>
      </c>
      <c r="AA824" s="499" t="s">
        <v>1485</v>
      </c>
      <c r="AB824" s="508"/>
    </row>
    <row r="825" spans="2:28" x14ac:dyDescent="0.15">
      <c r="B825" s="333" t="s">
        <v>4179</v>
      </c>
      <c r="C825" s="528">
        <v>43260</v>
      </c>
      <c r="D825" s="198" t="s">
        <v>4180</v>
      </c>
      <c r="E825" s="53" t="s">
        <v>1391</v>
      </c>
      <c r="F825" s="198" t="s">
        <v>3786</v>
      </c>
      <c r="G825" s="3" t="s">
        <v>364</v>
      </c>
      <c r="H825" s="53" t="s">
        <v>409</v>
      </c>
      <c r="I825" s="3" t="s">
        <v>3883</v>
      </c>
      <c r="J825" s="3" t="s">
        <v>262</v>
      </c>
      <c r="K825" s="3" t="s">
        <v>365</v>
      </c>
      <c r="L825" s="3" t="s">
        <v>1690</v>
      </c>
      <c r="M825" s="53" t="s">
        <v>4181</v>
      </c>
      <c r="N825" s="258">
        <v>260000</v>
      </c>
      <c r="O825" s="266">
        <v>65</v>
      </c>
      <c r="P825" s="272">
        <v>1</v>
      </c>
      <c r="Q825" s="258">
        <v>169000</v>
      </c>
      <c r="R825" s="286">
        <v>169000</v>
      </c>
      <c r="S825" s="286">
        <v>73982</v>
      </c>
      <c r="T825" s="288">
        <v>1</v>
      </c>
      <c r="U825" s="288">
        <v>0</v>
      </c>
      <c r="V825" s="288">
        <v>0</v>
      </c>
      <c r="W825" s="286">
        <v>0</v>
      </c>
      <c r="X825" s="286">
        <v>0</v>
      </c>
      <c r="Y825" s="200" t="s">
        <v>1395</v>
      </c>
      <c r="Z825" s="517" t="s">
        <v>5559</v>
      </c>
      <c r="AA825" s="499" t="s">
        <v>1485</v>
      </c>
      <c r="AB825" s="508"/>
    </row>
    <row r="826" spans="2:28" x14ac:dyDescent="0.15">
      <c r="B826" s="333" t="s">
        <v>4182</v>
      </c>
      <c r="C826" s="528">
        <v>43260</v>
      </c>
      <c r="D826" s="198" t="s">
        <v>4183</v>
      </c>
      <c r="E826" s="53" t="s">
        <v>1391</v>
      </c>
      <c r="F826" s="198" t="s">
        <v>3786</v>
      </c>
      <c r="G826" s="3" t="s">
        <v>364</v>
      </c>
      <c r="H826" s="53" t="s">
        <v>471</v>
      </c>
      <c r="I826" s="3" t="s">
        <v>1450</v>
      </c>
      <c r="J826" s="3" t="s">
        <v>262</v>
      </c>
      <c r="K826" s="3" t="s">
        <v>365</v>
      </c>
      <c r="L826" s="3" t="s">
        <v>1728</v>
      </c>
      <c r="M826" s="53" t="s">
        <v>4184</v>
      </c>
      <c r="N826" s="258">
        <v>270000</v>
      </c>
      <c r="O826" s="266">
        <v>60</v>
      </c>
      <c r="P826" s="272">
        <v>1</v>
      </c>
      <c r="Q826" s="258">
        <v>162000</v>
      </c>
      <c r="R826" s="286">
        <v>162000</v>
      </c>
      <c r="S826" s="286">
        <v>66942</v>
      </c>
      <c r="T826" s="288">
        <v>1</v>
      </c>
      <c r="U826" s="288">
        <v>0</v>
      </c>
      <c r="V826" s="288">
        <v>0</v>
      </c>
      <c r="W826" s="286">
        <v>0</v>
      </c>
      <c r="X826" s="286">
        <v>0</v>
      </c>
      <c r="Y826" s="200" t="s">
        <v>1395</v>
      </c>
      <c r="Z826" s="517" t="s">
        <v>5560</v>
      </c>
      <c r="AA826" s="499" t="s">
        <v>1485</v>
      </c>
      <c r="AB826" s="508"/>
    </row>
    <row r="827" spans="2:28" x14ac:dyDescent="0.15">
      <c r="B827" s="333" t="s">
        <v>4185</v>
      </c>
      <c r="C827" s="528">
        <v>43260</v>
      </c>
      <c r="D827" s="198" t="s">
        <v>4186</v>
      </c>
      <c r="E827" s="53" t="s">
        <v>1391</v>
      </c>
      <c r="F827" s="198" t="s">
        <v>3786</v>
      </c>
      <c r="G827" s="3" t="s">
        <v>364</v>
      </c>
      <c r="H827" s="53" t="s">
        <v>519</v>
      </c>
      <c r="I827" s="3" t="s">
        <v>1526</v>
      </c>
      <c r="J827" s="3" t="s">
        <v>270</v>
      </c>
      <c r="K827" s="3" t="s">
        <v>539</v>
      </c>
      <c r="L827" s="3" t="s">
        <v>1704</v>
      </c>
      <c r="M827" s="53" t="s">
        <v>4187</v>
      </c>
      <c r="N827" s="258">
        <v>328000</v>
      </c>
      <c r="O827" s="266">
        <v>50</v>
      </c>
      <c r="P827" s="272">
        <v>1</v>
      </c>
      <c r="Q827" s="258">
        <v>164000</v>
      </c>
      <c r="R827" s="286">
        <v>164000</v>
      </c>
      <c r="S827" s="286">
        <v>48219</v>
      </c>
      <c r="T827" s="288">
        <v>1</v>
      </c>
      <c r="U827" s="288">
        <v>0</v>
      </c>
      <c r="V827" s="288">
        <v>0</v>
      </c>
      <c r="W827" s="286">
        <v>0</v>
      </c>
      <c r="X827" s="286">
        <v>0</v>
      </c>
      <c r="Y827" s="200" t="s">
        <v>1395</v>
      </c>
      <c r="Z827" s="517" t="s">
        <v>5553</v>
      </c>
      <c r="AA827" s="499" t="s">
        <v>1485</v>
      </c>
      <c r="AB827" s="508"/>
    </row>
    <row r="828" spans="2:28" x14ac:dyDescent="0.15">
      <c r="B828" s="333" t="s">
        <v>4188</v>
      </c>
      <c r="C828" s="528">
        <v>43265</v>
      </c>
      <c r="D828" s="198" t="s">
        <v>4189</v>
      </c>
      <c r="E828" s="53" t="s">
        <v>1391</v>
      </c>
      <c r="F828" s="198" t="s">
        <v>3783</v>
      </c>
      <c r="G828" s="3" t="s">
        <v>362</v>
      </c>
      <c r="H828" s="53" t="s">
        <v>692</v>
      </c>
      <c r="I828" s="3" t="s">
        <v>1397</v>
      </c>
      <c r="J828" s="3" t="s">
        <v>1402</v>
      </c>
      <c r="K828" s="3" t="s">
        <v>1403</v>
      </c>
      <c r="L828" s="197" t="s">
        <v>4191</v>
      </c>
      <c r="M828" s="53" t="s">
        <v>4190</v>
      </c>
      <c r="N828" s="258">
        <v>260000</v>
      </c>
      <c r="O828" s="266">
        <v>50</v>
      </c>
      <c r="P828" s="272">
        <v>1</v>
      </c>
      <c r="Q828" s="258">
        <v>130000</v>
      </c>
      <c r="R828" s="286">
        <v>130000</v>
      </c>
      <c r="S828" s="286">
        <v>25589</v>
      </c>
      <c r="T828" s="288">
        <v>1</v>
      </c>
      <c r="U828" s="288">
        <v>0</v>
      </c>
      <c r="V828" s="288">
        <v>0</v>
      </c>
      <c r="W828" s="286">
        <v>0</v>
      </c>
      <c r="X828" s="286">
        <v>0</v>
      </c>
      <c r="Y828" s="200" t="s">
        <v>1395</v>
      </c>
      <c r="Z828" s="517" t="s">
        <v>5543</v>
      </c>
      <c r="AA828" s="499" t="s">
        <v>1485</v>
      </c>
      <c r="AB828" s="508"/>
    </row>
    <row r="829" spans="2:28" x14ac:dyDescent="0.15">
      <c r="B829" s="333" t="s">
        <v>4192</v>
      </c>
      <c r="C829" s="528">
        <v>43265</v>
      </c>
      <c r="D829" s="198" t="s">
        <v>4193</v>
      </c>
      <c r="E829" s="53" t="s">
        <v>1391</v>
      </c>
      <c r="F829" s="198" t="s">
        <v>3783</v>
      </c>
      <c r="G829" s="3" t="s">
        <v>362</v>
      </c>
      <c r="H829" s="53" t="s">
        <v>692</v>
      </c>
      <c r="I829" s="3" t="s">
        <v>1397</v>
      </c>
      <c r="J829" s="3" t="s">
        <v>268</v>
      </c>
      <c r="K829" s="3" t="s">
        <v>1158</v>
      </c>
      <c r="L829" s="3" t="s">
        <v>4194</v>
      </c>
      <c r="M829" s="53" t="s">
        <v>4195</v>
      </c>
      <c r="N829" s="258">
        <v>290000</v>
      </c>
      <c r="O829" s="266">
        <v>50</v>
      </c>
      <c r="P829" s="272">
        <v>1</v>
      </c>
      <c r="Q829" s="258">
        <v>145000</v>
      </c>
      <c r="R829" s="286">
        <v>145000</v>
      </c>
      <c r="S829" s="286">
        <v>38399</v>
      </c>
      <c r="T829" s="288">
        <v>1</v>
      </c>
      <c r="U829" s="288">
        <v>0</v>
      </c>
      <c r="V829" s="288">
        <v>0</v>
      </c>
      <c r="W829" s="286">
        <v>0</v>
      </c>
      <c r="X829" s="286">
        <v>0</v>
      </c>
      <c r="Y829" s="200" t="s">
        <v>1395</v>
      </c>
      <c r="Z829" s="517" t="s">
        <v>5166</v>
      </c>
      <c r="AA829" s="499" t="s">
        <v>1485</v>
      </c>
      <c r="AB829" s="508"/>
    </row>
    <row r="830" spans="2:28" x14ac:dyDescent="0.15">
      <c r="B830" s="333" t="s">
        <v>4196</v>
      </c>
      <c r="C830" s="528">
        <v>43265</v>
      </c>
      <c r="D830" s="198" t="s">
        <v>4197</v>
      </c>
      <c r="E830" s="53" t="s">
        <v>1391</v>
      </c>
      <c r="F830" s="198" t="s">
        <v>3783</v>
      </c>
      <c r="G830" s="3" t="s">
        <v>362</v>
      </c>
      <c r="H830" s="53" t="s">
        <v>692</v>
      </c>
      <c r="I830" s="3" t="s">
        <v>1397</v>
      </c>
      <c r="J830" s="3" t="s">
        <v>273</v>
      </c>
      <c r="K830" s="3" t="s">
        <v>1161</v>
      </c>
      <c r="L830" s="3" t="s">
        <v>4198</v>
      </c>
      <c r="M830" s="53" t="s">
        <v>4199</v>
      </c>
      <c r="N830" s="258">
        <v>290000</v>
      </c>
      <c r="O830" s="266">
        <v>50</v>
      </c>
      <c r="P830" s="272">
        <v>1</v>
      </c>
      <c r="Q830" s="258">
        <v>145000</v>
      </c>
      <c r="R830" s="286">
        <v>145000</v>
      </c>
      <c r="S830" s="286">
        <v>32710</v>
      </c>
      <c r="T830" s="288">
        <v>1</v>
      </c>
      <c r="U830" s="288">
        <v>0</v>
      </c>
      <c r="V830" s="288">
        <v>0</v>
      </c>
      <c r="W830" s="286">
        <v>0</v>
      </c>
      <c r="X830" s="286">
        <v>0</v>
      </c>
      <c r="Y830" s="200" t="s">
        <v>1395</v>
      </c>
      <c r="Z830" s="517" t="s">
        <v>5532</v>
      </c>
      <c r="AA830" s="499" t="s">
        <v>1485</v>
      </c>
      <c r="AB830" s="508"/>
    </row>
    <row r="831" spans="2:28" x14ac:dyDescent="0.15">
      <c r="B831" s="333" t="s">
        <v>4200</v>
      </c>
      <c r="C831" s="528">
        <v>43265</v>
      </c>
      <c r="D831" s="198" t="s">
        <v>4201</v>
      </c>
      <c r="E831" s="53" t="s">
        <v>1391</v>
      </c>
      <c r="F831" s="198" t="s">
        <v>3783</v>
      </c>
      <c r="G831" s="3" t="s">
        <v>362</v>
      </c>
      <c r="H831" s="53" t="s">
        <v>689</v>
      </c>
      <c r="I831" s="3" t="s">
        <v>1394</v>
      </c>
      <c r="J831" s="3" t="s">
        <v>262</v>
      </c>
      <c r="K831" s="3" t="s">
        <v>365</v>
      </c>
      <c r="L831" s="3" t="s">
        <v>1738</v>
      </c>
      <c r="M831" s="53" t="s">
        <v>4202</v>
      </c>
      <c r="N831" s="258">
        <v>260000</v>
      </c>
      <c r="O831" s="266">
        <v>55</v>
      </c>
      <c r="P831" s="272">
        <v>1</v>
      </c>
      <c r="Q831" s="258">
        <v>143000</v>
      </c>
      <c r="R831" s="286">
        <v>143000</v>
      </c>
      <c r="S831" s="286">
        <v>45180</v>
      </c>
      <c r="T831" s="288">
        <v>1</v>
      </c>
      <c r="U831" s="288">
        <v>0</v>
      </c>
      <c r="V831" s="288">
        <v>0</v>
      </c>
      <c r="W831" s="286">
        <v>0</v>
      </c>
      <c r="X831" s="286">
        <v>0</v>
      </c>
      <c r="Y831" s="200" t="s">
        <v>1395</v>
      </c>
      <c r="Z831" s="517" t="s">
        <v>5166</v>
      </c>
      <c r="AA831" s="499" t="s">
        <v>1485</v>
      </c>
      <c r="AB831" s="508"/>
    </row>
    <row r="832" spans="2:28" x14ac:dyDescent="0.15">
      <c r="B832" s="333" t="s">
        <v>4203</v>
      </c>
      <c r="C832" s="528">
        <v>43265</v>
      </c>
      <c r="D832" s="198" t="s">
        <v>4204</v>
      </c>
      <c r="E832" s="53" t="s">
        <v>1391</v>
      </c>
      <c r="F832" s="198" t="s">
        <v>3783</v>
      </c>
      <c r="G832" s="3" t="s">
        <v>362</v>
      </c>
      <c r="H832" s="53" t="s">
        <v>689</v>
      </c>
      <c r="I832" s="3" t="s">
        <v>1394</v>
      </c>
      <c r="J832" s="3" t="s">
        <v>1402</v>
      </c>
      <c r="K832" s="3" t="s">
        <v>1403</v>
      </c>
      <c r="L832" s="3" t="s">
        <v>4205</v>
      </c>
      <c r="M832" s="53" t="s">
        <v>4206</v>
      </c>
      <c r="N832" s="258">
        <v>320000</v>
      </c>
      <c r="O832" s="266">
        <v>50</v>
      </c>
      <c r="P832" s="272">
        <v>1</v>
      </c>
      <c r="Q832" s="258">
        <v>160000</v>
      </c>
      <c r="R832" s="286">
        <v>160000</v>
      </c>
      <c r="S832" s="286">
        <v>36456</v>
      </c>
      <c r="T832" s="288">
        <v>1</v>
      </c>
      <c r="U832" s="288">
        <v>0</v>
      </c>
      <c r="V832" s="288">
        <v>0</v>
      </c>
      <c r="W832" s="286">
        <v>0</v>
      </c>
      <c r="X832" s="286">
        <v>0</v>
      </c>
      <c r="Y832" s="200" t="s">
        <v>1395</v>
      </c>
      <c r="Z832" s="517" t="s">
        <v>5166</v>
      </c>
      <c r="AA832" s="499" t="s">
        <v>1485</v>
      </c>
      <c r="AB832" s="508"/>
    </row>
    <row r="833" spans="2:28" x14ac:dyDescent="0.15">
      <c r="B833" s="333" t="s">
        <v>4210</v>
      </c>
      <c r="C833" s="528">
        <v>43265</v>
      </c>
      <c r="D833" s="198" t="s">
        <v>4217</v>
      </c>
      <c r="E833" s="53" t="s">
        <v>1391</v>
      </c>
      <c r="F833" s="198" t="s">
        <v>3786</v>
      </c>
      <c r="G833" s="3" t="s">
        <v>364</v>
      </c>
      <c r="H833" s="53" t="s">
        <v>432</v>
      </c>
      <c r="I833" s="3" t="s">
        <v>375</v>
      </c>
      <c r="J833" s="3" t="s">
        <v>299</v>
      </c>
      <c r="K833" s="3" t="s">
        <v>373</v>
      </c>
      <c r="L833" s="3" t="s">
        <v>4211</v>
      </c>
      <c r="M833" s="53"/>
      <c r="N833" s="258">
        <v>3000</v>
      </c>
      <c r="O833" s="266">
        <v>100</v>
      </c>
      <c r="P833" s="272">
        <v>1</v>
      </c>
      <c r="Q833" s="258">
        <v>3000</v>
      </c>
      <c r="R833" s="286">
        <v>3000</v>
      </c>
      <c r="S833" s="286">
        <v>808</v>
      </c>
      <c r="T833" s="288">
        <v>0</v>
      </c>
      <c r="U833" s="288">
        <v>0</v>
      </c>
      <c r="V833" s="288">
        <v>0</v>
      </c>
      <c r="W833" s="286">
        <v>2192</v>
      </c>
      <c r="X833" s="286">
        <v>0</v>
      </c>
      <c r="Y833" s="200" t="s">
        <v>1392</v>
      </c>
      <c r="Z833" s="517" t="s">
        <v>5166</v>
      </c>
      <c r="AA833" s="499"/>
      <c r="AB833" s="508"/>
    </row>
    <row r="834" spans="2:28" x14ac:dyDescent="0.15">
      <c r="B834" s="333" t="s">
        <v>4207</v>
      </c>
      <c r="C834" s="528">
        <v>43266</v>
      </c>
      <c r="D834" s="198" t="s">
        <v>4208</v>
      </c>
      <c r="E834" s="53" t="s">
        <v>1391</v>
      </c>
      <c r="F834" s="198" t="s">
        <v>3786</v>
      </c>
      <c r="G834" s="3" t="s">
        <v>364</v>
      </c>
      <c r="H834" s="53" t="s">
        <v>471</v>
      </c>
      <c r="I834" s="3" t="s">
        <v>1450</v>
      </c>
      <c r="J834" s="3" t="s">
        <v>262</v>
      </c>
      <c r="K834" s="3" t="s">
        <v>365</v>
      </c>
      <c r="L834" s="3" t="s">
        <v>1690</v>
      </c>
      <c r="M834" s="53" t="s">
        <v>4209</v>
      </c>
      <c r="N834" s="258">
        <v>260000</v>
      </c>
      <c r="O834" s="266">
        <v>60</v>
      </c>
      <c r="P834" s="272">
        <v>1</v>
      </c>
      <c r="Q834" s="258">
        <v>156000</v>
      </c>
      <c r="R834" s="286">
        <v>156000</v>
      </c>
      <c r="S834" s="286">
        <v>48180</v>
      </c>
      <c r="T834" s="288">
        <v>1</v>
      </c>
      <c r="U834" s="288">
        <v>0</v>
      </c>
      <c r="V834" s="288">
        <v>0</v>
      </c>
      <c r="W834" s="286">
        <v>0</v>
      </c>
      <c r="X834" s="286">
        <v>0</v>
      </c>
      <c r="Y834" s="200" t="s">
        <v>1395</v>
      </c>
      <c r="Z834" s="517" t="s">
        <v>5169</v>
      </c>
      <c r="AA834" s="499" t="s">
        <v>1485</v>
      </c>
      <c r="AB834" s="508"/>
    </row>
    <row r="835" spans="2:28" x14ac:dyDescent="0.15">
      <c r="B835" s="333" t="s">
        <v>4214</v>
      </c>
      <c r="C835" s="528">
        <v>43266</v>
      </c>
      <c r="D835" s="198" t="s">
        <v>4215</v>
      </c>
      <c r="E835" s="53" t="s">
        <v>1391</v>
      </c>
      <c r="F835" s="198" t="s">
        <v>3786</v>
      </c>
      <c r="G835" s="3" t="s">
        <v>364</v>
      </c>
      <c r="H835" s="53" t="s">
        <v>492</v>
      </c>
      <c r="I835" s="3" t="s">
        <v>1431</v>
      </c>
      <c r="J835" s="3" t="s">
        <v>273</v>
      </c>
      <c r="K835" s="3" t="s">
        <v>1161</v>
      </c>
      <c r="L835" s="3" t="s">
        <v>2089</v>
      </c>
      <c r="M835" s="53" t="s">
        <v>4216</v>
      </c>
      <c r="N835" s="258">
        <v>270000</v>
      </c>
      <c r="O835" s="266">
        <v>55</v>
      </c>
      <c r="P835" s="272">
        <v>1</v>
      </c>
      <c r="Q835" s="258">
        <v>148500</v>
      </c>
      <c r="R835" s="286">
        <v>148500</v>
      </c>
      <c r="S835" s="286">
        <v>45160</v>
      </c>
      <c r="T835" s="288">
        <v>0</v>
      </c>
      <c r="U835" s="288">
        <v>1</v>
      </c>
      <c r="V835" s="288">
        <v>0</v>
      </c>
      <c r="W835" s="286">
        <v>12150</v>
      </c>
      <c r="X835" s="286">
        <v>0</v>
      </c>
      <c r="Y835" s="200" t="s">
        <v>1392</v>
      </c>
      <c r="Z835" s="517" t="s">
        <v>5535</v>
      </c>
      <c r="AA835" s="499" t="s">
        <v>1485</v>
      </c>
      <c r="AB835" s="508"/>
    </row>
    <row r="836" spans="2:28" x14ac:dyDescent="0.15">
      <c r="B836" s="333" t="s">
        <v>4219</v>
      </c>
      <c r="C836" s="528">
        <v>43266</v>
      </c>
      <c r="D836" s="198" t="s">
        <v>4220</v>
      </c>
      <c r="E836" s="53" t="s">
        <v>1391</v>
      </c>
      <c r="F836" s="198" t="s">
        <v>3786</v>
      </c>
      <c r="G836" s="3" t="s">
        <v>364</v>
      </c>
      <c r="H836" s="53" t="s">
        <v>492</v>
      </c>
      <c r="I836" s="3" t="s">
        <v>1431</v>
      </c>
      <c r="J836" s="3" t="s">
        <v>297</v>
      </c>
      <c r="K836" s="3" t="s">
        <v>369</v>
      </c>
      <c r="L836" s="3" t="s">
        <v>1509</v>
      </c>
      <c r="M836" s="53"/>
      <c r="N836" s="258">
        <v>200</v>
      </c>
      <c r="O836" s="266">
        <v>50</v>
      </c>
      <c r="P836" s="272">
        <v>100</v>
      </c>
      <c r="Q836" s="258">
        <v>100</v>
      </c>
      <c r="R836" s="286">
        <v>10000</v>
      </c>
      <c r="S836" s="286">
        <v>5700</v>
      </c>
      <c r="T836" s="288">
        <v>0</v>
      </c>
      <c r="U836" s="288">
        <v>0</v>
      </c>
      <c r="V836" s="288">
        <v>0</v>
      </c>
      <c r="W836" s="286">
        <v>1500</v>
      </c>
      <c r="X836" s="286">
        <v>0</v>
      </c>
      <c r="Y836" s="200" t="s">
        <v>1392</v>
      </c>
      <c r="Z836" s="517" t="s">
        <v>5535</v>
      </c>
      <c r="AA836" s="499" t="s">
        <v>1485</v>
      </c>
      <c r="AB836" s="508"/>
    </row>
    <row r="837" spans="2:28" x14ac:dyDescent="0.15">
      <c r="B837" s="333" t="s">
        <v>4219</v>
      </c>
      <c r="C837" s="528">
        <v>43266</v>
      </c>
      <c r="D837" s="198" t="s">
        <v>4220</v>
      </c>
      <c r="E837" s="53" t="s">
        <v>1391</v>
      </c>
      <c r="F837" s="198" t="s">
        <v>3786</v>
      </c>
      <c r="G837" s="3" t="s">
        <v>364</v>
      </c>
      <c r="H837" s="53" t="s">
        <v>492</v>
      </c>
      <c r="I837" s="3" t="s">
        <v>1431</v>
      </c>
      <c r="J837" s="3" t="s">
        <v>297</v>
      </c>
      <c r="K837" s="3" t="s">
        <v>369</v>
      </c>
      <c r="L837" s="3" t="s">
        <v>4221</v>
      </c>
      <c r="M837" s="53"/>
      <c r="N837" s="258">
        <v>100</v>
      </c>
      <c r="O837" s="266">
        <v>50</v>
      </c>
      <c r="P837" s="272">
        <v>100</v>
      </c>
      <c r="Q837" s="258">
        <v>50</v>
      </c>
      <c r="R837" s="286">
        <v>5000</v>
      </c>
      <c r="S837" s="286">
        <v>2050</v>
      </c>
      <c r="T837" s="288">
        <v>0</v>
      </c>
      <c r="U837" s="288">
        <v>0</v>
      </c>
      <c r="V837" s="288">
        <v>0</v>
      </c>
      <c r="W837" s="286">
        <v>750</v>
      </c>
      <c r="X837" s="286">
        <v>0</v>
      </c>
      <c r="Y837" s="200" t="s">
        <v>1392</v>
      </c>
      <c r="Z837" s="517" t="s">
        <v>5167</v>
      </c>
      <c r="AA837" s="499" t="s">
        <v>1485</v>
      </c>
      <c r="AB837" s="508"/>
    </row>
    <row r="838" spans="2:28" x14ac:dyDescent="0.15">
      <c r="B838" s="333" t="s">
        <v>4222</v>
      </c>
      <c r="C838" s="528">
        <v>43266</v>
      </c>
      <c r="D838" s="198" t="s">
        <v>4223</v>
      </c>
      <c r="E838" s="53" t="s">
        <v>1391</v>
      </c>
      <c r="F838" s="198" t="s">
        <v>4154</v>
      </c>
      <c r="G838" s="3" t="s">
        <v>371</v>
      </c>
      <c r="H838" s="53" t="s">
        <v>383</v>
      </c>
      <c r="I838" s="3" t="s">
        <v>4114</v>
      </c>
      <c r="J838" s="3" t="s">
        <v>273</v>
      </c>
      <c r="K838" s="3" t="s">
        <v>1161</v>
      </c>
      <c r="L838" s="3" t="s">
        <v>4224</v>
      </c>
      <c r="M838" s="53" t="s">
        <v>4225</v>
      </c>
      <c r="N838" s="258">
        <v>220000</v>
      </c>
      <c r="O838" s="266">
        <v>100</v>
      </c>
      <c r="P838" s="272">
        <v>1</v>
      </c>
      <c r="Q838" s="258">
        <v>220000</v>
      </c>
      <c r="R838" s="286">
        <v>220000</v>
      </c>
      <c r="S838" s="286">
        <v>75420</v>
      </c>
      <c r="T838" s="288">
        <v>0</v>
      </c>
      <c r="U838" s="288">
        <v>1</v>
      </c>
      <c r="V838" s="288">
        <v>0</v>
      </c>
      <c r="W838" s="286">
        <v>25384</v>
      </c>
      <c r="X838" s="286">
        <v>0</v>
      </c>
      <c r="Y838" s="200" t="s">
        <v>1392</v>
      </c>
      <c r="Z838" s="517" t="s">
        <v>5543</v>
      </c>
      <c r="AA838" s="499" t="s">
        <v>1485</v>
      </c>
      <c r="AB838" s="508"/>
    </row>
    <row r="839" spans="2:28" x14ac:dyDescent="0.15">
      <c r="B839" s="333" t="s">
        <v>4226</v>
      </c>
      <c r="C839" s="528">
        <v>43266</v>
      </c>
      <c r="D839" s="198" t="s">
        <v>4227</v>
      </c>
      <c r="E839" s="53" t="s">
        <v>1391</v>
      </c>
      <c r="F839" s="198" t="s">
        <v>909</v>
      </c>
      <c r="G839" s="3" t="s">
        <v>1113</v>
      </c>
      <c r="H839" s="53"/>
      <c r="I839" s="3"/>
      <c r="J839" s="3" t="s">
        <v>298</v>
      </c>
      <c r="K839" s="3" t="s">
        <v>1168</v>
      </c>
      <c r="L839" s="3" t="s">
        <v>4228</v>
      </c>
      <c r="M839" s="53"/>
      <c r="N839" s="258">
        <v>8250</v>
      </c>
      <c r="O839" s="266">
        <v>100</v>
      </c>
      <c r="P839" s="272">
        <v>1</v>
      </c>
      <c r="Q839" s="258">
        <v>8250</v>
      </c>
      <c r="R839" s="286">
        <v>8250</v>
      </c>
      <c r="S839" s="286">
        <v>750</v>
      </c>
      <c r="T839" s="288">
        <v>0</v>
      </c>
      <c r="U839" s="288">
        <v>0</v>
      </c>
      <c r="V839" s="288">
        <v>0</v>
      </c>
      <c r="W839" s="286">
        <v>0</v>
      </c>
      <c r="X839" s="286">
        <v>0</v>
      </c>
      <c r="Y839" s="200" t="s">
        <v>1395</v>
      </c>
      <c r="Z839" s="517" t="s">
        <v>5532</v>
      </c>
      <c r="AA839" s="499" t="s">
        <v>1485</v>
      </c>
      <c r="AB839" s="508"/>
    </row>
    <row r="840" spans="2:28" x14ac:dyDescent="0.15">
      <c r="B840" s="333" t="s">
        <v>4226</v>
      </c>
      <c r="C840" s="528">
        <v>43266</v>
      </c>
      <c r="D840" s="198" t="s">
        <v>4227</v>
      </c>
      <c r="E840" s="53" t="s">
        <v>1391</v>
      </c>
      <c r="F840" s="198" t="s">
        <v>909</v>
      </c>
      <c r="G840" s="3" t="s">
        <v>1113</v>
      </c>
      <c r="H840" s="53"/>
      <c r="I840" s="3"/>
      <c r="J840" s="3"/>
      <c r="K840" s="3"/>
      <c r="L840" s="3" t="s">
        <v>1520</v>
      </c>
      <c r="M840" s="53"/>
      <c r="N840" s="258">
        <v>600</v>
      </c>
      <c r="O840" s="266">
        <v>100</v>
      </c>
      <c r="P840" s="272">
        <v>1</v>
      </c>
      <c r="Q840" s="258">
        <v>600</v>
      </c>
      <c r="R840" s="286">
        <v>600</v>
      </c>
      <c r="S840" s="286">
        <v>0</v>
      </c>
      <c r="T840" s="288">
        <v>0</v>
      </c>
      <c r="U840" s="288">
        <v>0</v>
      </c>
      <c r="V840" s="288">
        <v>0</v>
      </c>
      <c r="W840" s="286">
        <v>0</v>
      </c>
      <c r="X840" s="286">
        <v>0</v>
      </c>
      <c r="Y840" s="200" t="s">
        <v>4229</v>
      </c>
      <c r="Z840" s="517" t="s">
        <v>5532</v>
      </c>
      <c r="AA840" s="499" t="s">
        <v>1485</v>
      </c>
      <c r="AB840" s="508"/>
    </row>
    <row r="841" spans="2:28" x14ac:dyDescent="0.15">
      <c r="B841" s="333" t="s">
        <v>4230</v>
      </c>
      <c r="C841" s="528">
        <v>43266</v>
      </c>
      <c r="D841" s="198" t="s">
        <v>4231</v>
      </c>
      <c r="E841" s="53" t="s">
        <v>1391</v>
      </c>
      <c r="F841" s="198" t="s">
        <v>909</v>
      </c>
      <c r="G841" s="3" t="s">
        <v>1113</v>
      </c>
      <c r="H841" s="53"/>
      <c r="I841" s="3"/>
      <c r="J841" s="3" t="s">
        <v>298</v>
      </c>
      <c r="K841" s="3" t="s">
        <v>1168</v>
      </c>
      <c r="L841" s="3" t="s">
        <v>4232</v>
      </c>
      <c r="M841" s="53"/>
      <c r="N841" s="258">
        <v>12000</v>
      </c>
      <c r="O841" s="266">
        <v>100</v>
      </c>
      <c r="P841" s="272">
        <v>2</v>
      </c>
      <c r="Q841" s="258">
        <v>12000</v>
      </c>
      <c r="R841" s="286">
        <v>24000</v>
      </c>
      <c r="S841" s="286">
        <v>2400</v>
      </c>
      <c r="T841" s="288">
        <v>0</v>
      </c>
      <c r="U841" s="288">
        <v>0</v>
      </c>
      <c r="V841" s="288">
        <v>0</v>
      </c>
      <c r="W841" s="286">
        <v>0</v>
      </c>
      <c r="X841" s="286">
        <v>0</v>
      </c>
      <c r="Y841" s="200" t="s">
        <v>1395</v>
      </c>
      <c r="Z841" s="517" t="s">
        <v>5166</v>
      </c>
      <c r="AA841" s="499" t="s">
        <v>1485</v>
      </c>
      <c r="AB841" s="508"/>
    </row>
    <row r="842" spans="2:28" x14ac:dyDescent="0.15">
      <c r="B842" s="333" t="s">
        <v>4236</v>
      </c>
      <c r="C842" s="528">
        <v>43266</v>
      </c>
      <c r="D842" s="198" t="s">
        <v>4237</v>
      </c>
      <c r="E842" s="53" t="s">
        <v>1391</v>
      </c>
      <c r="F842" s="198" t="s">
        <v>4154</v>
      </c>
      <c r="G842" s="3" t="s">
        <v>371</v>
      </c>
      <c r="H842" s="53" t="s">
        <v>4233</v>
      </c>
      <c r="I842" s="3" t="s">
        <v>4234</v>
      </c>
      <c r="J842" s="3" t="s">
        <v>295</v>
      </c>
      <c r="K842" s="3" t="s">
        <v>1166</v>
      </c>
      <c r="L842" s="3" t="s">
        <v>4238</v>
      </c>
      <c r="M842" s="53"/>
      <c r="N842" s="258">
        <v>24000</v>
      </c>
      <c r="O842" s="266">
        <v>65</v>
      </c>
      <c r="P842" s="272">
        <v>1</v>
      </c>
      <c r="Q842" s="258">
        <v>15600</v>
      </c>
      <c r="R842" s="286">
        <v>15600</v>
      </c>
      <c r="S842" s="286">
        <v>4200</v>
      </c>
      <c r="T842" s="288">
        <v>0</v>
      </c>
      <c r="U842" s="288">
        <v>0</v>
      </c>
      <c r="V842" s="288">
        <v>0</v>
      </c>
      <c r="W842" s="286">
        <v>1800</v>
      </c>
      <c r="X842" s="286">
        <v>0</v>
      </c>
      <c r="Y842" s="200" t="s">
        <v>1392</v>
      </c>
      <c r="Z842" s="517" t="s">
        <v>5533</v>
      </c>
      <c r="AA842" s="499" t="s">
        <v>1485</v>
      </c>
      <c r="AB842" s="508"/>
    </row>
    <row r="843" spans="2:28" x14ac:dyDescent="0.15">
      <c r="B843" s="333" t="s">
        <v>4236</v>
      </c>
      <c r="C843" s="528">
        <v>43266</v>
      </c>
      <c r="D843" s="198" t="s">
        <v>4237</v>
      </c>
      <c r="E843" s="53" t="s">
        <v>1391</v>
      </c>
      <c r="F843" s="198" t="s">
        <v>4154</v>
      </c>
      <c r="G843" s="3" t="s">
        <v>371</v>
      </c>
      <c r="H843" s="53" t="s">
        <v>4233</v>
      </c>
      <c r="I843" s="3" t="s">
        <v>4234</v>
      </c>
      <c r="J843" s="3" t="s">
        <v>296</v>
      </c>
      <c r="K843" s="3" t="s">
        <v>1167</v>
      </c>
      <c r="L843" s="3" t="s">
        <v>4239</v>
      </c>
      <c r="M843" s="53"/>
      <c r="N843" s="258">
        <v>9000</v>
      </c>
      <c r="O843" s="266">
        <v>65</v>
      </c>
      <c r="P843" s="272">
        <v>1</v>
      </c>
      <c r="Q843" s="258">
        <v>5850</v>
      </c>
      <c r="R843" s="286">
        <v>5850</v>
      </c>
      <c r="S843" s="286">
        <v>1255</v>
      </c>
      <c r="T843" s="288">
        <v>0</v>
      </c>
      <c r="U843" s="288">
        <v>0</v>
      </c>
      <c r="V843" s="288">
        <v>0</v>
      </c>
      <c r="W843" s="286">
        <v>675</v>
      </c>
      <c r="X843" s="286">
        <v>0</v>
      </c>
      <c r="Y843" s="200" t="s">
        <v>1392</v>
      </c>
      <c r="Z843" s="517" t="s">
        <v>5533</v>
      </c>
      <c r="AA843" s="499" t="s">
        <v>1485</v>
      </c>
      <c r="AB843" s="508"/>
    </row>
    <row r="844" spans="2:28" x14ac:dyDescent="0.15">
      <c r="B844" s="333" t="s">
        <v>4240</v>
      </c>
      <c r="C844" s="528">
        <v>43266</v>
      </c>
      <c r="D844" s="198" t="s">
        <v>4241</v>
      </c>
      <c r="E844" s="53" t="s">
        <v>1391</v>
      </c>
      <c r="F844" s="198" t="s">
        <v>909</v>
      </c>
      <c r="G844" s="3" t="s">
        <v>1113</v>
      </c>
      <c r="H844" s="53"/>
      <c r="I844" s="3"/>
      <c r="J844" s="3" t="s">
        <v>298</v>
      </c>
      <c r="K844" s="3" t="s">
        <v>1168</v>
      </c>
      <c r="L844" s="3" t="s">
        <v>4242</v>
      </c>
      <c r="M844" s="53"/>
      <c r="N844" s="258">
        <v>18800</v>
      </c>
      <c r="O844" s="266">
        <v>100</v>
      </c>
      <c r="P844" s="272">
        <v>1</v>
      </c>
      <c r="Q844" s="258">
        <v>18800</v>
      </c>
      <c r="R844" s="286">
        <v>18800</v>
      </c>
      <c r="S844" s="286">
        <v>2300</v>
      </c>
      <c r="T844" s="288">
        <v>0</v>
      </c>
      <c r="U844" s="288">
        <v>0</v>
      </c>
      <c r="V844" s="288">
        <v>0</v>
      </c>
      <c r="W844" s="286">
        <v>0</v>
      </c>
      <c r="X844" s="286">
        <v>0</v>
      </c>
      <c r="Y844" s="200" t="s">
        <v>1395</v>
      </c>
      <c r="Z844" s="517" t="s">
        <v>5166</v>
      </c>
      <c r="AA844" s="499" t="s">
        <v>1485</v>
      </c>
      <c r="AB844" s="508"/>
    </row>
    <row r="845" spans="2:28" x14ac:dyDescent="0.15">
      <c r="B845" s="333" t="s">
        <v>4243</v>
      </c>
      <c r="C845" s="528">
        <v>43266</v>
      </c>
      <c r="D845" s="198" t="s">
        <v>4244</v>
      </c>
      <c r="E845" s="53" t="s">
        <v>1391</v>
      </c>
      <c r="F845" s="198" t="s">
        <v>3783</v>
      </c>
      <c r="G845" s="3" t="s">
        <v>362</v>
      </c>
      <c r="H845" s="53" t="s">
        <v>692</v>
      </c>
      <c r="I845" s="3" t="s">
        <v>1397</v>
      </c>
      <c r="J845" s="3" t="s">
        <v>273</v>
      </c>
      <c r="K845" s="3" t="s">
        <v>1161</v>
      </c>
      <c r="L845" s="3" t="s">
        <v>4245</v>
      </c>
      <c r="M845" s="53" t="s">
        <v>4246</v>
      </c>
      <c r="N845" s="258">
        <v>315000</v>
      </c>
      <c r="O845" s="266">
        <v>50</v>
      </c>
      <c r="P845" s="272">
        <v>1</v>
      </c>
      <c r="Q845" s="258">
        <v>157500</v>
      </c>
      <c r="R845" s="286">
        <v>157500</v>
      </c>
      <c r="S845" s="286">
        <v>51260</v>
      </c>
      <c r="T845" s="288">
        <v>1</v>
      </c>
      <c r="U845" s="288">
        <v>0</v>
      </c>
      <c r="V845" s="288">
        <v>0</v>
      </c>
      <c r="W845" s="286">
        <v>0</v>
      </c>
      <c r="X845" s="286">
        <v>0</v>
      </c>
      <c r="Y845" s="200" t="s">
        <v>1395</v>
      </c>
      <c r="Z845" s="517" t="s">
        <v>5166</v>
      </c>
      <c r="AA845" s="499" t="s">
        <v>1485</v>
      </c>
      <c r="AB845" s="508"/>
    </row>
    <row r="846" spans="2:28" x14ac:dyDescent="0.15">
      <c r="B846" s="333" t="s">
        <v>4247</v>
      </c>
      <c r="C846" s="528">
        <v>43266</v>
      </c>
      <c r="D846" s="198" t="s">
        <v>4248</v>
      </c>
      <c r="E846" s="53" t="s">
        <v>1391</v>
      </c>
      <c r="F846" s="198" t="s">
        <v>3783</v>
      </c>
      <c r="G846" s="3" t="s">
        <v>362</v>
      </c>
      <c r="H846" s="53" t="s">
        <v>692</v>
      </c>
      <c r="I846" s="3" t="s">
        <v>1397</v>
      </c>
      <c r="J846" s="3" t="s">
        <v>1402</v>
      </c>
      <c r="K846" s="3" t="s">
        <v>1403</v>
      </c>
      <c r="L846" s="3" t="s">
        <v>4249</v>
      </c>
      <c r="M846" s="53" t="s">
        <v>4250</v>
      </c>
      <c r="N846" s="258">
        <v>260000</v>
      </c>
      <c r="O846" s="266">
        <v>50</v>
      </c>
      <c r="P846" s="272">
        <v>1</v>
      </c>
      <c r="Q846" s="258">
        <v>130000</v>
      </c>
      <c r="R846" s="286">
        <v>130000</v>
      </c>
      <c r="S846" s="286">
        <v>24972</v>
      </c>
      <c r="T846" s="288">
        <v>1</v>
      </c>
      <c r="U846" s="288">
        <v>0</v>
      </c>
      <c r="V846" s="288">
        <v>0</v>
      </c>
      <c r="W846" s="286">
        <v>0</v>
      </c>
      <c r="X846" s="286">
        <v>0</v>
      </c>
      <c r="Y846" s="200" t="s">
        <v>1395</v>
      </c>
      <c r="Z846" s="517" t="s">
        <v>5166</v>
      </c>
      <c r="AA846" s="499" t="s">
        <v>1485</v>
      </c>
      <c r="AB846" s="508"/>
    </row>
    <row r="847" spans="2:28" x14ac:dyDescent="0.15">
      <c r="B847" s="333" t="s">
        <v>4251</v>
      </c>
      <c r="C847" s="528">
        <v>43266</v>
      </c>
      <c r="D847" s="198" t="s">
        <v>4252</v>
      </c>
      <c r="E847" s="53" t="s">
        <v>1391</v>
      </c>
      <c r="F847" s="198" t="s">
        <v>3783</v>
      </c>
      <c r="G847" s="3" t="s">
        <v>362</v>
      </c>
      <c r="H847" s="53" t="s">
        <v>692</v>
      </c>
      <c r="I847" s="3" t="s">
        <v>1397</v>
      </c>
      <c r="J847" s="3" t="s">
        <v>261</v>
      </c>
      <c r="K847" s="3" t="s">
        <v>1153</v>
      </c>
      <c r="L847" s="3" t="s">
        <v>4253</v>
      </c>
      <c r="M847" s="53" t="s">
        <v>4254</v>
      </c>
      <c r="N847" s="258">
        <v>260000</v>
      </c>
      <c r="O847" s="266">
        <v>50</v>
      </c>
      <c r="P847" s="272">
        <v>1</v>
      </c>
      <c r="Q847" s="258">
        <v>130000</v>
      </c>
      <c r="R847" s="286">
        <v>130000</v>
      </c>
      <c r="S847" s="286">
        <v>30229</v>
      </c>
      <c r="T847" s="288">
        <v>1</v>
      </c>
      <c r="U847" s="288">
        <v>0</v>
      </c>
      <c r="V847" s="288">
        <v>0</v>
      </c>
      <c r="W847" s="286">
        <v>0</v>
      </c>
      <c r="X847" s="286">
        <v>0</v>
      </c>
      <c r="Y847" s="200" t="s">
        <v>1395</v>
      </c>
      <c r="Z847" s="517" t="s">
        <v>5166</v>
      </c>
      <c r="AA847" s="499" t="s">
        <v>1485</v>
      </c>
      <c r="AB847" s="508"/>
    </row>
    <row r="848" spans="2:28" x14ac:dyDescent="0.15">
      <c r="B848" s="333" t="s">
        <v>4255</v>
      </c>
      <c r="C848" s="528">
        <v>43269</v>
      </c>
      <c r="D848" s="198" t="s">
        <v>4256</v>
      </c>
      <c r="E848" s="53" t="s">
        <v>1391</v>
      </c>
      <c r="F848" s="198" t="s">
        <v>3786</v>
      </c>
      <c r="G848" s="3" t="s">
        <v>364</v>
      </c>
      <c r="H848" s="53" t="s">
        <v>492</v>
      </c>
      <c r="I848" s="3" t="s">
        <v>1431</v>
      </c>
      <c r="J848" s="3" t="s">
        <v>270</v>
      </c>
      <c r="K848" s="3" t="s">
        <v>539</v>
      </c>
      <c r="L848" s="3" t="s">
        <v>2343</v>
      </c>
      <c r="M848" s="53" t="s">
        <v>4257</v>
      </c>
      <c r="N848" s="258">
        <v>328000</v>
      </c>
      <c r="O848" s="266">
        <v>55</v>
      </c>
      <c r="P848" s="272">
        <v>1</v>
      </c>
      <c r="Q848" s="258">
        <v>180400</v>
      </c>
      <c r="R848" s="286">
        <v>180400</v>
      </c>
      <c r="S848" s="286">
        <v>49859</v>
      </c>
      <c r="T848" s="288">
        <v>0</v>
      </c>
      <c r="U848" s="288">
        <v>1</v>
      </c>
      <c r="V848" s="288">
        <v>0</v>
      </c>
      <c r="W848" s="286">
        <v>14760</v>
      </c>
      <c r="X848" s="286">
        <v>0</v>
      </c>
      <c r="Y848" s="200" t="s">
        <v>1392</v>
      </c>
      <c r="Z848" s="517" t="s">
        <v>5167</v>
      </c>
      <c r="AA848" s="499" t="s">
        <v>1485</v>
      </c>
      <c r="AB848" s="508"/>
    </row>
    <row r="849" spans="2:28" x14ac:dyDescent="0.15">
      <c r="B849" s="333" t="s">
        <v>4171</v>
      </c>
      <c r="C849" s="528">
        <v>43270</v>
      </c>
      <c r="D849" s="198" t="s">
        <v>4172</v>
      </c>
      <c r="E849" s="53" t="s">
        <v>2382</v>
      </c>
      <c r="F849" s="198" t="s">
        <v>3842</v>
      </c>
      <c r="G849" s="3" t="s">
        <v>2375</v>
      </c>
      <c r="H849" s="53"/>
      <c r="I849" s="3" t="s">
        <v>4264</v>
      </c>
      <c r="J849" s="3" t="s">
        <v>271</v>
      </c>
      <c r="K849" s="3" t="s">
        <v>1160</v>
      </c>
      <c r="L849" s="3" t="s">
        <v>4265</v>
      </c>
      <c r="M849" s="53" t="s">
        <v>4266</v>
      </c>
      <c r="N849" s="258">
        <v>185140</v>
      </c>
      <c r="O849" s="266">
        <v>100</v>
      </c>
      <c r="P849" s="272">
        <v>1</v>
      </c>
      <c r="Q849" s="258">
        <v>185140</v>
      </c>
      <c r="R849" s="286">
        <v>185140</v>
      </c>
      <c r="S849" s="286">
        <v>32006</v>
      </c>
      <c r="T849" s="288">
        <v>0</v>
      </c>
      <c r="U849" s="288">
        <v>0</v>
      </c>
      <c r="V849" s="288">
        <v>0</v>
      </c>
      <c r="W849" s="286">
        <v>0</v>
      </c>
      <c r="X849" s="286">
        <v>0</v>
      </c>
      <c r="Y849" s="200" t="s">
        <v>1395</v>
      </c>
      <c r="Z849" s="517" t="s">
        <v>5451</v>
      </c>
      <c r="AA849" s="499"/>
      <c r="AB849" s="508"/>
    </row>
    <row r="850" spans="2:28" x14ac:dyDescent="0.15">
      <c r="B850" s="333" t="s">
        <v>4175</v>
      </c>
      <c r="C850" s="528">
        <v>43270</v>
      </c>
      <c r="D850" s="198" t="s">
        <v>4176</v>
      </c>
      <c r="E850" s="53" t="s">
        <v>1391</v>
      </c>
      <c r="F850" s="198" t="s">
        <v>3783</v>
      </c>
      <c r="G850" s="3" t="s">
        <v>362</v>
      </c>
      <c r="H850" s="53" t="s">
        <v>692</v>
      </c>
      <c r="I850" s="3" t="s">
        <v>1397</v>
      </c>
      <c r="J850" s="3" t="s">
        <v>268</v>
      </c>
      <c r="K850" s="3" t="s">
        <v>1158</v>
      </c>
      <c r="L850" s="3" t="s">
        <v>4267</v>
      </c>
      <c r="M850" s="53" t="s">
        <v>4268</v>
      </c>
      <c r="N850" s="258">
        <v>300000</v>
      </c>
      <c r="O850" s="266">
        <v>50</v>
      </c>
      <c r="P850" s="272">
        <v>1</v>
      </c>
      <c r="Q850" s="258">
        <v>150000</v>
      </c>
      <c r="R850" s="286">
        <v>150000</v>
      </c>
      <c r="S850" s="286">
        <v>41409</v>
      </c>
      <c r="T850" s="288">
        <v>1</v>
      </c>
      <c r="U850" s="288">
        <v>0</v>
      </c>
      <c r="V850" s="288">
        <v>0</v>
      </c>
      <c r="W850" s="286">
        <v>0</v>
      </c>
      <c r="X850" s="286">
        <v>0</v>
      </c>
      <c r="Y850" s="200" t="s">
        <v>1395</v>
      </c>
      <c r="Z850" s="517" t="s">
        <v>5532</v>
      </c>
      <c r="AA850" s="499" t="s">
        <v>1485</v>
      </c>
      <c r="AB850" s="508"/>
    </row>
    <row r="851" spans="2:28" x14ac:dyDescent="0.15">
      <c r="B851" s="333" t="s">
        <v>4179</v>
      </c>
      <c r="C851" s="528">
        <v>43270</v>
      </c>
      <c r="D851" s="198" t="s">
        <v>4180</v>
      </c>
      <c r="E851" s="53" t="s">
        <v>1391</v>
      </c>
      <c r="F851" s="198" t="s">
        <v>3783</v>
      </c>
      <c r="G851" s="3" t="s">
        <v>362</v>
      </c>
      <c r="H851" s="53" t="s">
        <v>692</v>
      </c>
      <c r="I851" s="3" t="s">
        <v>1397</v>
      </c>
      <c r="J851" s="3" t="s">
        <v>273</v>
      </c>
      <c r="K851" s="3" t="s">
        <v>1161</v>
      </c>
      <c r="L851" s="3" t="s">
        <v>4269</v>
      </c>
      <c r="M851" s="53" t="s">
        <v>4270</v>
      </c>
      <c r="N851" s="258">
        <v>300000</v>
      </c>
      <c r="O851" s="266">
        <v>50</v>
      </c>
      <c r="P851" s="272">
        <v>1</v>
      </c>
      <c r="Q851" s="258">
        <v>150000</v>
      </c>
      <c r="R851" s="286">
        <v>150000</v>
      </c>
      <c r="S851" s="286">
        <v>44548</v>
      </c>
      <c r="T851" s="288">
        <v>1</v>
      </c>
      <c r="U851" s="288">
        <v>0</v>
      </c>
      <c r="V851" s="288">
        <v>0</v>
      </c>
      <c r="W851" s="286">
        <v>0</v>
      </c>
      <c r="X851" s="286">
        <v>0</v>
      </c>
      <c r="Y851" s="200" t="s">
        <v>1395</v>
      </c>
      <c r="Z851" s="517" t="s">
        <v>5166</v>
      </c>
      <c r="AA851" s="499" t="s">
        <v>1485</v>
      </c>
      <c r="AB851" s="508"/>
    </row>
    <row r="852" spans="2:28" x14ac:dyDescent="0.15">
      <c r="B852" s="333" t="s">
        <v>4182</v>
      </c>
      <c r="C852" s="528">
        <v>43270</v>
      </c>
      <c r="D852" s="198" t="s">
        <v>4183</v>
      </c>
      <c r="E852" s="53" t="s">
        <v>1391</v>
      </c>
      <c r="F852" s="198" t="s">
        <v>3783</v>
      </c>
      <c r="G852" s="3" t="s">
        <v>362</v>
      </c>
      <c r="H852" s="53" t="s">
        <v>692</v>
      </c>
      <c r="I852" s="3" t="s">
        <v>1397</v>
      </c>
      <c r="J852" s="3" t="s">
        <v>273</v>
      </c>
      <c r="K852" s="3" t="s">
        <v>1161</v>
      </c>
      <c r="L852" s="3" t="s">
        <v>4271</v>
      </c>
      <c r="M852" s="53" t="s">
        <v>4272</v>
      </c>
      <c r="N852" s="258">
        <v>300000</v>
      </c>
      <c r="O852" s="266">
        <v>50</v>
      </c>
      <c r="P852" s="272">
        <v>1</v>
      </c>
      <c r="Q852" s="258">
        <v>150000</v>
      </c>
      <c r="R852" s="286">
        <v>150000</v>
      </c>
      <c r="S852" s="286">
        <v>43548</v>
      </c>
      <c r="T852" s="288">
        <v>1</v>
      </c>
      <c r="U852" s="288">
        <v>0</v>
      </c>
      <c r="V852" s="288">
        <v>0</v>
      </c>
      <c r="W852" s="286">
        <v>0</v>
      </c>
      <c r="X852" s="286">
        <v>0</v>
      </c>
      <c r="Y852" s="200" t="s">
        <v>1395</v>
      </c>
      <c r="Z852" s="517" t="s">
        <v>5532</v>
      </c>
      <c r="AA852" s="499" t="s">
        <v>1485</v>
      </c>
      <c r="AB852" s="508"/>
    </row>
    <row r="853" spans="2:28" x14ac:dyDescent="0.15">
      <c r="B853" s="333" t="s">
        <v>4185</v>
      </c>
      <c r="C853" s="528">
        <v>43270</v>
      </c>
      <c r="D853" s="198" t="s">
        <v>4186</v>
      </c>
      <c r="E853" s="53" t="s">
        <v>1391</v>
      </c>
      <c r="F853" s="198" t="s">
        <v>3783</v>
      </c>
      <c r="G853" s="3" t="s">
        <v>362</v>
      </c>
      <c r="H853" s="53" t="s">
        <v>692</v>
      </c>
      <c r="I853" s="3" t="s">
        <v>1397</v>
      </c>
      <c r="J853" s="3" t="s">
        <v>261</v>
      </c>
      <c r="K853" s="3" t="s">
        <v>1153</v>
      </c>
      <c r="L853" s="3" t="s">
        <v>4273</v>
      </c>
      <c r="M853" s="53" t="s">
        <v>4274</v>
      </c>
      <c r="N853" s="258">
        <v>260000</v>
      </c>
      <c r="O853" s="266">
        <v>50</v>
      </c>
      <c r="P853" s="272">
        <v>1</v>
      </c>
      <c r="Q853" s="258">
        <v>130000</v>
      </c>
      <c r="R853" s="286">
        <v>130000</v>
      </c>
      <c r="S853" s="286">
        <v>30299</v>
      </c>
      <c r="T853" s="288">
        <v>1</v>
      </c>
      <c r="U853" s="288">
        <v>0</v>
      </c>
      <c r="V853" s="288">
        <v>0</v>
      </c>
      <c r="W853" s="286">
        <v>0</v>
      </c>
      <c r="X853" s="286">
        <v>0</v>
      </c>
      <c r="Y853" s="200" t="s">
        <v>1395</v>
      </c>
      <c r="Z853" s="517" t="s">
        <v>5166</v>
      </c>
      <c r="AA853" s="499" t="s">
        <v>1485</v>
      </c>
      <c r="AB853" s="508"/>
    </row>
    <row r="854" spans="2:28" x14ac:dyDescent="0.15">
      <c r="B854" s="333" t="s">
        <v>4188</v>
      </c>
      <c r="C854" s="528">
        <v>43271</v>
      </c>
      <c r="D854" s="198" t="s">
        <v>4189</v>
      </c>
      <c r="E854" s="53" t="s">
        <v>1396</v>
      </c>
      <c r="F854" s="198" t="s">
        <v>21</v>
      </c>
      <c r="G854" s="3" t="s">
        <v>50</v>
      </c>
      <c r="H854" s="53" t="s">
        <v>1434</v>
      </c>
      <c r="I854" s="3" t="s">
        <v>1435</v>
      </c>
      <c r="J854" s="3" t="s">
        <v>271</v>
      </c>
      <c r="K854" s="3" t="s">
        <v>1160</v>
      </c>
      <c r="L854" s="3" t="s">
        <v>1964</v>
      </c>
      <c r="M854" s="53" t="s">
        <v>4118</v>
      </c>
      <c r="N854" s="258">
        <v>225000</v>
      </c>
      <c r="O854" s="266">
        <v>100</v>
      </c>
      <c r="P854" s="272">
        <v>-1</v>
      </c>
      <c r="Q854" s="258">
        <v>225000</v>
      </c>
      <c r="R854" s="286">
        <v>-225000</v>
      </c>
      <c r="S854" s="286">
        <v>-72425</v>
      </c>
      <c r="T854" s="288">
        <v>0</v>
      </c>
      <c r="U854" s="288">
        <v>-1</v>
      </c>
      <c r="V854" s="288">
        <v>0</v>
      </c>
      <c r="W854" s="286">
        <v>-25961</v>
      </c>
      <c r="X854" s="286">
        <v>0</v>
      </c>
      <c r="Y854" s="200" t="s">
        <v>1392</v>
      </c>
      <c r="Z854" s="517" t="s">
        <v>5549</v>
      </c>
      <c r="AA854" s="499" t="s">
        <v>1485</v>
      </c>
      <c r="AB854" s="508"/>
    </row>
    <row r="855" spans="2:28" x14ac:dyDescent="0.15">
      <c r="B855" s="333" t="s">
        <v>4196</v>
      </c>
      <c r="C855" s="528">
        <v>43271</v>
      </c>
      <c r="D855" s="198" t="s">
        <v>4197</v>
      </c>
      <c r="E855" s="53" t="s">
        <v>1391</v>
      </c>
      <c r="F855" s="198" t="s">
        <v>3783</v>
      </c>
      <c r="G855" s="3" t="s">
        <v>362</v>
      </c>
      <c r="H855" s="53" t="s">
        <v>692</v>
      </c>
      <c r="I855" s="3" t="s">
        <v>1397</v>
      </c>
      <c r="J855" s="3" t="s">
        <v>268</v>
      </c>
      <c r="K855" s="3" t="s">
        <v>1158</v>
      </c>
      <c r="L855" s="3" t="s">
        <v>4275</v>
      </c>
      <c r="M855" s="53" t="s">
        <v>4276</v>
      </c>
      <c r="N855" s="258">
        <v>300000</v>
      </c>
      <c r="O855" s="266">
        <v>50</v>
      </c>
      <c r="P855" s="272">
        <v>1</v>
      </c>
      <c r="Q855" s="258">
        <v>150000</v>
      </c>
      <c r="R855" s="286">
        <v>150000</v>
      </c>
      <c r="S855" s="286">
        <v>40409</v>
      </c>
      <c r="T855" s="288">
        <v>1</v>
      </c>
      <c r="U855" s="288">
        <v>0</v>
      </c>
      <c r="V855" s="288">
        <v>0</v>
      </c>
      <c r="W855" s="286">
        <v>0</v>
      </c>
      <c r="X855" s="286">
        <v>0</v>
      </c>
      <c r="Y855" s="200" t="s">
        <v>1395</v>
      </c>
      <c r="Z855" s="517" t="s">
        <v>5166</v>
      </c>
      <c r="AA855" s="499" t="s">
        <v>1485</v>
      </c>
      <c r="AB855" s="508"/>
    </row>
    <row r="856" spans="2:28" x14ac:dyDescent="0.15">
      <c r="B856" s="333" t="s">
        <v>4200</v>
      </c>
      <c r="C856" s="528">
        <v>43271</v>
      </c>
      <c r="D856" s="198" t="s">
        <v>4201</v>
      </c>
      <c r="E856" s="53" t="s">
        <v>1391</v>
      </c>
      <c r="F856" s="198" t="s">
        <v>3783</v>
      </c>
      <c r="G856" s="3" t="s">
        <v>362</v>
      </c>
      <c r="H856" s="53" t="s">
        <v>692</v>
      </c>
      <c r="I856" s="3" t="s">
        <v>1397</v>
      </c>
      <c r="J856" s="3" t="s">
        <v>261</v>
      </c>
      <c r="K856" s="3" t="s">
        <v>1153</v>
      </c>
      <c r="L856" s="3" t="s">
        <v>4278</v>
      </c>
      <c r="M856" s="53" t="s">
        <v>4279</v>
      </c>
      <c r="N856" s="258">
        <v>260000</v>
      </c>
      <c r="O856" s="266">
        <v>50</v>
      </c>
      <c r="P856" s="272">
        <v>1</v>
      </c>
      <c r="Q856" s="258">
        <v>130000</v>
      </c>
      <c r="R856" s="286">
        <v>130000</v>
      </c>
      <c r="S856" s="286">
        <v>29299</v>
      </c>
      <c r="T856" s="288">
        <v>1</v>
      </c>
      <c r="U856" s="288">
        <v>0</v>
      </c>
      <c r="V856" s="288">
        <v>0</v>
      </c>
      <c r="W856" s="286">
        <v>0</v>
      </c>
      <c r="X856" s="286">
        <v>0</v>
      </c>
      <c r="Y856" s="200" t="s">
        <v>1395</v>
      </c>
      <c r="Z856" s="517" t="s">
        <v>5166</v>
      </c>
      <c r="AA856" s="499" t="s">
        <v>1485</v>
      </c>
      <c r="AB856" s="508"/>
    </row>
    <row r="857" spans="2:28" x14ac:dyDescent="0.15">
      <c r="B857" s="333" t="s">
        <v>4203</v>
      </c>
      <c r="C857" s="528">
        <v>43271</v>
      </c>
      <c r="D857" s="198" t="s">
        <v>4204</v>
      </c>
      <c r="E857" s="53" t="s">
        <v>1391</v>
      </c>
      <c r="F857" s="198" t="s">
        <v>3786</v>
      </c>
      <c r="G857" s="3" t="s">
        <v>364</v>
      </c>
      <c r="H857" s="53" t="s">
        <v>420</v>
      </c>
      <c r="I857" s="3" t="s">
        <v>3509</v>
      </c>
      <c r="J857" s="3" t="s">
        <v>262</v>
      </c>
      <c r="K857" s="3" t="s">
        <v>365</v>
      </c>
      <c r="L857" s="197" t="s">
        <v>4282</v>
      </c>
      <c r="M857" s="53" t="s">
        <v>4280</v>
      </c>
      <c r="N857" s="258">
        <v>270000</v>
      </c>
      <c r="O857" s="266">
        <v>60</v>
      </c>
      <c r="P857" s="272">
        <v>1</v>
      </c>
      <c r="Q857" s="258">
        <v>162000</v>
      </c>
      <c r="R857" s="286">
        <v>162000</v>
      </c>
      <c r="S857" s="286">
        <v>48780</v>
      </c>
      <c r="T857" s="288">
        <v>0</v>
      </c>
      <c r="U857" s="288">
        <v>1</v>
      </c>
      <c r="V857" s="288">
        <v>0</v>
      </c>
      <c r="W857" s="286">
        <v>16200</v>
      </c>
      <c r="X857" s="286">
        <v>0</v>
      </c>
      <c r="Y857" s="200" t="s">
        <v>1392</v>
      </c>
      <c r="Z857" s="517" t="s">
        <v>5166</v>
      </c>
      <c r="AA857" s="499" t="s">
        <v>1485</v>
      </c>
      <c r="AB857" s="508"/>
    </row>
    <row r="858" spans="2:28" x14ac:dyDescent="0.15">
      <c r="B858" s="333" t="s">
        <v>4207</v>
      </c>
      <c r="C858" s="528">
        <v>43271</v>
      </c>
      <c r="D858" s="198" t="s">
        <v>4208</v>
      </c>
      <c r="E858" s="53" t="s">
        <v>1391</v>
      </c>
      <c r="F858" s="198" t="s">
        <v>3786</v>
      </c>
      <c r="G858" s="3" t="s">
        <v>364</v>
      </c>
      <c r="H858" s="53" t="s">
        <v>420</v>
      </c>
      <c r="I858" s="3" t="s">
        <v>3509</v>
      </c>
      <c r="J858" s="3" t="s">
        <v>265</v>
      </c>
      <c r="K858" s="3" t="s">
        <v>1155</v>
      </c>
      <c r="L858" s="3" t="s">
        <v>1743</v>
      </c>
      <c r="M858" s="53" t="s">
        <v>4281</v>
      </c>
      <c r="N858" s="258">
        <v>395000</v>
      </c>
      <c r="O858" s="266">
        <v>55</v>
      </c>
      <c r="P858" s="272">
        <v>1</v>
      </c>
      <c r="Q858" s="258">
        <v>217250</v>
      </c>
      <c r="R858" s="286">
        <v>217250</v>
      </c>
      <c r="S858" s="286">
        <v>61735</v>
      </c>
      <c r="T858" s="288">
        <v>0</v>
      </c>
      <c r="U858" s="288">
        <v>1</v>
      </c>
      <c r="V858" s="288">
        <v>0</v>
      </c>
      <c r="W858" s="286">
        <v>17775</v>
      </c>
      <c r="X858" s="286">
        <v>0</v>
      </c>
      <c r="Y858" s="200" t="s">
        <v>1392</v>
      </c>
      <c r="Z858" s="517" t="s">
        <v>5542</v>
      </c>
      <c r="AA858" s="499" t="s">
        <v>1485</v>
      </c>
      <c r="AB858" s="508"/>
    </row>
    <row r="859" spans="2:28" x14ac:dyDescent="0.15">
      <c r="B859" s="333" t="s">
        <v>4210</v>
      </c>
      <c r="C859" s="528">
        <v>43271</v>
      </c>
      <c r="D859" s="198" t="s">
        <v>4283</v>
      </c>
      <c r="E859" s="53" t="s">
        <v>1391</v>
      </c>
      <c r="F859" s="198" t="s">
        <v>3786</v>
      </c>
      <c r="G859" s="3" t="s">
        <v>364</v>
      </c>
      <c r="H859" s="53" t="s">
        <v>420</v>
      </c>
      <c r="I859" s="3" t="s">
        <v>3509</v>
      </c>
      <c r="J859" s="3" t="s">
        <v>270</v>
      </c>
      <c r="K859" s="3" t="s">
        <v>539</v>
      </c>
      <c r="L859" s="3" t="s">
        <v>4258</v>
      </c>
      <c r="M859" s="53" t="s">
        <v>4259</v>
      </c>
      <c r="N859" s="258">
        <v>328000</v>
      </c>
      <c r="O859" s="266">
        <v>55</v>
      </c>
      <c r="P859" s="272">
        <v>1</v>
      </c>
      <c r="Q859" s="258">
        <v>180400</v>
      </c>
      <c r="R859" s="286">
        <v>180400</v>
      </c>
      <c r="S859" s="286">
        <v>46347</v>
      </c>
      <c r="T859" s="288">
        <v>0</v>
      </c>
      <c r="U859" s="288">
        <v>1</v>
      </c>
      <c r="V859" s="288">
        <v>0</v>
      </c>
      <c r="W859" s="286">
        <v>14760</v>
      </c>
      <c r="X859" s="286">
        <v>0</v>
      </c>
      <c r="Y859" s="200" t="s">
        <v>1392</v>
      </c>
      <c r="Z859" s="517" t="s">
        <v>5166</v>
      </c>
      <c r="AA859" s="499" t="s">
        <v>1485</v>
      </c>
      <c r="AB859" s="508"/>
    </row>
    <row r="860" spans="2:28" x14ac:dyDescent="0.15">
      <c r="B860" s="333" t="s">
        <v>4212</v>
      </c>
      <c r="C860" s="528">
        <v>43271</v>
      </c>
      <c r="D860" s="198" t="s">
        <v>4284</v>
      </c>
      <c r="E860" s="53" t="s">
        <v>1391</v>
      </c>
      <c r="F860" s="198" t="s">
        <v>3786</v>
      </c>
      <c r="G860" s="3" t="s">
        <v>364</v>
      </c>
      <c r="H860" s="53" t="s">
        <v>478</v>
      </c>
      <c r="I860" s="3" t="s">
        <v>4285</v>
      </c>
      <c r="J860" s="3" t="s">
        <v>268</v>
      </c>
      <c r="K860" s="3" t="s">
        <v>1158</v>
      </c>
      <c r="L860" s="3" t="s">
        <v>4173</v>
      </c>
      <c r="M860" s="53" t="s">
        <v>4286</v>
      </c>
      <c r="N860" s="258">
        <v>130000</v>
      </c>
      <c r="O860" s="266">
        <v>100</v>
      </c>
      <c r="P860" s="272">
        <v>1</v>
      </c>
      <c r="Q860" s="258">
        <v>130000</v>
      </c>
      <c r="R860" s="286">
        <v>130000</v>
      </c>
      <c r="S860" s="286">
        <v>41796</v>
      </c>
      <c r="T860" s="288">
        <v>0</v>
      </c>
      <c r="U860" s="288">
        <v>1</v>
      </c>
      <c r="V860" s="288">
        <v>0</v>
      </c>
      <c r="W860" s="286">
        <v>15000</v>
      </c>
      <c r="X860" s="286">
        <v>0</v>
      </c>
      <c r="Y860" s="200" t="s">
        <v>1392</v>
      </c>
      <c r="Z860" s="517" t="s">
        <v>5449</v>
      </c>
      <c r="AA860" s="499" t="s">
        <v>1485</v>
      </c>
      <c r="AB860" s="508"/>
    </row>
    <row r="861" spans="2:28" x14ac:dyDescent="0.15">
      <c r="B861" s="333" t="s">
        <v>4212</v>
      </c>
      <c r="C861" s="528">
        <v>43271</v>
      </c>
      <c r="D861" s="198" t="s">
        <v>4284</v>
      </c>
      <c r="E861" s="53" t="s">
        <v>1391</v>
      </c>
      <c r="F861" s="198" t="s">
        <v>3786</v>
      </c>
      <c r="G861" s="3" t="s">
        <v>364</v>
      </c>
      <c r="H861" s="53" t="s">
        <v>478</v>
      </c>
      <c r="I861" s="3" t="s">
        <v>4285</v>
      </c>
      <c r="J861" s="3" t="s">
        <v>268</v>
      </c>
      <c r="K861" s="3" t="s">
        <v>1158</v>
      </c>
      <c r="L861" s="3" t="s">
        <v>4277</v>
      </c>
      <c r="M861" s="53" t="s">
        <v>4287</v>
      </c>
      <c r="N861" s="258">
        <v>130000</v>
      </c>
      <c r="O861" s="266">
        <v>100</v>
      </c>
      <c r="P861" s="272">
        <v>1</v>
      </c>
      <c r="Q861" s="258">
        <v>130000</v>
      </c>
      <c r="R861" s="286">
        <v>130000</v>
      </c>
      <c r="S861" s="286">
        <v>41796</v>
      </c>
      <c r="T861" s="288">
        <v>0</v>
      </c>
      <c r="U861" s="288">
        <v>1</v>
      </c>
      <c r="V861" s="288">
        <v>0</v>
      </c>
      <c r="W861" s="286">
        <v>15000</v>
      </c>
      <c r="X861" s="286">
        <v>0</v>
      </c>
      <c r="Y861" s="200" t="s">
        <v>1392</v>
      </c>
      <c r="Z861" s="517" t="s">
        <v>5449</v>
      </c>
      <c r="AA861" s="499" t="s">
        <v>1485</v>
      </c>
      <c r="AB861" s="508"/>
    </row>
    <row r="862" spans="2:28" x14ac:dyDescent="0.15">
      <c r="B862" s="333" t="s">
        <v>4243</v>
      </c>
      <c r="C862" s="528">
        <v>43271</v>
      </c>
      <c r="D862" s="198" t="s">
        <v>4244</v>
      </c>
      <c r="E862" s="53" t="s">
        <v>1391</v>
      </c>
      <c r="F862" s="198" t="s">
        <v>3786</v>
      </c>
      <c r="G862" s="3" t="s">
        <v>364</v>
      </c>
      <c r="H862" s="53" t="s">
        <v>492</v>
      </c>
      <c r="I862" s="3" t="s">
        <v>1431</v>
      </c>
      <c r="J862" s="3" t="s">
        <v>1402</v>
      </c>
      <c r="K862" s="3" t="s">
        <v>1403</v>
      </c>
      <c r="L862" s="3" t="s">
        <v>2466</v>
      </c>
      <c r="M862" s="53" t="s">
        <v>4292</v>
      </c>
      <c r="N862" s="258">
        <v>308000</v>
      </c>
      <c r="O862" s="266">
        <v>100</v>
      </c>
      <c r="P862" s="272">
        <v>1</v>
      </c>
      <c r="Q862" s="258">
        <v>308000</v>
      </c>
      <c r="R862" s="286">
        <v>308000</v>
      </c>
      <c r="S862" s="286">
        <v>94333</v>
      </c>
      <c r="T862" s="288">
        <v>0</v>
      </c>
      <c r="U862" s="288">
        <v>1</v>
      </c>
      <c r="V862" s="288">
        <v>0</v>
      </c>
      <c r="W862" s="286">
        <v>35538</v>
      </c>
      <c r="X862" s="286">
        <v>0</v>
      </c>
      <c r="Y862" s="200" t="s">
        <v>1392</v>
      </c>
      <c r="Z862" s="517" t="s">
        <v>5167</v>
      </c>
      <c r="AA862" s="499" t="s">
        <v>1485</v>
      </c>
      <c r="AB862" s="508"/>
    </row>
    <row r="863" spans="2:28" x14ac:dyDescent="0.15">
      <c r="B863" s="333" t="s">
        <v>4243</v>
      </c>
      <c r="C863" s="528">
        <v>43271</v>
      </c>
      <c r="D863" s="198" t="s">
        <v>4244</v>
      </c>
      <c r="E863" s="53" t="s">
        <v>1391</v>
      </c>
      <c r="F863" s="198" t="s">
        <v>3786</v>
      </c>
      <c r="G863" s="3" t="s">
        <v>364</v>
      </c>
      <c r="H863" s="53" t="s">
        <v>492</v>
      </c>
      <c r="I863" s="3" t="s">
        <v>1431</v>
      </c>
      <c r="J863" s="3" t="s">
        <v>295</v>
      </c>
      <c r="K863" s="3" t="s">
        <v>1166</v>
      </c>
      <c r="L863" s="3" t="s">
        <v>1483</v>
      </c>
      <c r="M863" s="53"/>
      <c r="N863" s="258">
        <v>33000</v>
      </c>
      <c r="O863" s="266">
        <v>65</v>
      </c>
      <c r="P863" s="272">
        <v>1</v>
      </c>
      <c r="Q863" s="258">
        <v>21450</v>
      </c>
      <c r="R863" s="286">
        <v>21450</v>
      </c>
      <c r="S863" s="286">
        <v>5725</v>
      </c>
      <c r="T863" s="288">
        <v>0</v>
      </c>
      <c r="U863" s="288">
        <v>0</v>
      </c>
      <c r="V863" s="288">
        <v>0</v>
      </c>
      <c r="W863" s="286">
        <v>2475</v>
      </c>
      <c r="X863" s="286">
        <v>0</v>
      </c>
      <c r="Y863" s="200" t="s">
        <v>1392</v>
      </c>
      <c r="Z863" s="517" t="s">
        <v>5167</v>
      </c>
      <c r="AA863" s="499" t="s">
        <v>1485</v>
      </c>
      <c r="AB863" s="508"/>
    </row>
    <row r="864" spans="2:28" x14ac:dyDescent="0.15">
      <c r="B864" s="333" t="s">
        <v>4251</v>
      </c>
      <c r="C864" s="528">
        <v>43271</v>
      </c>
      <c r="D864" s="198" t="s">
        <v>4252</v>
      </c>
      <c r="E864" s="53" t="s">
        <v>1391</v>
      </c>
      <c r="F864" s="198" t="s">
        <v>3786</v>
      </c>
      <c r="G864" s="3" t="s">
        <v>364</v>
      </c>
      <c r="H864" s="53" t="s">
        <v>476</v>
      </c>
      <c r="I864" s="3" t="s">
        <v>1405</v>
      </c>
      <c r="J864" s="3" t="s">
        <v>268</v>
      </c>
      <c r="K864" s="3" t="s">
        <v>1158</v>
      </c>
      <c r="L864" s="3" t="s">
        <v>4313</v>
      </c>
      <c r="M864" s="53" t="s">
        <v>4314</v>
      </c>
      <c r="N864" s="258">
        <v>130000</v>
      </c>
      <c r="O864" s="266">
        <v>100</v>
      </c>
      <c r="P864" s="272">
        <v>1</v>
      </c>
      <c r="Q864" s="258">
        <v>130000</v>
      </c>
      <c r="R864" s="286">
        <v>130000</v>
      </c>
      <c r="S864" s="286">
        <v>41796</v>
      </c>
      <c r="T864" s="288">
        <v>0</v>
      </c>
      <c r="U864" s="288">
        <v>1</v>
      </c>
      <c r="V864" s="288">
        <v>0</v>
      </c>
      <c r="W864" s="286">
        <v>15000</v>
      </c>
      <c r="X864" s="286">
        <v>0</v>
      </c>
      <c r="Y864" s="200" t="s">
        <v>1392</v>
      </c>
      <c r="Z864" s="517" t="s">
        <v>5537</v>
      </c>
      <c r="AA864" s="499" t="s">
        <v>1485</v>
      </c>
      <c r="AB864" s="508"/>
    </row>
    <row r="865" spans="2:28" x14ac:dyDescent="0.15">
      <c r="B865" s="333" t="s">
        <v>4255</v>
      </c>
      <c r="C865" s="528">
        <v>43271</v>
      </c>
      <c r="D865" s="198" t="s">
        <v>4256</v>
      </c>
      <c r="E865" s="53" t="s">
        <v>1391</v>
      </c>
      <c r="F865" s="198" t="s">
        <v>3786</v>
      </c>
      <c r="G865" s="3" t="s">
        <v>364</v>
      </c>
      <c r="H865" s="53" t="s">
        <v>420</v>
      </c>
      <c r="I865" s="3" t="s">
        <v>3509</v>
      </c>
      <c r="J865" s="3" t="s">
        <v>268</v>
      </c>
      <c r="K865" s="3" t="s">
        <v>1158</v>
      </c>
      <c r="L865" s="3" t="s">
        <v>4173</v>
      </c>
      <c r="M865" s="53" t="s">
        <v>4315</v>
      </c>
      <c r="N865" s="258">
        <v>130000</v>
      </c>
      <c r="O865" s="266">
        <v>100</v>
      </c>
      <c r="P865" s="272">
        <v>1</v>
      </c>
      <c r="Q865" s="258">
        <v>130000</v>
      </c>
      <c r="R865" s="286">
        <v>130000</v>
      </c>
      <c r="S865" s="286">
        <v>41769</v>
      </c>
      <c r="T865" s="288">
        <v>0</v>
      </c>
      <c r="U865" s="288">
        <v>1</v>
      </c>
      <c r="V865" s="288">
        <v>0</v>
      </c>
      <c r="W865" s="286">
        <v>15000</v>
      </c>
      <c r="X865" s="286">
        <v>0</v>
      </c>
      <c r="Y865" s="200" t="s">
        <v>1392</v>
      </c>
      <c r="Z865" s="517" t="s">
        <v>5166</v>
      </c>
      <c r="AA865" s="499"/>
      <c r="AB865" s="508"/>
    </row>
    <row r="866" spans="2:28" x14ac:dyDescent="0.15">
      <c r="B866" s="333" t="s">
        <v>4260</v>
      </c>
      <c r="C866" s="528">
        <v>43271</v>
      </c>
      <c r="D866" s="198" t="s">
        <v>4316</v>
      </c>
      <c r="E866" s="53" t="s">
        <v>1396</v>
      </c>
      <c r="F866" s="198" t="s">
        <v>3791</v>
      </c>
      <c r="G866" s="3" t="s">
        <v>1321</v>
      </c>
      <c r="H866" s="53"/>
      <c r="I866" s="3"/>
      <c r="J866" s="3"/>
      <c r="K866" s="3"/>
      <c r="L866" s="3" t="s">
        <v>1418</v>
      </c>
      <c r="M866" s="53"/>
      <c r="N866" s="258">
        <v>14650</v>
      </c>
      <c r="O866" s="266">
        <v>100</v>
      </c>
      <c r="P866" s="272">
        <v>-1</v>
      </c>
      <c r="Q866" s="258">
        <v>14650</v>
      </c>
      <c r="R866" s="286">
        <v>-14650</v>
      </c>
      <c r="S866" s="286">
        <v>-14650</v>
      </c>
      <c r="T866" s="288">
        <v>0</v>
      </c>
      <c r="U866" s="288">
        <v>0</v>
      </c>
      <c r="V866" s="288">
        <v>0</v>
      </c>
      <c r="W866" s="286">
        <v>14650</v>
      </c>
      <c r="X866" s="286">
        <v>0</v>
      </c>
      <c r="Y866" s="200" t="s">
        <v>1392</v>
      </c>
      <c r="Z866" s="517" t="s">
        <v>5449</v>
      </c>
      <c r="AA866" s="499"/>
      <c r="AB866" s="508"/>
    </row>
    <row r="867" spans="2:28" x14ac:dyDescent="0.15">
      <c r="B867" s="333" t="s">
        <v>4168</v>
      </c>
      <c r="C867" s="528">
        <v>43272</v>
      </c>
      <c r="D867" s="198" t="s">
        <v>4169</v>
      </c>
      <c r="E867" s="53" t="s">
        <v>1396</v>
      </c>
      <c r="F867" s="198" t="s">
        <v>21</v>
      </c>
      <c r="G867" s="3" t="s">
        <v>50</v>
      </c>
      <c r="H867" s="53" t="s">
        <v>381</v>
      </c>
      <c r="I867" s="3" t="s">
        <v>1408</v>
      </c>
      <c r="J867" s="3" t="s">
        <v>271</v>
      </c>
      <c r="K867" s="3" t="s">
        <v>1160</v>
      </c>
      <c r="L867" s="3" t="s">
        <v>1594</v>
      </c>
      <c r="M867" s="53" t="s">
        <v>4170</v>
      </c>
      <c r="N867" s="258">
        <v>358000</v>
      </c>
      <c r="O867" s="266">
        <v>60</v>
      </c>
      <c r="P867" s="272">
        <v>1</v>
      </c>
      <c r="Q867" s="258">
        <v>214800</v>
      </c>
      <c r="R867" s="286">
        <v>214800</v>
      </c>
      <c r="S867" s="286">
        <v>64806</v>
      </c>
      <c r="T867" s="288">
        <v>0</v>
      </c>
      <c r="U867" s="288">
        <v>1</v>
      </c>
      <c r="V867" s="288">
        <v>0</v>
      </c>
      <c r="W867" s="286">
        <v>21480</v>
      </c>
      <c r="X867" s="286">
        <v>0</v>
      </c>
      <c r="Y867" s="200" t="s">
        <v>1392</v>
      </c>
      <c r="Z867" s="517" t="s">
        <v>5542</v>
      </c>
      <c r="AA867" s="499" t="s">
        <v>1485</v>
      </c>
      <c r="AB867" s="508"/>
    </row>
    <row r="868" spans="2:28" x14ac:dyDescent="0.15">
      <c r="B868" s="333" t="s">
        <v>4192</v>
      </c>
      <c r="C868" s="528">
        <v>43272</v>
      </c>
      <c r="D868" s="198" t="s">
        <v>4193</v>
      </c>
      <c r="E868" s="53" t="s">
        <v>1396</v>
      </c>
      <c r="F868" s="198" t="s">
        <v>21</v>
      </c>
      <c r="G868" s="3" t="s">
        <v>50</v>
      </c>
      <c r="H868" s="53" t="s">
        <v>1434</v>
      </c>
      <c r="I868" s="3" t="s">
        <v>1435</v>
      </c>
      <c r="J868" s="3" t="s">
        <v>271</v>
      </c>
      <c r="K868" s="3" t="s">
        <v>1160</v>
      </c>
      <c r="L868" s="3" t="s">
        <v>1964</v>
      </c>
      <c r="M868" s="53" t="s">
        <v>4118</v>
      </c>
      <c r="N868" s="258">
        <v>225000</v>
      </c>
      <c r="O868" s="266">
        <v>100</v>
      </c>
      <c r="P868" s="272">
        <v>1</v>
      </c>
      <c r="Q868" s="258">
        <v>225000</v>
      </c>
      <c r="R868" s="286">
        <v>225000</v>
      </c>
      <c r="S868" s="286">
        <v>72425</v>
      </c>
      <c r="T868" s="288">
        <v>0</v>
      </c>
      <c r="U868" s="288">
        <v>1</v>
      </c>
      <c r="V868" s="288">
        <v>0</v>
      </c>
      <c r="W868" s="286">
        <v>25961</v>
      </c>
      <c r="X868" s="286">
        <v>0</v>
      </c>
      <c r="Y868" s="200" t="s">
        <v>1392</v>
      </c>
      <c r="Z868" s="517" t="s">
        <v>5535</v>
      </c>
      <c r="AA868" s="499" t="s">
        <v>1485</v>
      </c>
      <c r="AB868" s="508"/>
    </row>
    <row r="869" spans="2:28" x14ac:dyDescent="0.15">
      <c r="B869" s="333" t="s">
        <v>4214</v>
      </c>
      <c r="C869" s="528">
        <v>43273</v>
      </c>
      <c r="D869" s="198" t="s">
        <v>4215</v>
      </c>
      <c r="E869" s="53" t="s">
        <v>1396</v>
      </c>
      <c r="F869" s="198" t="s">
        <v>21</v>
      </c>
      <c r="G869" s="3" t="s">
        <v>50</v>
      </c>
      <c r="H869" s="53" t="s">
        <v>380</v>
      </c>
      <c r="I869" s="3" t="s">
        <v>1976</v>
      </c>
      <c r="J869" s="3" t="s">
        <v>272</v>
      </c>
      <c r="K869" s="3" t="s">
        <v>363</v>
      </c>
      <c r="L869" s="3" t="s">
        <v>2000</v>
      </c>
      <c r="M869" s="53" t="s">
        <v>4288</v>
      </c>
      <c r="N869" s="258">
        <v>186000</v>
      </c>
      <c r="O869" s="266">
        <v>100</v>
      </c>
      <c r="P869" s="272">
        <v>1</v>
      </c>
      <c r="Q869" s="258">
        <v>186000</v>
      </c>
      <c r="R869" s="286">
        <v>186000</v>
      </c>
      <c r="S869" s="286">
        <v>48658</v>
      </c>
      <c r="T869" s="288">
        <v>0</v>
      </c>
      <c r="U869" s="288">
        <v>1</v>
      </c>
      <c r="V869" s="288">
        <v>0</v>
      </c>
      <c r="W869" s="286">
        <v>21461</v>
      </c>
      <c r="X869" s="286">
        <v>0</v>
      </c>
      <c r="Y869" s="200" t="s">
        <v>1392</v>
      </c>
      <c r="Z869" s="517" t="s">
        <v>5166</v>
      </c>
      <c r="AA869" s="499" t="s">
        <v>1485</v>
      </c>
      <c r="AB869" s="508"/>
    </row>
    <row r="870" spans="2:28" x14ac:dyDescent="0.15">
      <c r="B870" s="333" t="s">
        <v>4219</v>
      </c>
      <c r="C870" s="528">
        <v>43273</v>
      </c>
      <c r="D870" s="198" t="s">
        <v>4220</v>
      </c>
      <c r="E870" s="53" t="s">
        <v>1396</v>
      </c>
      <c r="F870" s="198" t="s">
        <v>21</v>
      </c>
      <c r="G870" s="3" t="s">
        <v>50</v>
      </c>
      <c r="H870" s="53" t="s">
        <v>380</v>
      </c>
      <c r="I870" s="197" t="s">
        <v>4317</v>
      </c>
      <c r="J870" s="3" t="s">
        <v>272</v>
      </c>
      <c r="K870" s="3" t="s">
        <v>363</v>
      </c>
      <c r="L870" s="3" t="s">
        <v>2043</v>
      </c>
      <c r="M870" s="53" t="s">
        <v>4289</v>
      </c>
      <c r="N870" s="258">
        <v>186000</v>
      </c>
      <c r="O870" s="266">
        <v>100</v>
      </c>
      <c r="P870" s="272">
        <v>1</v>
      </c>
      <c r="Q870" s="258">
        <v>186000</v>
      </c>
      <c r="R870" s="286">
        <v>186000</v>
      </c>
      <c r="S870" s="286">
        <v>45341</v>
      </c>
      <c r="T870" s="288">
        <v>0</v>
      </c>
      <c r="U870" s="288">
        <v>1</v>
      </c>
      <c r="V870" s="288">
        <v>0</v>
      </c>
      <c r="W870" s="286">
        <v>21461</v>
      </c>
      <c r="X870" s="286">
        <v>0</v>
      </c>
      <c r="Y870" s="200" t="s">
        <v>1392</v>
      </c>
      <c r="Z870" s="517" t="s">
        <v>5543</v>
      </c>
      <c r="AA870" s="499" t="s">
        <v>1485</v>
      </c>
      <c r="AB870" s="508"/>
    </row>
    <row r="871" spans="2:28" x14ac:dyDescent="0.15">
      <c r="B871" s="333" t="s">
        <v>4222</v>
      </c>
      <c r="C871" s="528">
        <v>43273</v>
      </c>
      <c r="D871" s="198" t="s">
        <v>4223</v>
      </c>
      <c r="E871" s="53" t="s">
        <v>1396</v>
      </c>
      <c r="F871" s="198" t="s">
        <v>3784</v>
      </c>
      <c r="G871" s="3" t="s">
        <v>1110</v>
      </c>
      <c r="H871" s="53" t="s">
        <v>796</v>
      </c>
      <c r="I871" s="3" t="s">
        <v>1428</v>
      </c>
      <c r="J871" s="3" t="s">
        <v>1402</v>
      </c>
      <c r="K871" s="3" t="s">
        <v>1403</v>
      </c>
      <c r="L871" s="3" t="s">
        <v>2466</v>
      </c>
      <c r="M871" s="53" t="s">
        <v>4290</v>
      </c>
      <c r="N871" s="258">
        <v>420000</v>
      </c>
      <c r="O871" s="266">
        <v>65</v>
      </c>
      <c r="P871" s="272">
        <v>1</v>
      </c>
      <c r="Q871" s="258">
        <v>273000</v>
      </c>
      <c r="R871" s="286">
        <v>273000</v>
      </c>
      <c r="S871" s="286">
        <v>71371</v>
      </c>
      <c r="T871" s="288">
        <v>0</v>
      </c>
      <c r="U871" s="288">
        <v>1</v>
      </c>
      <c r="V871" s="288">
        <v>0</v>
      </c>
      <c r="W871" s="286">
        <v>31500</v>
      </c>
      <c r="X871" s="286">
        <v>0</v>
      </c>
      <c r="Y871" s="200" t="s">
        <v>1392</v>
      </c>
      <c r="Z871" s="517" t="s">
        <v>5542</v>
      </c>
      <c r="AA871" s="499" t="s">
        <v>1485</v>
      </c>
      <c r="AB871" s="508"/>
    </row>
    <row r="872" spans="2:28" x14ac:dyDescent="0.15">
      <c r="B872" s="333" t="s">
        <v>4226</v>
      </c>
      <c r="C872" s="528">
        <v>43273</v>
      </c>
      <c r="D872" s="198" t="s">
        <v>4227</v>
      </c>
      <c r="E872" s="53" t="s">
        <v>358</v>
      </c>
      <c r="F872" s="198" t="s">
        <v>4143</v>
      </c>
      <c r="G872" s="3" t="s">
        <v>4045</v>
      </c>
      <c r="H872" s="53"/>
      <c r="I872" s="3"/>
      <c r="J872" s="3" t="s">
        <v>1402</v>
      </c>
      <c r="K872" s="3" t="s">
        <v>1403</v>
      </c>
      <c r="L872" s="3" t="s">
        <v>4291</v>
      </c>
      <c r="M872" s="53" t="s">
        <v>4292</v>
      </c>
      <c r="N872" s="258">
        <v>305000</v>
      </c>
      <c r="O872" s="266">
        <v>100</v>
      </c>
      <c r="P872" s="272">
        <v>1</v>
      </c>
      <c r="Q872" s="258">
        <v>305000</v>
      </c>
      <c r="R872" s="286">
        <v>305000</v>
      </c>
      <c r="S872" s="286">
        <v>99679</v>
      </c>
      <c r="T872" s="288">
        <v>0</v>
      </c>
      <c r="U872" s="288">
        <v>1</v>
      </c>
      <c r="V872" s="288">
        <v>0</v>
      </c>
      <c r="W872" s="286">
        <v>35192</v>
      </c>
      <c r="X872" s="286">
        <v>0</v>
      </c>
      <c r="Y872" s="200" t="s">
        <v>1392</v>
      </c>
      <c r="Z872" s="517" t="s">
        <v>5549</v>
      </c>
      <c r="AA872" s="499" t="s">
        <v>1485</v>
      </c>
      <c r="AB872" s="508"/>
    </row>
    <row r="873" spans="2:28" x14ac:dyDescent="0.15">
      <c r="B873" s="333" t="s">
        <v>4230</v>
      </c>
      <c r="C873" s="528">
        <v>43273</v>
      </c>
      <c r="D873" s="198" t="s">
        <v>4231</v>
      </c>
      <c r="E873" s="53" t="s">
        <v>1391</v>
      </c>
      <c r="F873" s="198" t="s">
        <v>3783</v>
      </c>
      <c r="G873" s="3" t="s">
        <v>362</v>
      </c>
      <c r="H873" s="53" t="s">
        <v>689</v>
      </c>
      <c r="I873" s="3" t="s">
        <v>1394</v>
      </c>
      <c r="J873" s="3" t="s">
        <v>261</v>
      </c>
      <c r="K873" s="3" t="s">
        <v>1153</v>
      </c>
      <c r="L873" s="3" t="s">
        <v>2096</v>
      </c>
      <c r="M873" s="53" t="s">
        <v>4294</v>
      </c>
      <c r="N873" s="258">
        <v>270000</v>
      </c>
      <c r="O873" s="266">
        <v>55</v>
      </c>
      <c r="P873" s="272">
        <v>1</v>
      </c>
      <c r="Q873" s="258">
        <v>148500</v>
      </c>
      <c r="R873" s="286">
        <v>148500</v>
      </c>
      <c r="S873" s="286">
        <v>45179</v>
      </c>
      <c r="T873" s="288">
        <v>1</v>
      </c>
      <c r="U873" s="288">
        <v>0</v>
      </c>
      <c r="V873" s="288">
        <v>0</v>
      </c>
      <c r="W873" s="286">
        <v>0</v>
      </c>
      <c r="X873" s="286">
        <v>0</v>
      </c>
      <c r="Y873" s="200" t="s">
        <v>4438</v>
      </c>
      <c r="Z873" s="517" t="s">
        <v>5166</v>
      </c>
      <c r="AA873" s="499" t="s">
        <v>1485</v>
      </c>
      <c r="AB873" s="508"/>
    </row>
    <row r="874" spans="2:28" x14ac:dyDescent="0.15">
      <c r="B874" s="333" t="s">
        <v>4236</v>
      </c>
      <c r="C874" s="528">
        <v>43273</v>
      </c>
      <c r="D874" s="198" t="s">
        <v>4237</v>
      </c>
      <c r="E874" s="53" t="s">
        <v>1396</v>
      </c>
      <c r="F874" s="198" t="s">
        <v>4295</v>
      </c>
      <c r="G874" s="3" t="s">
        <v>4296</v>
      </c>
      <c r="H874" s="53"/>
      <c r="I874" s="3"/>
      <c r="J874" s="3" t="s">
        <v>1402</v>
      </c>
      <c r="K874" s="3" t="s">
        <v>1403</v>
      </c>
      <c r="L874" s="3" t="s">
        <v>4297</v>
      </c>
      <c r="M874" s="53" t="s">
        <v>4298</v>
      </c>
      <c r="N874" s="258">
        <v>430000</v>
      </c>
      <c r="O874" s="266">
        <v>60</v>
      </c>
      <c r="P874" s="272">
        <v>1</v>
      </c>
      <c r="Q874" s="258">
        <v>258000</v>
      </c>
      <c r="R874" s="286">
        <v>258000</v>
      </c>
      <c r="S874" s="286">
        <v>-11547</v>
      </c>
      <c r="T874" s="288">
        <v>1</v>
      </c>
      <c r="U874" s="288">
        <v>0</v>
      </c>
      <c r="V874" s="288">
        <v>0</v>
      </c>
      <c r="W874" s="286">
        <v>0</v>
      </c>
      <c r="X874" s="286">
        <v>0</v>
      </c>
      <c r="Y874" s="200" t="s">
        <v>4438</v>
      </c>
      <c r="Z874" s="517" t="s">
        <v>5533</v>
      </c>
      <c r="AA874" s="499" t="s">
        <v>1485</v>
      </c>
      <c r="AB874" s="508"/>
    </row>
    <row r="875" spans="2:28" x14ac:dyDescent="0.15">
      <c r="B875" s="333" t="s">
        <v>4255</v>
      </c>
      <c r="C875" s="528">
        <v>43280</v>
      </c>
      <c r="D875" s="198" t="s">
        <v>4256</v>
      </c>
      <c r="E875" s="53" t="s">
        <v>1396</v>
      </c>
      <c r="F875" s="198" t="s">
        <v>21</v>
      </c>
      <c r="G875" s="3" t="s">
        <v>50</v>
      </c>
      <c r="H875" s="53" t="s">
        <v>381</v>
      </c>
      <c r="I875" s="3" t="s">
        <v>1408</v>
      </c>
      <c r="J875" s="3" t="s">
        <v>271</v>
      </c>
      <c r="K875" s="3" t="s">
        <v>1160</v>
      </c>
      <c r="L875" s="3" t="s">
        <v>4320</v>
      </c>
      <c r="M875" s="53" t="s">
        <v>4321</v>
      </c>
      <c r="N875" s="258">
        <v>210000</v>
      </c>
      <c r="O875" s="266">
        <v>100</v>
      </c>
      <c r="P875" s="272">
        <v>1</v>
      </c>
      <c r="Q875" s="258">
        <v>210000</v>
      </c>
      <c r="R875" s="286">
        <v>210000</v>
      </c>
      <c r="S875" s="286">
        <v>55083</v>
      </c>
      <c r="T875" s="288">
        <v>0</v>
      </c>
      <c r="U875" s="288">
        <v>1</v>
      </c>
      <c r="V875" s="288">
        <v>0</v>
      </c>
      <c r="W875" s="286">
        <v>24230</v>
      </c>
      <c r="X875" s="286">
        <v>0</v>
      </c>
      <c r="Y875" s="200" t="s">
        <v>1392</v>
      </c>
      <c r="Z875" s="517" t="s">
        <v>5166</v>
      </c>
      <c r="AA875" s="499" t="s">
        <v>1485</v>
      </c>
      <c r="AB875" s="508"/>
    </row>
    <row r="876" spans="2:28" x14ac:dyDescent="0.15">
      <c r="B876" s="333" t="s">
        <v>4328</v>
      </c>
      <c r="C876" s="528">
        <v>43280</v>
      </c>
      <c r="D876" s="198" t="s">
        <v>4329</v>
      </c>
      <c r="E876" s="53" t="s">
        <v>1391</v>
      </c>
      <c r="F876" s="198" t="s">
        <v>3786</v>
      </c>
      <c r="G876" s="3" t="s">
        <v>364</v>
      </c>
      <c r="H876" s="53" t="s">
        <v>428</v>
      </c>
      <c r="I876" s="3" t="s">
        <v>4326</v>
      </c>
      <c r="J876" s="4" t="s">
        <v>297</v>
      </c>
      <c r="K876" s="4" t="s">
        <v>369</v>
      </c>
      <c r="L876" s="4" t="s">
        <v>1484</v>
      </c>
      <c r="M876" s="43"/>
      <c r="N876" s="255">
        <v>200</v>
      </c>
      <c r="O876" s="265">
        <v>50</v>
      </c>
      <c r="P876" s="270">
        <v>100</v>
      </c>
      <c r="Q876" s="255">
        <v>100</v>
      </c>
      <c r="R876" s="283">
        <v>10000</v>
      </c>
      <c r="S876" s="283">
        <v>5700</v>
      </c>
      <c r="T876" s="287">
        <v>0</v>
      </c>
      <c r="U876" s="287">
        <v>0</v>
      </c>
      <c r="V876" s="287">
        <v>0</v>
      </c>
      <c r="W876" s="283">
        <v>1500</v>
      </c>
      <c r="X876" s="283">
        <v>0</v>
      </c>
      <c r="Y876" s="199" t="s">
        <v>1392</v>
      </c>
      <c r="Z876" s="517" t="s">
        <v>5449</v>
      </c>
      <c r="AA876" s="493" t="s">
        <v>1485</v>
      </c>
      <c r="AB876" s="507"/>
    </row>
    <row r="877" spans="2:28" x14ac:dyDescent="0.15">
      <c r="B877" s="333" t="s">
        <v>4330</v>
      </c>
      <c r="C877" s="528">
        <v>43280</v>
      </c>
      <c r="D877" s="198" t="s">
        <v>4331</v>
      </c>
      <c r="E877" s="53" t="s">
        <v>1396</v>
      </c>
      <c r="F877" s="198" t="s">
        <v>3784</v>
      </c>
      <c r="G877" s="3" t="s">
        <v>1110</v>
      </c>
      <c r="H877" s="53" t="s">
        <v>796</v>
      </c>
      <c r="I877" s="3" t="s">
        <v>1428</v>
      </c>
      <c r="J877" s="3" t="s">
        <v>263</v>
      </c>
      <c r="K877" s="3" t="s">
        <v>1154</v>
      </c>
      <c r="L877" s="3" t="s">
        <v>2455</v>
      </c>
      <c r="M877" s="53" t="s">
        <v>2456</v>
      </c>
      <c r="N877" s="258">
        <v>250000</v>
      </c>
      <c r="O877" s="266">
        <v>100</v>
      </c>
      <c r="P877" s="272">
        <v>-1</v>
      </c>
      <c r="Q877" s="258">
        <v>250000</v>
      </c>
      <c r="R877" s="286">
        <v>-250000</v>
      </c>
      <c r="S877" s="286">
        <v>-58351</v>
      </c>
      <c r="T877" s="288">
        <v>0</v>
      </c>
      <c r="U877" s="288">
        <v>-1</v>
      </c>
      <c r="V877" s="288">
        <v>0</v>
      </c>
      <c r="W877" s="286">
        <v>-28846</v>
      </c>
      <c r="X877" s="286">
        <v>0</v>
      </c>
      <c r="Y877" s="200" t="s">
        <v>4439</v>
      </c>
      <c r="Z877" s="517" t="s">
        <v>5166</v>
      </c>
      <c r="AA877" s="499" t="s">
        <v>1485</v>
      </c>
      <c r="AB877" s="508"/>
    </row>
    <row r="878" spans="2:28" x14ac:dyDescent="0.15">
      <c r="B878" s="333" t="s">
        <v>4332</v>
      </c>
      <c r="C878" s="528">
        <v>43280</v>
      </c>
      <c r="D878" s="198" t="s">
        <v>4333</v>
      </c>
      <c r="E878" s="53" t="s">
        <v>1396</v>
      </c>
      <c r="F878" s="198" t="s">
        <v>21</v>
      </c>
      <c r="G878" s="3" t="s">
        <v>50</v>
      </c>
      <c r="H878" s="53" t="s">
        <v>1414</v>
      </c>
      <c r="I878" s="3" t="s">
        <v>1415</v>
      </c>
      <c r="J878" s="4" t="s">
        <v>299</v>
      </c>
      <c r="K878" s="4" t="s">
        <v>373</v>
      </c>
      <c r="L878" s="4" t="s">
        <v>3935</v>
      </c>
      <c r="M878" s="43"/>
      <c r="N878" s="255">
        <v>23000</v>
      </c>
      <c r="O878" s="265">
        <v>100</v>
      </c>
      <c r="P878" s="270">
        <v>1</v>
      </c>
      <c r="Q878" s="255">
        <v>23000</v>
      </c>
      <c r="R878" s="283">
        <v>23000</v>
      </c>
      <c r="S878" s="283">
        <v>6194</v>
      </c>
      <c r="T878" s="287">
        <v>0</v>
      </c>
      <c r="U878" s="287">
        <v>0</v>
      </c>
      <c r="V878" s="287">
        <v>0</v>
      </c>
      <c r="W878" s="283">
        <v>16806</v>
      </c>
      <c r="X878" s="283">
        <v>0</v>
      </c>
      <c r="Y878" s="199" t="s">
        <v>1392</v>
      </c>
      <c r="Z878" s="517" t="s">
        <v>5449</v>
      </c>
      <c r="AA878" s="493" t="s">
        <v>1485</v>
      </c>
      <c r="AB878" s="507"/>
    </row>
    <row r="879" spans="2:28" x14ac:dyDescent="0.15">
      <c r="B879" s="333" t="s">
        <v>4247</v>
      </c>
      <c r="C879" s="528">
        <v>43282</v>
      </c>
      <c r="D879" s="198" t="s">
        <v>4248</v>
      </c>
      <c r="E879" s="53" t="s">
        <v>1396</v>
      </c>
      <c r="F879" s="198" t="s">
        <v>3784</v>
      </c>
      <c r="G879" s="3" t="s">
        <v>1110</v>
      </c>
      <c r="H879" s="53" t="s">
        <v>803</v>
      </c>
      <c r="I879" s="3" t="s">
        <v>1542</v>
      </c>
      <c r="J879" s="3" t="s">
        <v>270</v>
      </c>
      <c r="K879" s="3" t="s">
        <v>539</v>
      </c>
      <c r="L879" s="3" t="s">
        <v>4302</v>
      </c>
      <c r="M879" s="53" t="s">
        <v>4303</v>
      </c>
      <c r="N879" s="258">
        <v>318000</v>
      </c>
      <c r="O879" s="266">
        <v>60</v>
      </c>
      <c r="P879" s="272">
        <v>1</v>
      </c>
      <c r="Q879" s="258">
        <v>190800</v>
      </c>
      <c r="R879" s="286">
        <v>190800</v>
      </c>
      <c r="S879" s="286">
        <v>88471</v>
      </c>
      <c r="T879" s="288">
        <v>1</v>
      </c>
      <c r="U879" s="288">
        <v>0</v>
      </c>
      <c r="V879" s="288">
        <v>0</v>
      </c>
      <c r="W879" s="286">
        <v>0</v>
      </c>
      <c r="X879" s="286">
        <v>0</v>
      </c>
      <c r="Y879" s="200" t="s">
        <v>4438</v>
      </c>
      <c r="Z879" s="517" t="s">
        <v>5449</v>
      </c>
      <c r="AA879" s="499" t="s">
        <v>1485</v>
      </c>
      <c r="AB879" s="508"/>
    </row>
    <row r="880" spans="2:28" x14ac:dyDescent="0.15">
      <c r="B880" s="333" t="s">
        <v>4251</v>
      </c>
      <c r="C880" s="528">
        <v>43282</v>
      </c>
      <c r="D880" s="198" t="s">
        <v>4252</v>
      </c>
      <c r="E880" s="53" t="s">
        <v>1391</v>
      </c>
      <c r="F880" s="198" t="s">
        <v>4014</v>
      </c>
      <c r="G880" s="3" t="s">
        <v>370</v>
      </c>
      <c r="H880" s="53" t="s">
        <v>1491</v>
      </c>
      <c r="I880" s="3" t="s">
        <v>1492</v>
      </c>
      <c r="J880" s="3" t="s">
        <v>273</v>
      </c>
      <c r="K880" s="3" t="s">
        <v>1161</v>
      </c>
      <c r="L880" s="3" t="s">
        <v>4318</v>
      </c>
      <c r="M880" s="53" t="s">
        <v>4319</v>
      </c>
      <c r="N880" s="258">
        <v>219000</v>
      </c>
      <c r="O880" s="266">
        <v>100</v>
      </c>
      <c r="P880" s="272">
        <v>1</v>
      </c>
      <c r="Q880" s="258">
        <v>219000</v>
      </c>
      <c r="R880" s="286">
        <v>219000</v>
      </c>
      <c r="S880" s="286">
        <v>95894</v>
      </c>
      <c r="T880" s="288">
        <v>0</v>
      </c>
      <c r="U880" s="288">
        <v>1</v>
      </c>
      <c r="V880" s="288">
        <v>0</v>
      </c>
      <c r="W880" s="286">
        <v>28166</v>
      </c>
      <c r="X880" s="286">
        <v>0</v>
      </c>
      <c r="Y880" s="200" t="s">
        <v>1392</v>
      </c>
      <c r="Z880" s="517" t="s">
        <v>5167</v>
      </c>
      <c r="AA880" s="499" t="s">
        <v>1485</v>
      </c>
      <c r="AB880" s="508"/>
    </row>
    <row r="881" spans="2:28" x14ac:dyDescent="0.15">
      <c r="B881" s="333" t="s">
        <v>4260</v>
      </c>
      <c r="C881" s="528">
        <v>43282</v>
      </c>
      <c r="D881" s="198" t="s">
        <v>4316</v>
      </c>
      <c r="E881" s="53" t="s">
        <v>1391</v>
      </c>
      <c r="F881" s="198" t="s">
        <v>4014</v>
      </c>
      <c r="G881" s="3" t="s">
        <v>370</v>
      </c>
      <c r="H881" s="53" t="s">
        <v>1491</v>
      </c>
      <c r="I881" s="3" t="s">
        <v>1492</v>
      </c>
      <c r="J881" s="3" t="s">
        <v>268</v>
      </c>
      <c r="K881" s="3" t="s">
        <v>1158</v>
      </c>
      <c r="L881" s="3" t="s">
        <v>1577</v>
      </c>
      <c r="M881" s="53" t="s">
        <v>4322</v>
      </c>
      <c r="N881" s="258">
        <v>260000</v>
      </c>
      <c r="O881" s="266">
        <v>60</v>
      </c>
      <c r="P881" s="272">
        <v>1</v>
      </c>
      <c r="Q881" s="258">
        <v>156000</v>
      </c>
      <c r="R881" s="286">
        <v>156000</v>
      </c>
      <c r="S881" s="286">
        <v>47949</v>
      </c>
      <c r="T881" s="288">
        <v>0</v>
      </c>
      <c r="U881" s="288">
        <v>1</v>
      </c>
      <c r="V881" s="288">
        <v>0</v>
      </c>
      <c r="W881" s="286">
        <v>15600</v>
      </c>
      <c r="X881" s="286">
        <v>0</v>
      </c>
      <c r="Y881" s="200" t="s">
        <v>1392</v>
      </c>
      <c r="Z881" s="517" t="s">
        <v>5540</v>
      </c>
      <c r="AA881" s="499" t="s">
        <v>1485</v>
      </c>
      <c r="AB881" s="508"/>
    </row>
    <row r="882" spans="2:28" x14ac:dyDescent="0.15">
      <c r="B882" s="333" t="s">
        <v>4261</v>
      </c>
      <c r="C882" s="528">
        <v>43282</v>
      </c>
      <c r="D882" s="198" t="s">
        <v>4323</v>
      </c>
      <c r="E882" s="53" t="s">
        <v>1396</v>
      </c>
      <c r="F882" s="198" t="s">
        <v>4324</v>
      </c>
      <c r="G882" s="3" t="s">
        <v>377</v>
      </c>
      <c r="H882" s="53"/>
      <c r="I882" s="3"/>
      <c r="J882" s="3" t="s">
        <v>262</v>
      </c>
      <c r="K882" s="3" t="s">
        <v>365</v>
      </c>
      <c r="L882" s="3" t="s">
        <v>1690</v>
      </c>
      <c r="M882" s="53" t="s">
        <v>4325</v>
      </c>
      <c r="N882" s="258">
        <v>260000</v>
      </c>
      <c r="O882" s="266">
        <v>61.75</v>
      </c>
      <c r="P882" s="272">
        <v>1</v>
      </c>
      <c r="Q882" s="258">
        <v>160550</v>
      </c>
      <c r="R882" s="286">
        <v>160550</v>
      </c>
      <c r="S882" s="286">
        <v>48570</v>
      </c>
      <c r="T882" s="288">
        <v>0</v>
      </c>
      <c r="U882" s="288">
        <v>1</v>
      </c>
      <c r="V882" s="288">
        <v>0</v>
      </c>
      <c r="W882" s="286">
        <v>17160</v>
      </c>
      <c r="X882" s="286">
        <v>0</v>
      </c>
      <c r="Y882" s="200" t="s">
        <v>1392</v>
      </c>
      <c r="Z882" s="517" t="s">
        <v>5537</v>
      </c>
      <c r="AA882" s="499" t="s">
        <v>1485</v>
      </c>
      <c r="AB882" s="508"/>
    </row>
    <row r="883" spans="2:28" x14ac:dyDescent="0.15">
      <c r="B883" s="333" t="s">
        <v>4351</v>
      </c>
      <c r="C883" s="528">
        <v>43285</v>
      </c>
      <c r="D883" s="198" t="s">
        <v>4352</v>
      </c>
      <c r="E883" s="53" t="s">
        <v>1391</v>
      </c>
      <c r="F883" s="198" t="s">
        <v>2768</v>
      </c>
      <c r="G883" s="3" t="s">
        <v>3415</v>
      </c>
      <c r="H883" s="53"/>
      <c r="I883" s="3"/>
      <c r="J883" s="3" t="s">
        <v>272</v>
      </c>
      <c r="K883" s="3" t="s">
        <v>363</v>
      </c>
      <c r="L883" s="197" t="s">
        <v>4354</v>
      </c>
      <c r="M883" s="53" t="s">
        <v>4353</v>
      </c>
      <c r="N883" s="258">
        <v>300000</v>
      </c>
      <c r="O883" s="266">
        <v>60</v>
      </c>
      <c r="P883" s="272">
        <v>1</v>
      </c>
      <c r="Q883" s="258">
        <v>180000</v>
      </c>
      <c r="R883" s="286">
        <v>180000</v>
      </c>
      <c r="S883" s="286">
        <v>63010</v>
      </c>
      <c r="T883" s="288">
        <v>1</v>
      </c>
      <c r="U883" s="288">
        <v>0</v>
      </c>
      <c r="V883" s="288">
        <v>0</v>
      </c>
      <c r="W883" s="286">
        <v>0</v>
      </c>
      <c r="X883" s="286">
        <v>0</v>
      </c>
      <c r="Y883" s="200" t="s">
        <v>4438</v>
      </c>
      <c r="Z883" s="517" t="s">
        <v>5543</v>
      </c>
      <c r="AA883" s="499" t="s">
        <v>1485</v>
      </c>
      <c r="AB883" s="508"/>
    </row>
    <row r="884" spans="2:28" x14ac:dyDescent="0.15">
      <c r="B884" s="333" t="s">
        <v>4413</v>
      </c>
      <c r="C884" s="528">
        <v>43287</v>
      </c>
      <c r="D884" s="198" t="s">
        <v>4414</v>
      </c>
      <c r="E884" s="53" t="s">
        <v>1391</v>
      </c>
      <c r="F884" s="198" t="s">
        <v>4154</v>
      </c>
      <c r="G884" s="3" t="s">
        <v>371</v>
      </c>
      <c r="H884" s="53" t="s">
        <v>383</v>
      </c>
      <c r="I884" s="3" t="s">
        <v>4114</v>
      </c>
      <c r="J884" s="3" t="s">
        <v>268</v>
      </c>
      <c r="K884" s="3" t="s">
        <v>1158</v>
      </c>
      <c r="L884" s="3" t="s">
        <v>4415</v>
      </c>
      <c r="M884" s="53" t="s">
        <v>4416</v>
      </c>
      <c r="N884" s="258">
        <v>295000</v>
      </c>
      <c r="O884" s="266">
        <v>60</v>
      </c>
      <c r="P884" s="272">
        <v>1</v>
      </c>
      <c r="Q884" s="258">
        <v>177000</v>
      </c>
      <c r="R884" s="286">
        <v>177000</v>
      </c>
      <c r="S884" s="286">
        <v>23171</v>
      </c>
      <c r="T884" s="288">
        <v>0</v>
      </c>
      <c r="U884" s="288">
        <v>1</v>
      </c>
      <c r="V884" s="288">
        <v>0</v>
      </c>
      <c r="W884" s="286">
        <v>17700</v>
      </c>
      <c r="X884" s="286">
        <v>0</v>
      </c>
      <c r="Y884" s="200" t="s">
        <v>1392</v>
      </c>
      <c r="Z884" s="517" t="s">
        <v>5166</v>
      </c>
      <c r="AA884" s="499" t="s">
        <v>1485</v>
      </c>
      <c r="AB884" s="508"/>
    </row>
    <row r="885" spans="2:28" x14ac:dyDescent="0.15">
      <c r="B885" s="333" t="s">
        <v>4417</v>
      </c>
      <c r="C885" s="528">
        <v>43287</v>
      </c>
      <c r="D885" s="198" t="s">
        <v>4418</v>
      </c>
      <c r="E885" s="53" t="s">
        <v>1391</v>
      </c>
      <c r="F885" s="198" t="s">
        <v>4014</v>
      </c>
      <c r="G885" s="3" t="s">
        <v>370</v>
      </c>
      <c r="H885" s="53" t="s">
        <v>1491</v>
      </c>
      <c r="I885" s="3" t="s">
        <v>1492</v>
      </c>
      <c r="J885" s="3" t="s">
        <v>264</v>
      </c>
      <c r="K885" s="3" t="s">
        <v>538</v>
      </c>
      <c r="L885" s="3" t="s">
        <v>4419</v>
      </c>
      <c r="M885" s="53" t="s">
        <v>3731</v>
      </c>
      <c r="N885" s="258">
        <v>216000</v>
      </c>
      <c r="O885" s="266">
        <v>100</v>
      </c>
      <c r="P885" s="272">
        <v>1</v>
      </c>
      <c r="Q885" s="258">
        <v>216000</v>
      </c>
      <c r="R885" s="286">
        <v>216000</v>
      </c>
      <c r="S885" s="286">
        <v>55106</v>
      </c>
      <c r="T885" s="288">
        <v>0</v>
      </c>
      <c r="U885" s="288">
        <v>1</v>
      </c>
      <c r="V885" s="288">
        <v>0</v>
      </c>
      <c r="W885" s="286">
        <v>24923</v>
      </c>
      <c r="X885" s="286">
        <v>0</v>
      </c>
      <c r="Y885" s="200" t="s">
        <v>1392</v>
      </c>
      <c r="Z885" s="517" t="s">
        <v>5167</v>
      </c>
      <c r="AA885" s="499" t="s">
        <v>1485</v>
      </c>
      <c r="AB885" s="508"/>
    </row>
    <row r="886" spans="2:28" x14ac:dyDescent="0.15">
      <c r="B886" s="333" t="s">
        <v>4420</v>
      </c>
      <c r="C886" s="528">
        <v>43287</v>
      </c>
      <c r="D886" s="198" t="s">
        <v>4421</v>
      </c>
      <c r="E886" s="53" t="s">
        <v>1396</v>
      </c>
      <c r="F886" s="198" t="s">
        <v>21</v>
      </c>
      <c r="G886" s="3" t="s">
        <v>50</v>
      </c>
      <c r="H886" s="53" t="s">
        <v>381</v>
      </c>
      <c r="I886" s="3" t="s">
        <v>1408</v>
      </c>
      <c r="J886" s="3" t="s">
        <v>270</v>
      </c>
      <c r="K886" s="3" t="s">
        <v>539</v>
      </c>
      <c r="L886" s="3" t="s">
        <v>2282</v>
      </c>
      <c r="M886" s="53" t="s">
        <v>4422</v>
      </c>
      <c r="N886" s="258">
        <v>351000</v>
      </c>
      <c r="O886" s="266">
        <v>60</v>
      </c>
      <c r="P886" s="272">
        <v>1</v>
      </c>
      <c r="Q886" s="258">
        <v>210600</v>
      </c>
      <c r="R886" s="286">
        <v>210600</v>
      </c>
      <c r="S886" s="286">
        <v>65822</v>
      </c>
      <c r="T886" s="288">
        <v>0</v>
      </c>
      <c r="U886" s="288">
        <v>1</v>
      </c>
      <c r="V886" s="288">
        <v>0</v>
      </c>
      <c r="W886" s="286">
        <v>21060</v>
      </c>
      <c r="X886" s="286">
        <v>0</v>
      </c>
      <c r="Y886" s="200" t="s">
        <v>1392</v>
      </c>
      <c r="Z886" s="517" t="s">
        <v>5166</v>
      </c>
      <c r="AA886" s="499" t="s">
        <v>1485</v>
      </c>
      <c r="AB886" s="508"/>
    </row>
    <row r="887" spans="2:28" x14ac:dyDescent="0.15">
      <c r="B887" s="333" t="s">
        <v>4423</v>
      </c>
      <c r="C887" s="528">
        <v>43287</v>
      </c>
      <c r="D887" s="198" t="s">
        <v>4424</v>
      </c>
      <c r="E887" s="53" t="s">
        <v>1391</v>
      </c>
      <c r="F887" s="198" t="s">
        <v>4014</v>
      </c>
      <c r="G887" s="3" t="s">
        <v>370</v>
      </c>
      <c r="H887" s="53" t="s">
        <v>1491</v>
      </c>
      <c r="I887" s="3" t="s">
        <v>1492</v>
      </c>
      <c r="J887" s="3" t="s">
        <v>272</v>
      </c>
      <c r="K887" s="3" t="s">
        <v>363</v>
      </c>
      <c r="L887" s="3" t="s">
        <v>1916</v>
      </c>
      <c r="M887" s="53" t="s">
        <v>4425</v>
      </c>
      <c r="N887" s="258">
        <v>238000</v>
      </c>
      <c r="O887" s="266">
        <v>100</v>
      </c>
      <c r="P887" s="272">
        <v>1</v>
      </c>
      <c r="Q887" s="258">
        <v>238000</v>
      </c>
      <c r="R887" s="286">
        <v>238000</v>
      </c>
      <c r="S887" s="286">
        <v>83209</v>
      </c>
      <c r="T887" s="288">
        <v>0</v>
      </c>
      <c r="U887" s="288">
        <v>1</v>
      </c>
      <c r="V887" s="288">
        <v>0</v>
      </c>
      <c r="W887" s="286">
        <v>28333</v>
      </c>
      <c r="X887" s="286">
        <v>0</v>
      </c>
      <c r="Y887" s="200" t="s">
        <v>1392</v>
      </c>
      <c r="Z887" s="517" t="s">
        <v>5549</v>
      </c>
      <c r="AA887" s="499" t="s">
        <v>1485</v>
      </c>
      <c r="AB887" s="508"/>
    </row>
    <row r="888" spans="2:28" x14ac:dyDescent="0.15">
      <c r="B888" s="333" t="s">
        <v>4426</v>
      </c>
      <c r="C888" s="528">
        <v>43287</v>
      </c>
      <c r="D888" s="198" t="s">
        <v>4427</v>
      </c>
      <c r="E888" s="53" t="s">
        <v>1391</v>
      </c>
      <c r="F888" s="198" t="s">
        <v>3786</v>
      </c>
      <c r="G888" s="3" t="s">
        <v>364</v>
      </c>
      <c r="H888" s="53" t="s">
        <v>432</v>
      </c>
      <c r="I888" s="3" t="s">
        <v>375</v>
      </c>
      <c r="J888" s="3" t="s">
        <v>268</v>
      </c>
      <c r="K888" s="3" t="s">
        <v>1158</v>
      </c>
      <c r="L888" s="3" t="s">
        <v>4428</v>
      </c>
      <c r="M888" s="53" t="s">
        <v>4429</v>
      </c>
      <c r="N888" s="258">
        <v>130000</v>
      </c>
      <c r="O888" s="266">
        <v>100</v>
      </c>
      <c r="P888" s="272">
        <v>1</v>
      </c>
      <c r="Q888" s="258">
        <v>130000</v>
      </c>
      <c r="R888" s="286">
        <v>130000</v>
      </c>
      <c r="S888" s="286">
        <v>41796</v>
      </c>
      <c r="T888" s="288">
        <v>0</v>
      </c>
      <c r="U888" s="288">
        <v>1</v>
      </c>
      <c r="V888" s="288">
        <v>0</v>
      </c>
      <c r="W888" s="286">
        <v>15000</v>
      </c>
      <c r="X888" s="286">
        <v>0</v>
      </c>
      <c r="Y888" s="200" t="s">
        <v>1392</v>
      </c>
      <c r="Z888" s="517" t="s">
        <v>5166</v>
      </c>
      <c r="AA888" s="499" t="s">
        <v>1485</v>
      </c>
      <c r="AB888" s="508"/>
    </row>
    <row r="889" spans="2:28" x14ac:dyDescent="0.15">
      <c r="B889" s="333" t="s">
        <v>4430</v>
      </c>
      <c r="C889" s="528">
        <v>43287</v>
      </c>
      <c r="D889" s="198" t="s">
        <v>4431</v>
      </c>
      <c r="E889" s="53" t="s">
        <v>1396</v>
      </c>
      <c r="F889" s="198" t="s">
        <v>3784</v>
      </c>
      <c r="G889" s="3" t="s">
        <v>1110</v>
      </c>
      <c r="H889" s="53" t="s">
        <v>796</v>
      </c>
      <c r="I889" s="3" t="s">
        <v>1428</v>
      </c>
      <c r="J889" s="3" t="s">
        <v>3995</v>
      </c>
      <c r="K889" s="3" t="s">
        <v>1213</v>
      </c>
      <c r="L889" s="3" t="s">
        <v>4432</v>
      </c>
      <c r="M889" s="53" t="s">
        <v>4433</v>
      </c>
      <c r="N889" s="258">
        <v>300000</v>
      </c>
      <c r="O889" s="266">
        <v>60</v>
      </c>
      <c r="P889" s="272">
        <v>1</v>
      </c>
      <c r="Q889" s="258">
        <v>180000</v>
      </c>
      <c r="R889" s="286">
        <v>180000</v>
      </c>
      <c r="S889" s="286">
        <v>25875</v>
      </c>
      <c r="T889" s="288">
        <v>0</v>
      </c>
      <c r="U889" s="288">
        <v>1</v>
      </c>
      <c r="V889" s="288">
        <v>0</v>
      </c>
      <c r="W889" s="286">
        <v>18000</v>
      </c>
      <c r="X889" s="286">
        <v>0</v>
      </c>
      <c r="Y889" s="200" t="s">
        <v>1392</v>
      </c>
      <c r="Z889" s="517" t="s">
        <v>5166</v>
      </c>
      <c r="AA889" s="499" t="s">
        <v>1485</v>
      </c>
      <c r="AB889" s="508"/>
    </row>
    <row r="890" spans="2:28" x14ac:dyDescent="0.15">
      <c r="B890" s="333" t="s">
        <v>4461</v>
      </c>
      <c r="C890" s="528">
        <v>43288</v>
      </c>
      <c r="D890" s="198" t="s">
        <v>4463</v>
      </c>
      <c r="E890" s="53" t="s">
        <v>1391</v>
      </c>
      <c r="F890" s="198" t="s">
        <v>3786</v>
      </c>
      <c r="G890" s="3" t="s">
        <v>364</v>
      </c>
      <c r="H890" s="53" t="s">
        <v>432</v>
      </c>
      <c r="I890" s="3" t="s">
        <v>375</v>
      </c>
      <c r="J890" s="4" t="s">
        <v>299</v>
      </c>
      <c r="K890" s="4" t="s">
        <v>373</v>
      </c>
      <c r="L890" s="4" t="s">
        <v>4462</v>
      </c>
      <c r="M890" s="43"/>
      <c r="N890" s="255">
        <v>8000</v>
      </c>
      <c r="O890" s="265">
        <v>100</v>
      </c>
      <c r="P890" s="270">
        <v>1</v>
      </c>
      <c r="Q890" s="255">
        <v>8000</v>
      </c>
      <c r="R890" s="283">
        <v>8000</v>
      </c>
      <c r="S890" s="283">
        <v>2155</v>
      </c>
      <c r="T890" s="287">
        <v>0</v>
      </c>
      <c r="U890" s="287">
        <v>0</v>
      </c>
      <c r="V890" s="287">
        <v>0</v>
      </c>
      <c r="W890" s="283">
        <v>5845</v>
      </c>
      <c r="X890" s="283">
        <v>0</v>
      </c>
      <c r="Y890" s="199" t="s">
        <v>1392</v>
      </c>
      <c r="Z890" s="517" t="s">
        <v>5166</v>
      </c>
      <c r="AA890" s="493"/>
      <c r="AB890" s="507"/>
    </row>
    <row r="891" spans="2:28" x14ac:dyDescent="0.15">
      <c r="B891" s="333" t="s">
        <v>4434</v>
      </c>
      <c r="C891" s="528">
        <v>43294</v>
      </c>
      <c r="D891" s="198" t="s">
        <v>4435</v>
      </c>
      <c r="E891" s="53" t="s">
        <v>1391</v>
      </c>
      <c r="F891" s="198" t="s">
        <v>3783</v>
      </c>
      <c r="G891" s="3" t="s">
        <v>362</v>
      </c>
      <c r="H891" s="53" t="s">
        <v>689</v>
      </c>
      <c r="I891" s="3" t="s">
        <v>1394</v>
      </c>
      <c r="J891" s="3" t="s">
        <v>262</v>
      </c>
      <c r="K891" s="3" t="s">
        <v>365</v>
      </c>
      <c r="L891" s="3" t="s">
        <v>4436</v>
      </c>
      <c r="M891" s="53" t="s">
        <v>4437</v>
      </c>
      <c r="N891" s="258">
        <v>210000</v>
      </c>
      <c r="O891" s="266">
        <v>100</v>
      </c>
      <c r="P891" s="272">
        <v>1</v>
      </c>
      <c r="Q891" s="258">
        <v>210000</v>
      </c>
      <c r="R891" s="286">
        <v>210000</v>
      </c>
      <c r="S891" s="286">
        <v>98179</v>
      </c>
      <c r="T891" s="288">
        <v>1</v>
      </c>
      <c r="U891" s="288">
        <v>0</v>
      </c>
      <c r="V891" s="288">
        <v>0</v>
      </c>
      <c r="W891" s="286">
        <v>0</v>
      </c>
      <c r="X891" s="286">
        <v>0</v>
      </c>
      <c r="Y891" s="200" t="s">
        <v>4438</v>
      </c>
      <c r="Z891" s="517" t="s">
        <v>5543</v>
      </c>
      <c r="AA891" s="499" t="s">
        <v>1485</v>
      </c>
      <c r="AB891" s="508"/>
    </row>
    <row r="892" spans="2:28" x14ac:dyDescent="0.15">
      <c r="B892" s="333" t="s">
        <v>4440</v>
      </c>
      <c r="C892" s="528">
        <v>43294</v>
      </c>
      <c r="D892" s="198" t="s">
        <v>4441</v>
      </c>
      <c r="E892" s="53" t="s">
        <v>1396</v>
      </c>
      <c r="F892" s="198" t="s">
        <v>4442</v>
      </c>
      <c r="G892" s="3" t="s">
        <v>1352</v>
      </c>
      <c r="H892" s="53"/>
      <c r="I892" s="3"/>
      <c r="J892" s="4" t="s">
        <v>298</v>
      </c>
      <c r="K892" s="4" t="s">
        <v>1168</v>
      </c>
      <c r="L892" s="4" t="s">
        <v>4443</v>
      </c>
      <c r="M892" s="43"/>
      <c r="N892" s="255">
        <v>15000</v>
      </c>
      <c r="O892" s="265">
        <v>100</v>
      </c>
      <c r="P892" s="270">
        <v>1</v>
      </c>
      <c r="Q892" s="255">
        <v>15000</v>
      </c>
      <c r="R892" s="283">
        <v>15000</v>
      </c>
      <c r="S892" s="283">
        <v>3134</v>
      </c>
      <c r="T892" s="287">
        <v>0</v>
      </c>
      <c r="U892" s="287">
        <v>0</v>
      </c>
      <c r="V892" s="287">
        <v>0</v>
      </c>
      <c r="W892" s="283">
        <v>936</v>
      </c>
      <c r="X892" s="283">
        <v>0</v>
      </c>
      <c r="Y892" s="199" t="s">
        <v>1392</v>
      </c>
      <c r="Z892" s="517" t="s">
        <v>5167</v>
      </c>
      <c r="AA892" s="493" t="s">
        <v>1485</v>
      </c>
      <c r="AB892" s="507"/>
    </row>
    <row r="893" spans="2:28" x14ac:dyDescent="0.15">
      <c r="B893" s="333" t="s">
        <v>4444</v>
      </c>
      <c r="C893" s="528">
        <v>43294</v>
      </c>
      <c r="D893" s="198" t="s">
        <v>4445</v>
      </c>
      <c r="E893" s="53" t="s">
        <v>1391</v>
      </c>
      <c r="F893" s="198" t="s">
        <v>3786</v>
      </c>
      <c r="G893" s="3" t="s">
        <v>364</v>
      </c>
      <c r="H893" s="53" t="s">
        <v>492</v>
      </c>
      <c r="I893" s="3" t="s">
        <v>1431</v>
      </c>
      <c r="J893" s="4" t="s">
        <v>273</v>
      </c>
      <c r="K893" s="4" t="s">
        <v>1161</v>
      </c>
      <c r="L893" s="4" t="s">
        <v>2089</v>
      </c>
      <c r="M893" s="43" t="s">
        <v>4446</v>
      </c>
      <c r="N893" s="255">
        <v>270000</v>
      </c>
      <c r="O893" s="265">
        <v>60</v>
      </c>
      <c r="P893" s="270">
        <v>1</v>
      </c>
      <c r="Q893" s="255">
        <v>162000</v>
      </c>
      <c r="R893" s="283">
        <v>162000</v>
      </c>
      <c r="S893" s="283">
        <v>54610</v>
      </c>
      <c r="T893" s="287">
        <v>0</v>
      </c>
      <c r="U893" s="287">
        <v>1</v>
      </c>
      <c r="V893" s="287">
        <v>0</v>
      </c>
      <c r="W893" s="283">
        <v>16200</v>
      </c>
      <c r="X893" s="283">
        <v>0</v>
      </c>
      <c r="Y893" s="199" t="s">
        <v>1392</v>
      </c>
      <c r="Z893" s="517" t="s">
        <v>5167</v>
      </c>
      <c r="AA893" s="493" t="s">
        <v>1485</v>
      </c>
      <c r="AB893" s="507"/>
    </row>
    <row r="894" spans="2:28" x14ac:dyDescent="0.15">
      <c r="B894" s="333" t="s">
        <v>4447</v>
      </c>
      <c r="C894" s="528">
        <v>43294</v>
      </c>
      <c r="D894" s="198" t="s">
        <v>4448</v>
      </c>
      <c r="E894" s="53" t="s">
        <v>1391</v>
      </c>
      <c r="F894" s="198" t="s">
        <v>3786</v>
      </c>
      <c r="G894" s="3" t="s">
        <v>364</v>
      </c>
      <c r="H894" s="53" t="s">
        <v>461</v>
      </c>
      <c r="I894" s="3" t="s">
        <v>1600</v>
      </c>
      <c r="J894" s="4" t="s">
        <v>268</v>
      </c>
      <c r="K894" s="4" t="s">
        <v>1158</v>
      </c>
      <c r="L894" s="4" t="s">
        <v>4428</v>
      </c>
      <c r="M894" s="43" t="s">
        <v>4449</v>
      </c>
      <c r="N894" s="255">
        <v>130000</v>
      </c>
      <c r="O894" s="265">
        <v>100</v>
      </c>
      <c r="P894" s="270">
        <v>1</v>
      </c>
      <c r="Q894" s="255">
        <v>130000</v>
      </c>
      <c r="R894" s="283">
        <v>130000</v>
      </c>
      <c r="S894" s="283">
        <v>41769</v>
      </c>
      <c r="T894" s="287">
        <v>0</v>
      </c>
      <c r="U894" s="287">
        <v>1</v>
      </c>
      <c r="V894" s="287">
        <v>0</v>
      </c>
      <c r="W894" s="283">
        <v>15000</v>
      </c>
      <c r="X894" s="283">
        <v>0</v>
      </c>
      <c r="Y894" s="199" t="s">
        <v>1392</v>
      </c>
      <c r="Z894" s="517" t="s">
        <v>5166</v>
      </c>
      <c r="AA894" s="493" t="s">
        <v>1485</v>
      </c>
      <c r="AB894" s="507"/>
    </row>
    <row r="895" spans="2:28" x14ac:dyDescent="0.15">
      <c r="B895" s="333" t="s">
        <v>4450</v>
      </c>
      <c r="C895" s="528">
        <v>43294</v>
      </c>
      <c r="D895" s="198" t="s">
        <v>4451</v>
      </c>
      <c r="E895" s="53" t="s">
        <v>1391</v>
      </c>
      <c r="F895" s="198" t="s">
        <v>4154</v>
      </c>
      <c r="G895" s="3" t="s">
        <v>371</v>
      </c>
      <c r="H895" s="53" t="s">
        <v>383</v>
      </c>
      <c r="I895" s="3" t="s">
        <v>4114</v>
      </c>
      <c r="J895" s="4" t="s">
        <v>268</v>
      </c>
      <c r="K895" s="4" t="s">
        <v>1158</v>
      </c>
      <c r="L895" s="4" t="s">
        <v>4452</v>
      </c>
      <c r="M895" s="43" t="s">
        <v>4453</v>
      </c>
      <c r="N895" s="255">
        <v>305000</v>
      </c>
      <c r="O895" s="265">
        <v>60</v>
      </c>
      <c r="P895" s="270">
        <v>1</v>
      </c>
      <c r="Q895" s="255">
        <v>183000</v>
      </c>
      <c r="R895" s="283">
        <v>183000</v>
      </c>
      <c r="S895" s="283">
        <v>36349</v>
      </c>
      <c r="T895" s="287">
        <v>0</v>
      </c>
      <c r="U895" s="287">
        <v>1</v>
      </c>
      <c r="V895" s="287">
        <v>0</v>
      </c>
      <c r="W895" s="283">
        <v>18300</v>
      </c>
      <c r="X895" s="283">
        <v>0</v>
      </c>
      <c r="Y895" s="199" t="s">
        <v>1392</v>
      </c>
      <c r="Z895" s="517" t="s">
        <v>5542</v>
      </c>
      <c r="AA895" s="493" t="s">
        <v>1485</v>
      </c>
      <c r="AB895" s="507"/>
    </row>
    <row r="896" spans="2:28" x14ac:dyDescent="0.15">
      <c r="B896" s="333" t="s">
        <v>4454</v>
      </c>
      <c r="C896" s="528">
        <v>43294</v>
      </c>
      <c r="D896" s="198" t="s">
        <v>4455</v>
      </c>
      <c r="E896" s="53" t="s">
        <v>1396</v>
      </c>
      <c r="F896" s="198" t="s">
        <v>3784</v>
      </c>
      <c r="G896" s="3" t="s">
        <v>1110</v>
      </c>
      <c r="H896" s="53" t="s">
        <v>803</v>
      </c>
      <c r="I896" s="3" t="s">
        <v>1542</v>
      </c>
      <c r="J896" s="4" t="s">
        <v>270</v>
      </c>
      <c r="K896" s="4" t="s">
        <v>539</v>
      </c>
      <c r="L896" s="4" t="s">
        <v>1639</v>
      </c>
      <c r="M896" s="43" t="s">
        <v>4456</v>
      </c>
      <c r="N896" s="255">
        <v>323000</v>
      </c>
      <c r="O896" s="265">
        <v>60</v>
      </c>
      <c r="P896" s="270">
        <v>1</v>
      </c>
      <c r="Q896" s="255">
        <v>193800</v>
      </c>
      <c r="R896" s="283">
        <v>193800</v>
      </c>
      <c r="S896" s="283">
        <v>77119</v>
      </c>
      <c r="T896" s="287">
        <v>1</v>
      </c>
      <c r="U896" s="287">
        <v>0</v>
      </c>
      <c r="V896" s="287">
        <v>0</v>
      </c>
      <c r="W896" s="283">
        <v>0</v>
      </c>
      <c r="X896" s="283">
        <v>0</v>
      </c>
      <c r="Y896" s="199" t="s">
        <v>1395</v>
      </c>
      <c r="Z896" s="517" t="s">
        <v>5449</v>
      </c>
      <c r="AA896" s="493" t="s">
        <v>1485</v>
      </c>
      <c r="AB896" s="507"/>
    </row>
    <row r="897" spans="2:28" x14ac:dyDescent="0.15">
      <c r="B897" s="333" t="s">
        <v>4457</v>
      </c>
      <c r="C897" s="528">
        <v>43294</v>
      </c>
      <c r="D897" s="198" t="s">
        <v>4458</v>
      </c>
      <c r="E897" s="53" t="s">
        <v>1391</v>
      </c>
      <c r="F897" s="198" t="s">
        <v>4154</v>
      </c>
      <c r="G897" s="3" t="s">
        <v>371</v>
      </c>
      <c r="H897" s="53" t="s">
        <v>383</v>
      </c>
      <c r="I897" s="3" t="s">
        <v>4114</v>
      </c>
      <c r="J897" s="3" t="s">
        <v>268</v>
      </c>
      <c r="K897" s="3" t="s">
        <v>1158</v>
      </c>
      <c r="L897" s="3" t="s">
        <v>4459</v>
      </c>
      <c r="M897" s="53" t="s">
        <v>4460</v>
      </c>
      <c r="N897" s="258">
        <v>305000</v>
      </c>
      <c r="O897" s="266">
        <v>60</v>
      </c>
      <c r="P897" s="272">
        <v>1</v>
      </c>
      <c r="Q897" s="258">
        <v>183000</v>
      </c>
      <c r="R897" s="286">
        <v>183000</v>
      </c>
      <c r="S897" s="286">
        <v>27578</v>
      </c>
      <c r="T897" s="288">
        <v>0</v>
      </c>
      <c r="U897" s="288">
        <v>1</v>
      </c>
      <c r="V897" s="288">
        <v>0</v>
      </c>
      <c r="W897" s="286">
        <v>18300</v>
      </c>
      <c r="X897" s="286">
        <v>0</v>
      </c>
      <c r="Y897" s="200" t="s">
        <v>1392</v>
      </c>
      <c r="Z897" s="517" t="s">
        <v>5166</v>
      </c>
      <c r="AA897" s="499" t="s">
        <v>1485</v>
      </c>
      <c r="AB897" s="508"/>
    </row>
    <row r="898" spans="2:28" x14ac:dyDescent="0.15">
      <c r="B898" s="333" t="s">
        <v>4464</v>
      </c>
      <c r="C898" s="528">
        <v>43300</v>
      </c>
      <c r="D898" s="198" t="s">
        <v>4465</v>
      </c>
      <c r="E898" s="53" t="s">
        <v>1391</v>
      </c>
      <c r="F898" s="198" t="s">
        <v>2834</v>
      </c>
      <c r="G898" s="3" t="s">
        <v>3559</v>
      </c>
      <c r="H898" s="53"/>
      <c r="I898" s="3"/>
      <c r="J898" s="4" t="s">
        <v>297</v>
      </c>
      <c r="K898" s="4" t="s">
        <v>369</v>
      </c>
      <c r="L898" s="4" t="s">
        <v>4466</v>
      </c>
      <c r="M898" s="43"/>
      <c r="N898" s="255">
        <v>100</v>
      </c>
      <c r="O898" s="265">
        <v>50</v>
      </c>
      <c r="P898" s="270">
        <v>100</v>
      </c>
      <c r="Q898" s="255">
        <v>50</v>
      </c>
      <c r="R898" s="283">
        <v>5000</v>
      </c>
      <c r="S898" s="283">
        <v>2800</v>
      </c>
      <c r="T898" s="287">
        <v>0</v>
      </c>
      <c r="U898" s="287">
        <v>0</v>
      </c>
      <c r="V898" s="287">
        <v>0</v>
      </c>
      <c r="W898" s="283">
        <v>0</v>
      </c>
      <c r="X898" s="283">
        <v>0</v>
      </c>
      <c r="Y898" s="199" t="s">
        <v>1395</v>
      </c>
      <c r="Z898" s="517" t="s">
        <v>5170</v>
      </c>
      <c r="AA898" s="493" t="s">
        <v>1485</v>
      </c>
      <c r="AB898" s="507"/>
    </row>
    <row r="899" spans="2:28" x14ac:dyDescent="0.15">
      <c r="B899" s="333" t="s">
        <v>4467</v>
      </c>
      <c r="C899" s="528">
        <v>43300</v>
      </c>
      <c r="D899" s="198" t="s">
        <v>4468</v>
      </c>
      <c r="E899" s="53" t="s">
        <v>1391</v>
      </c>
      <c r="F899" s="198" t="s">
        <v>3786</v>
      </c>
      <c r="G899" s="3" t="s">
        <v>364</v>
      </c>
      <c r="H899" s="53" t="s">
        <v>1521</v>
      </c>
      <c r="I899" s="3" t="s">
        <v>1522</v>
      </c>
      <c r="J899" s="4" t="s">
        <v>295</v>
      </c>
      <c r="K899" s="4" t="s">
        <v>1166</v>
      </c>
      <c r="L899" s="4" t="s">
        <v>1498</v>
      </c>
      <c r="M899" s="43"/>
      <c r="N899" s="255">
        <v>24000</v>
      </c>
      <c r="O899" s="265">
        <v>65</v>
      </c>
      <c r="P899" s="270">
        <v>1</v>
      </c>
      <c r="Q899" s="255">
        <v>15600</v>
      </c>
      <c r="R899" s="283">
        <v>15600</v>
      </c>
      <c r="S899" s="283">
        <v>6150</v>
      </c>
      <c r="T899" s="287">
        <v>0</v>
      </c>
      <c r="U899" s="287">
        <v>0</v>
      </c>
      <c r="V899" s="287">
        <v>0</v>
      </c>
      <c r="W899" s="283">
        <v>0</v>
      </c>
      <c r="X899" s="283">
        <v>0</v>
      </c>
      <c r="Y899" s="199" t="s">
        <v>1395</v>
      </c>
      <c r="Z899" s="517" t="s">
        <v>5450</v>
      </c>
      <c r="AA899" s="493" t="s">
        <v>1485</v>
      </c>
      <c r="AB899" s="507"/>
    </row>
    <row r="900" spans="2:28" x14ac:dyDescent="0.15">
      <c r="B900" s="333" t="s">
        <v>4471</v>
      </c>
      <c r="C900" s="528">
        <v>43300</v>
      </c>
      <c r="D900" s="198" t="s">
        <v>4470</v>
      </c>
      <c r="E900" s="53" t="s">
        <v>1391</v>
      </c>
      <c r="F900" s="198" t="s">
        <v>3786</v>
      </c>
      <c r="G900" s="3" t="s">
        <v>364</v>
      </c>
      <c r="H900" s="53" t="s">
        <v>1521</v>
      </c>
      <c r="I900" s="3" t="s">
        <v>1522</v>
      </c>
      <c r="J900" s="4" t="s">
        <v>298</v>
      </c>
      <c r="K900" s="4" t="s">
        <v>1168</v>
      </c>
      <c r="L900" s="4" t="s">
        <v>4469</v>
      </c>
      <c r="M900" s="43"/>
      <c r="N900" s="255">
        <v>3500</v>
      </c>
      <c r="O900" s="265">
        <v>65</v>
      </c>
      <c r="P900" s="270">
        <v>1</v>
      </c>
      <c r="Q900" s="255">
        <v>2275</v>
      </c>
      <c r="R900" s="283">
        <v>2275</v>
      </c>
      <c r="S900" s="283">
        <v>995</v>
      </c>
      <c r="T900" s="287">
        <v>0</v>
      </c>
      <c r="U900" s="287">
        <v>0</v>
      </c>
      <c r="V900" s="287">
        <v>0</v>
      </c>
      <c r="W900" s="283">
        <v>0</v>
      </c>
      <c r="X900" s="283">
        <v>0</v>
      </c>
      <c r="Y900" s="199" t="s">
        <v>1395</v>
      </c>
      <c r="Z900" s="517" t="s">
        <v>5551</v>
      </c>
      <c r="AA900" s="493" t="s">
        <v>1485</v>
      </c>
      <c r="AB900" s="507"/>
    </row>
    <row r="901" spans="2:28" x14ac:dyDescent="0.15">
      <c r="B901" s="327" t="s">
        <v>4473</v>
      </c>
      <c r="C901" s="527">
        <v>43301</v>
      </c>
      <c r="D901" s="191" t="s">
        <v>4474</v>
      </c>
      <c r="E901" s="43" t="s">
        <v>1391</v>
      </c>
      <c r="F901" s="191" t="s">
        <v>4475</v>
      </c>
      <c r="G901" s="4" t="s">
        <v>367</v>
      </c>
      <c r="H901" s="43"/>
      <c r="I901" s="4"/>
      <c r="J901" s="4" t="s">
        <v>299</v>
      </c>
      <c r="K901" s="4" t="s">
        <v>373</v>
      </c>
      <c r="L901" s="4" t="s">
        <v>4476</v>
      </c>
      <c r="M901" s="43"/>
      <c r="N901" s="255">
        <v>10000</v>
      </c>
      <c r="O901" s="265">
        <v>100</v>
      </c>
      <c r="P901" s="270">
        <v>1</v>
      </c>
      <c r="Q901" s="255">
        <v>10000</v>
      </c>
      <c r="R901" s="283">
        <v>10000</v>
      </c>
      <c r="S901" s="283">
        <v>2694</v>
      </c>
      <c r="T901" s="287">
        <v>0</v>
      </c>
      <c r="U901" s="287">
        <v>0</v>
      </c>
      <c r="V901" s="287">
        <v>0</v>
      </c>
      <c r="W901" s="283">
        <v>7306</v>
      </c>
      <c r="X901" s="283">
        <v>0</v>
      </c>
      <c r="Y901" s="199" t="s">
        <v>1392</v>
      </c>
      <c r="Z901" s="517" t="s">
        <v>5166</v>
      </c>
      <c r="AA901" s="493" t="s">
        <v>1485</v>
      </c>
      <c r="AB901" s="507"/>
    </row>
    <row r="902" spans="2:28" x14ac:dyDescent="0.15">
      <c r="B902" s="327" t="s">
        <v>4473</v>
      </c>
      <c r="C902" s="527">
        <v>43301</v>
      </c>
      <c r="D902" s="191" t="s">
        <v>4474</v>
      </c>
      <c r="E902" s="43" t="s">
        <v>1391</v>
      </c>
      <c r="F902" s="191" t="s">
        <v>4475</v>
      </c>
      <c r="G902" s="4" t="s">
        <v>367</v>
      </c>
      <c r="H902" s="43"/>
      <c r="I902" s="4"/>
      <c r="J902" s="4" t="s">
        <v>298</v>
      </c>
      <c r="K902" s="4" t="s">
        <v>1168</v>
      </c>
      <c r="L902" s="4" t="s">
        <v>1430</v>
      </c>
      <c r="M902" s="43"/>
      <c r="N902" s="255">
        <v>17000</v>
      </c>
      <c r="O902" s="265">
        <v>65</v>
      </c>
      <c r="P902" s="270">
        <v>1</v>
      </c>
      <c r="Q902" s="255">
        <v>11050</v>
      </c>
      <c r="R902" s="283">
        <v>11050</v>
      </c>
      <c r="S902" s="283">
        <v>1795</v>
      </c>
      <c r="T902" s="287">
        <v>0</v>
      </c>
      <c r="U902" s="287">
        <v>0</v>
      </c>
      <c r="V902" s="287">
        <v>0</v>
      </c>
      <c r="W902" s="283">
        <v>1275</v>
      </c>
      <c r="X902" s="283">
        <v>0</v>
      </c>
      <c r="Y902" s="199" t="s">
        <v>1392</v>
      </c>
      <c r="Z902" s="517" t="s">
        <v>5166</v>
      </c>
      <c r="AA902" s="493" t="s">
        <v>1485</v>
      </c>
      <c r="AB902" s="507"/>
    </row>
    <row r="903" spans="2:28" x14ac:dyDescent="0.15">
      <c r="B903" s="327" t="s">
        <v>4477</v>
      </c>
      <c r="C903" s="527">
        <v>43301</v>
      </c>
      <c r="D903" s="191" t="s">
        <v>4478</v>
      </c>
      <c r="E903" s="43" t="s">
        <v>2382</v>
      </c>
      <c r="F903" s="191" t="s">
        <v>3842</v>
      </c>
      <c r="G903" s="4" t="s">
        <v>2375</v>
      </c>
      <c r="H903" s="43"/>
      <c r="I903" s="4" t="s">
        <v>4479</v>
      </c>
      <c r="J903" s="4" t="s">
        <v>298</v>
      </c>
      <c r="K903" s="4" t="s">
        <v>1168</v>
      </c>
      <c r="L903" s="4" t="s">
        <v>4480</v>
      </c>
      <c r="M903" s="43"/>
      <c r="N903" s="255">
        <v>7080</v>
      </c>
      <c r="O903" s="265">
        <v>100</v>
      </c>
      <c r="P903" s="270">
        <v>1</v>
      </c>
      <c r="Q903" s="255">
        <v>7080</v>
      </c>
      <c r="R903" s="283">
        <v>7080</v>
      </c>
      <c r="S903" s="283">
        <v>2464</v>
      </c>
      <c r="T903" s="287">
        <v>0</v>
      </c>
      <c r="U903" s="287">
        <v>0</v>
      </c>
      <c r="V903" s="287">
        <v>0</v>
      </c>
      <c r="W903" s="283">
        <v>816</v>
      </c>
      <c r="X903" s="283">
        <v>0</v>
      </c>
      <c r="Y903" s="199" t="s">
        <v>1392</v>
      </c>
      <c r="Z903" s="517" t="s">
        <v>5451</v>
      </c>
      <c r="AA903" s="493"/>
      <c r="AB903" s="507"/>
    </row>
    <row r="904" spans="2:28" x14ac:dyDescent="0.15">
      <c r="B904" s="327" t="s">
        <v>4481</v>
      </c>
      <c r="C904" s="527">
        <v>43301</v>
      </c>
      <c r="D904" s="191" t="s">
        <v>4482</v>
      </c>
      <c r="E904" s="43" t="s">
        <v>1391</v>
      </c>
      <c r="F904" s="191" t="s">
        <v>3786</v>
      </c>
      <c r="G904" s="4" t="s">
        <v>364</v>
      </c>
      <c r="H904" s="43" t="s">
        <v>4346</v>
      </c>
      <c r="I904" s="4" t="s">
        <v>4347</v>
      </c>
      <c r="J904" s="4" t="s">
        <v>295</v>
      </c>
      <c r="K904" s="4" t="s">
        <v>1166</v>
      </c>
      <c r="L904" s="4" t="s">
        <v>4483</v>
      </c>
      <c r="M904" s="43"/>
      <c r="N904" s="255">
        <v>34000</v>
      </c>
      <c r="O904" s="265">
        <v>65</v>
      </c>
      <c r="P904" s="270">
        <v>1</v>
      </c>
      <c r="Q904" s="255">
        <v>22100</v>
      </c>
      <c r="R904" s="283">
        <v>22100</v>
      </c>
      <c r="S904" s="283">
        <v>7300</v>
      </c>
      <c r="T904" s="287">
        <v>0</v>
      </c>
      <c r="U904" s="287">
        <v>0</v>
      </c>
      <c r="V904" s="287">
        <v>0</v>
      </c>
      <c r="W904" s="283">
        <v>0</v>
      </c>
      <c r="X904" s="283">
        <v>0</v>
      </c>
      <c r="Y904" s="199" t="s">
        <v>1395</v>
      </c>
      <c r="Z904" s="517" t="s">
        <v>5166</v>
      </c>
      <c r="AA904" s="493" t="s">
        <v>1485</v>
      </c>
      <c r="AB904" s="507"/>
    </row>
    <row r="905" spans="2:28" x14ac:dyDescent="0.15">
      <c r="B905" s="327" t="s">
        <v>4486</v>
      </c>
      <c r="C905" s="527">
        <v>43301</v>
      </c>
      <c r="D905" s="191" t="s">
        <v>4487</v>
      </c>
      <c r="E905" s="43" t="s">
        <v>1391</v>
      </c>
      <c r="F905" s="191" t="s">
        <v>3786</v>
      </c>
      <c r="G905" s="4" t="s">
        <v>364</v>
      </c>
      <c r="H905" s="43" t="s">
        <v>468</v>
      </c>
      <c r="I905" s="4" t="s">
        <v>4335</v>
      </c>
      <c r="J905" s="4" t="s">
        <v>262</v>
      </c>
      <c r="K905" s="4" t="s">
        <v>365</v>
      </c>
      <c r="L905" s="4" t="s">
        <v>3735</v>
      </c>
      <c r="M905" s="43" t="s">
        <v>4488</v>
      </c>
      <c r="N905" s="255">
        <v>130000</v>
      </c>
      <c r="O905" s="265">
        <v>100</v>
      </c>
      <c r="P905" s="270">
        <v>1</v>
      </c>
      <c r="Q905" s="255">
        <v>130000</v>
      </c>
      <c r="R905" s="283">
        <v>130000</v>
      </c>
      <c r="S905" s="283">
        <v>52820</v>
      </c>
      <c r="T905" s="287">
        <v>1</v>
      </c>
      <c r="U905" s="287">
        <v>0</v>
      </c>
      <c r="V905" s="287">
        <v>0</v>
      </c>
      <c r="W905" s="283">
        <v>0</v>
      </c>
      <c r="X905" s="283">
        <v>0</v>
      </c>
      <c r="Y905" s="199" t="s">
        <v>1395</v>
      </c>
      <c r="Z905" s="517" t="s">
        <v>5556</v>
      </c>
      <c r="AA905" s="493" t="s">
        <v>1485</v>
      </c>
      <c r="AB905" s="507"/>
    </row>
    <row r="906" spans="2:28" x14ac:dyDescent="0.15">
      <c r="B906" s="327" t="s">
        <v>4489</v>
      </c>
      <c r="C906" s="527">
        <v>43301</v>
      </c>
      <c r="D906" s="191" t="s">
        <v>4490</v>
      </c>
      <c r="E906" s="43" t="s">
        <v>1391</v>
      </c>
      <c r="F906" s="191" t="s">
        <v>3786</v>
      </c>
      <c r="G906" s="4" t="s">
        <v>364</v>
      </c>
      <c r="H906" s="43" t="s">
        <v>465</v>
      </c>
      <c r="I906" s="4" t="s">
        <v>3418</v>
      </c>
      <c r="J906" s="4" t="s">
        <v>262</v>
      </c>
      <c r="K906" s="4" t="s">
        <v>365</v>
      </c>
      <c r="L906" s="4" t="s">
        <v>3752</v>
      </c>
      <c r="M906" s="43" t="s">
        <v>4491</v>
      </c>
      <c r="N906" s="255">
        <v>130000</v>
      </c>
      <c r="O906" s="265">
        <v>100</v>
      </c>
      <c r="P906" s="270">
        <v>1</v>
      </c>
      <c r="Q906" s="255">
        <v>130000</v>
      </c>
      <c r="R906" s="283">
        <v>130000</v>
      </c>
      <c r="S906" s="283">
        <v>52820</v>
      </c>
      <c r="T906" s="287">
        <v>1</v>
      </c>
      <c r="U906" s="287">
        <v>0</v>
      </c>
      <c r="V906" s="287">
        <v>0</v>
      </c>
      <c r="W906" s="283">
        <v>0</v>
      </c>
      <c r="X906" s="283">
        <v>0</v>
      </c>
      <c r="Y906" s="199" t="s">
        <v>1395</v>
      </c>
      <c r="Z906" s="517" t="s">
        <v>5556</v>
      </c>
      <c r="AA906" s="493" t="s">
        <v>1485</v>
      </c>
      <c r="AB906" s="507"/>
    </row>
    <row r="907" spans="2:28" x14ac:dyDescent="0.15">
      <c r="B907" s="327" t="s">
        <v>4492</v>
      </c>
      <c r="C907" s="527">
        <v>43301</v>
      </c>
      <c r="D907" s="191" t="s">
        <v>4493</v>
      </c>
      <c r="E907" s="43" t="s">
        <v>1391</v>
      </c>
      <c r="F907" s="191" t="s">
        <v>3786</v>
      </c>
      <c r="G907" s="4" t="s">
        <v>364</v>
      </c>
      <c r="H907" s="43" t="s">
        <v>470</v>
      </c>
      <c r="I907" s="4" t="s">
        <v>1597</v>
      </c>
      <c r="J907" s="4" t="s">
        <v>262</v>
      </c>
      <c r="K907" s="4" t="s">
        <v>365</v>
      </c>
      <c r="L907" s="4" t="s">
        <v>3752</v>
      </c>
      <c r="M907" s="43" t="s">
        <v>4494</v>
      </c>
      <c r="N907" s="255">
        <v>130000</v>
      </c>
      <c r="O907" s="265">
        <v>100</v>
      </c>
      <c r="P907" s="270">
        <v>1</v>
      </c>
      <c r="Q907" s="255">
        <v>130000</v>
      </c>
      <c r="R907" s="283">
        <v>130000</v>
      </c>
      <c r="S907" s="283">
        <v>52820</v>
      </c>
      <c r="T907" s="287">
        <v>1</v>
      </c>
      <c r="U907" s="287">
        <v>0</v>
      </c>
      <c r="V907" s="287">
        <v>0</v>
      </c>
      <c r="W907" s="283">
        <v>0</v>
      </c>
      <c r="X907" s="283">
        <v>0</v>
      </c>
      <c r="Y907" s="199" t="s">
        <v>1395</v>
      </c>
      <c r="Z907" s="517" t="s">
        <v>5536</v>
      </c>
      <c r="AA907" s="493" t="s">
        <v>1485</v>
      </c>
      <c r="AB907" s="507"/>
    </row>
    <row r="908" spans="2:28" x14ac:dyDescent="0.15">
      <c r="B908" s="327" t="s">
        <v>4495</v>
      </c>
      <c r="C908" s="527">
        <v>43301</v>
      </c>
      <c r="D908" s="191" t="s">
        <v>4496</v>
      </c>
      <c r="E908" s="43" t="s">
        <v>1391</v>
      </c>
      <c r="F908" s="191" t="s">
        <v>3786</v>
      </c>
      <c r="G908" s="4" t="s">
        <v>364</v>
      </c>
      <c r="H908" s="43" t="s">
        <v>470</v>
      </c>
      <c r="I908" s="4" t="s">
        <v>1597</v>
      </c>
      <c r="J908" s="4" t="s">
        <v>262</v>
      </c>
      <c r="K908" s="4" t="s">
        <v>365</v>
      </c>
      <c r="L908" s="4" t="s">
        <v>3735</v>
      </c>
      <c r="M908" s="43" t="s">
        <v>4497</v>
      </c>
      <c r="N908" s="255">
        <v>130000</v>
      </c>
      <c r="O908" s="265">
        <v>100</v>
      </c>
      <c r="P908" s="270">
        <v>1</v>
      </c>
      <c r="Q908" s="255">
        <v>130000</v>
      </c>
      <c r="R908" s="283">
        <v>130000</v>
      </c>
      <c r="S908" s="283">
        <v>52820</v>
      </c>
      <c r="T908" s="287">
        <v>1</v>
      </c>
      <c r="U908" s="287">
        <v>0</v>
      </c>
      <c r="V908" s="287">
        <v>0</v>
      </c>
      <c r="W908" s="283">
        <v>0</v>
      </c>
      <c r="X908" s="283">
        <v>0</v>
      </c>
      <c r="Y908" s="199" t="s">
        <v>1395</v>
      </c>
      <c r="Z908" s="517" t="s">
        <v>5536</v>
      </c>
      <c r="AA908" s="493" t="s">
        <v>1485</v>
      </c>
      <c r="AB908" s="507"/>
    </row>
    <row r="909" spans="2:28" x14ac:dyDescent="0.15">
      <c r="B909" s="327" t="s">
        <v>4498</v>
      </c>
      <c r="C909" s="527">
        <v>43301</v>
      </c>
      <c r="D909" s="191" t="s">
        <v>4499</v>
      </c>
      <c r="E909" s="43" t="s">
        <v>1391</v>
      </c>
      <c r="F909" s="191" t="s">
        <v>3786</v>
      </c>
      <c r="G909" s="4" t="s">
        <v>364</v>
      </c>
      <c r="H909" s="43" t="s">
        <v>470</v>
      </c>
      <c r="I909" s="4" t="s">
        <v>1597</v>
      </c>
      <c r="J909" s="4" t="s">
        <v>262</v>
      </c>
      <c r="K909" s="4" t="s">
        <v>365</v>
      </c>
      <c r="L909" s="4" t="s">
        <v>3745</v>
      </c>
      <c r="M909" s="43" t="s">
        <v>4500</v>
      </c>
      <c r="N909" s="255">
        <v>130000</v>
      </c>
      <c r="O909" s="265">
        <v>100</v>
      </c>
      <c r="P909" s="270">
        <v>1</v>
      </c>
      <c r="Q909" s="255">
        <v>130000</v>
      </c>
      <c r="R909" s="283">
        <v>130000</v>
      </c>
      <c r="S909" s="283">
        <v>50820</v>
      </c>
      <c r="T909" s="287">
        <v>1</v>
      </c>
      <c r="U909" s="287">
        <v>0</v>
      </c>
      <c r="V909" s="287">
        <v>0</v>
      </c>
      <c r="W909" s="283">
        <v>0</v>
      </c>
      <c r="X909" s="283">
        <v>0</v>
      </c>
      <c r="Y909" s="199" t="s">
        <v>1395</v>
      </c>
      <c r="Z909" s="517" t="s">
        <v>5556</v>
      </c>
      <c r="AA909" s="493" t="s">
        <v>1485</v>
      </c>
      <c r="AB909" s="507"/>
    </row>
    <row r="910" spans="2:28" x14ac:dyDescent="0.15">
      <c r="B910" s="327" t="s">
        <v>4501</v>
      </c>
      <c r="C910" s="527">
        <v>43301</v>
      </c>
      <c r="D910" s="191" t="s">
        <v>4502</v>
      </c>
      <c r="E910" s="43" t="s">
        <v>1391</v>
      </c>
      <c r="F910" s="191" t="s">
        <v>3786</v>
      </c>
      <c r="G910" s="4" t="s">
        <v>364</v>
      </c>
      <c r="H910" s="43" t="s">
        <v>456</v>
      </c>
      <c r="I910" s="4" t="s">
        <v>1721</v>
      </c>
      <c r="J910" s="4" t="s">
        <v>262</v>
      </c>
      <c r="K910" s="4" t="s">
        <v>365</v>
      </c>
      <c r="L910" s="4" t="s">
        <v>3752</v>
      </c>
      <c r="M910" s="43" t="s">
        <v>4503</v>
      </c>
      <c r="N910" s="255">
        <v>130000</v>
      </c>
      <c r="O910" s="265">
        <v>100</v>
      </c>
      <c r="P910" s="270">
        <v>1</v>
      </c>
      <c r="Q910" s="255">
        <v>130000</v>
      </c>
      <c r="R910" s="283">
        <v>130000</v>
      </c>
      <c r="S910" s="283">
        <v>37820</v>
      </c>
      <c r="T910" s="287">
        <v>0</v>
      </c>
      <c r="U910" s="287">
        <v>1</v>
      </c>
      <c r="V910" s="287">
        <v>0</v>
      </c>
      <c r="W910" s="283">
        <v>15000</v>
      </c>
      <c r="X910" s="283">
        <v>0</v>
      </c>
      <c r="Y910" s="199" t="s">
        <v>1392</v>
      </c>
      <c r="Z910" s="517" t="s">
        <v>5166</v>
      </c>
      <c r="AA910" s="493" t="s">
        <v>1485</v>
      </c>
      <c r="AB910" s="507"/>
    </row>
    <row r="911" spans="2:28" x14ac:dyDescent="0.15">
      <c r="B911" s="327" t="s">
        <v>4504</v>
      </c>
      <c r="C911" s="527">
        <v>43301</v>
      </c>
      <c r="D911" s="191" t="s">
        <v>4505</v>
      </c>
      <c r="E911" s="43" t="s">
        <v>1391</v>
      </c>
      <c r="F911" s="191" t="s">
        <v>3786</v>
      </c>
      <c r="G911" s="4" t="s">
        <v>364</v>
      </c>
      <c r="H911" s="43" t="s">
        <v>456</v>
      </c>
      <c r="I911" s="4" t="s">
        <v>1721</v>
      </c>
      <c r="J911" s="4" t="s">
        <v>262</v>
      </c>
      <c r="K911" s="4" t="s">
        <v>365</v>
      </c>
      <c r="L911" s="4" t="s">
        <v>3735</v>
      </c>
      <c r="M911" s="43" t="s">
        <v>4506</v>
      </c>
      <c r="N911" s="255">
        <v>130000</v>
      </c>
      <c r="O911" s="265">
        <v>100</v>
      </c>
      <c r="P911" s="270">
        <v>1</v>
      </c>
      <c r="Q911" s="255">
        <v>130000</v>
      </c>
      <c r="R911" s="283">
        <v>130000</v>
      </c>
      <c r="S911" s="283">
        <v>37820</v>
      </c>
      <c r="T911" s="287">
        <v>0</v>
      </c>
      <c r="U911" s="287">
        <v>1</v>
      </c>
      <c r="V911" s="287">
        <v>0</v>
      </c>
      <c r="W911" s="283">
        <v>15000</v>
      </c>
      <c r="X911" s="283">
        <v>0</v>
      </c>
      <c r="Y911" s="199" t="s">
        <v>1392</v>
      </c>
      <c r="Z911" s="517" t="s">
        <v>5166</v>
      </c>
      <c r="AA911" s="493" t="s">
        <v>1485</v>
      </c>
      <c r="AB911" s="507"/>
    </row>
    <row r="912" spans="2:28" x14ac:dyDescent="0.15">
      <c r="B912" s="327" t="s">
        <v>4507</v>
      </c>
      <c r="C912" s="527">
        <v>43301</v>
      </c>
      <c r="D912" s="191" t="s">
        <v>4508</v>
      </c>
      <c r="E912" s="43" t="s">
        <v>1391</v>
      </c>
      <c r="F912" s="191" t="s">
        <v>4154</v>
      </c>
      <c r="G912" s="4" t="s">
        <v>371</v>
      </c>
      <c r="H912" s="43" t="s">
        <v>386</v>
      </c>
      <c r="I912" s="4" t="s">
        <v>1407</v>
      </c>
      <c r="J912" s="4" t="s">
        <v>298</v>
      </c>
      <c r="K912" s="4" t="s">
        <v>1168</v>
      </c>
      <c r="L912" s="4" t="s">
        <v>1430</v>
      </c>
      <c r="M912" s="43"/>
      <c r="N912" s="255">
        <v>17000</v>
      </c>
      <c r="O912" s="265">
        <v>65</v>
      </c>
      <c r="P912" s="270">
        <v>1</v>
      </c>
      <c r="Q912" s="255">
        <v>11050</v>
      </c>
      <c r="R912" s="283">
        <v>11050</v>
      </c>
      <c r="S912" s="283">
        <v>1795</v>
      </c>
      <c r="T912" s="287">
        <v>0</v>
      </c>
      <c r="U912" s="287">
        <v>0</v>
      </c>
      <c r="V912" s="287">
        <v>0</v>
      </c>
      <c r="W912" s="283">
        <v>1275</v>
      </c>
      <c r="X912" s="283">
        <v>0</v>
      </c>
      <c r="Y912" s="199" t="s">
        <v>1392</v>
      </c>
      <c r="Z912" s="517" t="s">
        <v>5542</v>
      </c>
      <c r="AA912" s="493" t="s">
        <v>1485</v>
      </c>
      <c r="AB912" s="507"/>
    </row>
    <row r="913" spans="2:28" x14ac:dyDescent="0.15">
      <c r="B913" s="327" t="s">
        <v>4507</v>
      </c>
      <c r="C913" s="527">
        <v>43301</v>
      </c>
      <c r="D913" s="191" t="s">
        <v>4508</v>
      </c>
      <c r="E913" s="43" t="s">
        <v>1391</v>
      </c>
      <c r="F913" s="191" t="s">
        <v>4154</v>
      </c>
      <c r="G913" s="4" t="s">
        <v>371</v>
      </c>
      <c r="H913" s="43" t="s">
        <v>386</v>
      </c>
      <c r="I913" s="4" t="s">
        <v>1407</v>
      </c>
      <c r="J913" s="4" t="s">
        <v>298</v>
      </c>
      <c r="K913" s="4" t="s">
        <v>1168</v>
      </c>
      <c r="L913" s="4" t="s">
        <v>4509</v>
      </c>
      <c r="M913" s="43"/>
      <c r="N913" s="255">
        <v>30000</v>
      </c>
      <c r="O913" s="265">
        <v>65</v>
      </c>
      <c r="P913" s="270">
        <v>1</v>
      </c>
      <c r="Q913" s="255">
        <v>19500</v>
      </c>
      <c r="R913" s="283">
        <v>19500</v>
      </c>
      <c r="S913" s="283">
        <v>12300</v>
      </c>
      <c r="T913" s="287">
        <v>0</v>
      </c>
      <c r="U913" s="287">
        <v>0</v>
      </c>
      <c r="V913" s="287">
        <v>0</v>
      </c>
      <c r="W913" s="283">
        <v>2250</v>
      </c>
      <c r="X913" s="283">
        <v>0</v>
      </c>
      <c r="Y913" s="199" t="s">
        <v>1392</v>
      </c>
      <c r="Z913" s="517" t="s">
        <v>5532</v>
      </c>
      <c r="AA913" s="493" t="s">
        <v>1485</v>
      </c>
      <c r="AB913" s="507"/>
    </row>
    <row r="914" spans="2:28" x14ac:dyDescent="0.15">
      <c r="B914" s="327" t="s">
        <v>4507</v>
      </c>
      <c r="C914" s="527">
        <v>43301</v>
      </c>
      <c r="D914" s="191" t="s">
        <v>4508</v>
      </c>
      <c r="E914" s="43" t="s">
        <v>1391</v>
      </c>
      <c r="F914" s="191" t="s">
        <v>4154</v>
      </c>
      <c r="G914" s="4" t="s">
        <v>371</v>
      </c>
      <c r="H914" s="43" t="s">
        <v>386</v>
      </c>
      <c r="I914" s="4" t="s">
        <v>1407</v>
      </c>
      <c r="J914" s="4" t="s">
        <v>299</v>
      </c>
      <c r="K914" s="4" t="s">
        <v>373</v>
      </c>
      <c r="L914" s="4" t="s">
        <v>1541</v>
      </c>
      <c r="M914" s="43"/>
      <c r="N914" s="255">
        <v>5000</v>
      </c>
      <c r="O914" s="265">
        <v>100</v>
      </c>
      <c r="P914" s="270">
        <v>1</v>
      </c>
      <c r="Q914" s="255">
        <v>5000</v>
      </c>
      <c r="R914" s="283">
        <v>5000</v>
      </c>
      <c r="S914" s="283">
        <v>1348</v>
      </c>
      <c r="T914" s="287">
        <v>0</v>
      </c>
      <c r="U914" s="287">
        <v>0</v>
      </c>
      <c r="V914" s="287">
        <v>0</v>
      </c>
      <c r="W914" s="283">
        <v>3652</v>
      </c>
      <c r="X914" s="283">
        <v>0</v>
      </c>
      <c r="Y914" s="199" t="s">
        <v>1392</v>
      </c>
      <c r="Z914" s="517" t="s">
        <v>5542</v>
      </c>
      <c r="AA914" s="493" t="s">
        <v>1485</v>
      </c>
      <c r="AB914" s="507"/>
    </row>
    <row r="915" spans="2:28" x14ac:dyDescent="0.15">
      <c r="B915" s="327" t="s">
        <v>4510</v>
      </c>
      <c r="C915" s="527">
        <v>43301</v>
      </c>
      <c r="D915" s="191" t="s">
        <v>4511</v>
      </c>
      <c r="E915" s="43" t="s">
        <v>1391</v>
      </c>
      <c r="F915" s="191" t="s">
        <v>3786</v>
      </c>
      <c r="G915" s="4" t="s">
        <v>364</v>
      </c>
      <c r="H915" s="43" t="s">
        <v>2620</v>
      </c>
      <c r="I915" s="4" t="s">
        <v>2621</v>
      </c>
      <c r="J915" s="4" t="s">
        <v>262</v>
      </c>
      <c r="K915" s="4" t="s">
        <v>365</v>
      </c>
      <c r="L915" s="4" t="s">
        <v>3752</v>
      </c>
      <c r="M915" s="43" t="s">
        <v>4512</v>
      </c>
      <c r="N915" s="255">
        <v>130000</v>
      </c>
      <c r="O915" s="265">
        <v>100</v>
      </c>
      <c r="P915" s="270">
        <v>1</v>
      </c>
      <c r="Q915" s="255">
        <v>130000</v>
      </c>
      <c r="R915" s="283">
        <v>130000</v>
      </c>
      <c r="S915" s="283">
        <v>37820</v>
      </c>
      <c r="T915" s="287">
        <v>0</v>
      </c>
      <c r="U915" s="287">
        <v>1</v>
      </c>
      <c r="V915" s="287">
        <v>0</v>
      </c>
      <c r="W915" s="283">
        <v>15000</v>
      </c>
      <c r="X915" s="283">
        <v>0</v>
      </c>
      <c r="Y915" s="199" t="s">
        <v>1392</v>
      </c>
      <c r="Z915" s="517" t="s">
        <v>5546</v>
      </c>
      <c r="AA915" s="493" t="s">
        <v>1485</v>
      </c>
      <c r="AB915" s="507"/>
    </row>
    <row r="916" spans="2:28" x14ac:dyDescent="0.15">
      <c r="B916" s="327" t="s">
        <v>4513</v>
      </c>
      <c r="C916" s="527">
        <v>43301</v>
      </c>
      <c r="D916" s="191" t="s">
        <v>4514</v>
      </c>
      <c r="E916" s="43" t="s">
        <v>1391</v>
      </c>
      <c r="F916" s="191" t="s">
        <v>3786</v>
      </c>
      <c r="G916" s="4" t="s">
        <v>364</v>
      </c>
      <c r="H916" s="43" t="s">
        <v>2620</v>
      </c>
      <c r="I916" s="4" t="s">
        <v>2621</v>
      </c>
      <c r="J916" s="4" t="s">
        <v>262</v>
      </c>
      <c r="K916" s="4" t="s">
        <v>365</v>
      </c>
      <c r="L916" s="4" t="s">
        <v>3745</v>
      </c>
      <c r="M916" s="191" t="s">
        <v>4519</v>
      </c>
      <c r="N916" s="255">
        <v>130000</v>
      </c>
      <c r="O916" s="265">
        <v>100</v>
      </c>
      <c r="P916" s="270">
        <v>1</v>
      </c>
      <c r="Q916" s="255">
        <v>130000</v>
      </c>
      <c r="R916" s="283">
        <v>130000</v>
      </c>
      <c r="S916" s="283">
        <v>35820</v>
      </c>
      <c r="T916" s="287">
        <v>0</v>
      </c>
      <c r="U916" s="287">
        <v>1</v>
      </c>
      <c r="V916" s="287">
        <v>0</v>
      </c>
      <c r="W916" s="283">
        <v>15000</v>
      </c>
      <c r="X916" s="283">
        <v>0</v>
      </c>
      <c r="Y916" s="199" t="s">
        <v>1392</v>
      </c>
      <c r="Z916" s="517" t="s">
        <v>5449</v>
      </c>
      <c r="AA916" s="493" t="s">
        <v>1485</v>
      </c>
      <c r="AB916" s="507"/>
    </row>
    <row r="917" spans="2:28" x14ac:dyDescent="0.15">
      <c r="B917" s="327" t="s">
        <v>4520</v>
      </c>
      <c r="C917" s="527">
        <v>43301</v>
      </c>
      <c r="D917" s="191" t="s">
        <v>4521</v>
      </c>
      <c r="E917" s="43" t="s">
        <v>1391</v>
      </c>
      <c r="F917" s="191" t="s">
        <v>3786</v>
      </c>
      <c r="G917" s="4" t="s">
        <v>364</v>
      </c>
      <c r="H917" s="43" t="s">
        <v>4515</v>
      </c>
      <c r="I917" s="4" t="s">
        <v>4517</v>
      </c>
      <c r="J917" s="4" t="s">
        <v>262</v>
      </c>
      <c r="K917" s="4" t="s">
        <v>365</v>
      </c>
      <c r="L917" s="4" t="s">
        <v>3752</v>
      </c>
      <c r="M917" s="43" t="s">
        <v>4303</v>
      </c>
      <c r="N917" s="255">
        <v>130000</v>
      </c>
      <c r="O917" s="265">
        <v>100</v>
      </c>
      <c r="P917" s="270">
        <v>1</v>
      </c>
      <c r="Q917" s="255">
        <v>130000</v>
      </c>
      <c r="R917" s="283">
        <v>130000</v>
      </c>
      <c r="S917" s="283">
        <v>37820</v>
      </c>
      <c r="T917" s="287">
        <v>0</v>
      </c>
      <c r="U917" s="287">
        <v>1</v>
      </c>
      <c r="V917" s="287">
        <v>0</v>
      </c>
      <c r="W917" s="283">
        <v>15000</v>
      </c>
      <c r="X917" s="283">
        <v>0</v>
      </c>
      <c r="Y917" s="199" t="s">
        <v>1392</v>
      </c>
      <c r="Z917" s="517" t="s">
        <v>5545</v>
      </c>
      <c r="AA917" s="493" t="s">
        <v>1485</v>
      </c>
      <c r="AB917" s="507"/>
    </row>
    <row r="918" spans="2:28" x14ac:dyDescent="0.15">
      <c r="B918" s="327" t="s">
        <v>4522</v>
      </c>
      <c r="C918" s="527">
        <v>43301</v>
      </c>
      <c r="D918" s="191" t="s">
        <v>4523</v>
      </c>
      <c r="E918" s="43" t="s">
        <v>1391</v>
      </c>
      <c r="F918" s="191" t="s">
        <v>3783</v>
      </c>
      <c r="G918" s="4" t="s">
        <v>362</v>
      </c>
      <c r="H918" s="43" t="s">
        <v>689</v>
      </c>
      <c r="I918" s="4" t="s">
        <v>1394</v>
      </c>
      <c r="J918" s="4" t="s">
        <v>261</v>
      </c>
      <c r="K918" s="4" t="s">
        <v>1153</v>
      </c>
      <c r="L918" s="4" t="s">
        <v>4524</v>
      </c>
      <c r="M918" s="43" t="s">
        <v>4525</v>
      </c>
      <c r="N918" s="255">
        <v>210000</v>
      </c>
      <c r="O918" s="265">
        <v>100</v>
      </c>
      <c r="P918" s="270">
        <v>1</v>
      </c>
      <c r="Q918" s="255">
        <v>210000</v>
      </c>
      <c r="R918" s="283">
        <v>210000</v>
      </c>
      <c r="S918" s="283">
        <v>96354</v>
      </c>
      <c r="T918" s="287">
        <v>1</v>
      </c>
      <c r="U918" s="287">
        <v>0</v>
      </c>
      <c r="V918" s="287">
        <v>0</v>
      </c>
      <c r="W918" s="283">
        <v>0</v>
      </c>
      <c r="X918" s="283">
        <v>0</v>
      </c>
      <c r="Y918" s="199" t="s">
        <v>1395</v>
      </c>
      <c r="Z918" s="517" t="s">
        <v>5166</v>
      </c>
      <c r="AA918" s="493" t="s">
        <v>1485</v>
      </c>
      <c r="AB918" s="507"/>
    </row>
    <row r="919" spans="2:28" x14ac:dyDescent="0.15">
      <c r="B919" s="327" t="s">
        <v>4526</v>
      </c>
      <c r="C919" s="527">
        <v>43301</v>
      </c>
      <c r="D919" s="191" t="s">
        <v>4527</v>
      </c>
      <c r="E919" s="43" t="s">
        <v>1391</v>
      </c>
      <c r="F919" s="191" t="s">
        <v>3783</v>
      </c>
      <c r="G919" s="4" t="s">
        <v>362</v>
      </c>
      <c r="H919" s="43" t="s">
        <v>689</v>
      </c>
      <c r="I919" s="4" t="s">
        <v>1394</v>
      </c>
      <c r="J919" s="4" t="s">
        <v>262</v>
      </c>
      <c r="K919" s="4" t="s">
        <v>365</v>
      </c>
      <c r="L919" s="4" t="s">
        <v>1738</v>
      </c>
      <c r="M919" s="43" t="s">
        <v>4528</v>
      </c>
      <c r="N919" s="255">
        <v>260000</v>
      </c>
      <c r="O919" s="265">
        <v>55</v>
      </c>
      <c r="P919" s="270">
        <v>1</v>
      </c>
      <c r="Q919" s="255">
        <v>143000</v>
      </c>
      <c r="R919" s="283">
        <v>143000</v>
      </c>
      <c r="S919" s="283">
        <v>45080</v>
      </c>
      <c r="T919" s="287">
        <v>1</v>
      </c>
      <c r="U919" s="287">
        <v>0</v>
      </c>
      <c r="V919" s="287">
        <v>0</v>
      </c>
      <c r="W919" s="283">
        <v>0</v>
      </c>
      <c r="X919" s="283">
        <v>0</v>
      </c>
      <c r="Y919" s="199" t="s">
        <v>1395</v>
      </c>
      <c r="Z919" s="517" t="s">
        <v>5166</v>
      </c>
      <c r="AA919" s="493" t="s">
        <v>1485</v>
      </c>
      <c r="AB919" s="507"/>
    </row>
    <row r="920" spans="2:28" x14ac:dyDescent="0.15">
      <c r="B920" s="327" t="s">
        <v>4529</v>
      </c>
      <c r="C920" s="527">
        <v>43301</v>
      </c>
      <c r="D920" s="191" t="s">
        <v>4530</v>
      </c>
      <c r="E920" s="43" t="s">
        <v>1391</v>
      </c>
      <c r="F920" s="191" t="s">
        <v>3786</v>
      </c>
      <c r="G920" s="4" t="s">
        <v>364</v>
      </c>
      <c r="H920" s="43" t="s">
        <v>511</v>
      </c>
      <c r="I920" s="4" t="s">
        <v>2377</v>
      </c>
      <c r="J920" s="4" t="s">
        <v>262</v>
      </c>
      <c r="K920" s="4" t="s">
        <v>365</v>
      </c>
      <c r="L920" s="4" t="s">
        <v>1791</v>
      </c>
      <c r="M920" s="43" t="s">
        <v>4531</v>
      </c>
      <c r="N920" s="255">
        <v>260000</v>
      </c>
      <c r="O920" s="265">
        <v>60</v>
      </c>
      <c r="P920" s="270">
        <v>1</v>
      </c>
      <c r="Q920" s="255">
        <v>156000</v>
      </c>
      <c r="R920" s="283">
        <v>156000</v>
      </c>
      <c r="S920" s="283">
        <v>64549</v>
      </c>
      <c r="T920" s="287">
        <v>1</v>
      </c>
      <c r="U920" s="287">
        <v>0</v>
      </c>
      <c r="V920" s="287">
        <v>0</v>
      </c>
      <c r="W920" s="283">
        <v>0</v>
      </c>
      <c r="X920" s="283">
        <v>0</v>
      </c>
      <c r="Y920" s="199" t="s">
        <v>1395</v>
      </c>
      <c r="Z920" s="517" t="s">
        <v>5170</v>
      </c>
      <c r="AA920" s="493" t="s">
        <v>1485</v>
      </c>
      <c r="AB920" s="507"/>
    </row>
    <row r="921" spans="2:28" x14ac:dyDescent="0.15">
      <c r="B921" s="327" t="s">
        <v>4532</v>
      </c>
      <c r="C921" s="527">
        <v>43301</v>
      </c>
      <c r="D921" s="191" t="s">
        <v>4533</v>
      </c>
      <c r="E921" s="43" t="s">
        <v>1391</v>
      </c>
      <c r="F921" s="191" t="s">
        <v>3786</v>
      </c>
      <c r="G921" s="4" t="s">
        <v>364</v>
      </c>
      <c r="H921" s="43" t="s">
        <v>471</v>
      </c>
      <c r="I921" s="4" t="s">
        <v>1450</v>
      </c>
      <c r="J921" s="4" t="s">
        <v>297</v>
      </c>
      <c r="K921" s="4" t="s">
        <v>369</v>
      </c>
      <c r="L921" s="4" t="s">
        <v>1509</v>
      </c>
      <c r="M921" s="43"/>
      <c r="N921" s="255">
        <v>200</v>
      </c>
      <c r="O921" s="265">
        <v>50</v>
      </c>
      <c r="P921" s="270">
        <v>100</v>
      </c>
      <c r="Q921" s="255">
        <v>100</v>
      </c>
      <c r="R921" s="283">
        <v>10000</v>
      </c>
      <c r="S921" s="283">
        <v>7200</v>
      </c>
      <c r="T921" s="287">
        <v>0</v>
      </c>
      <c r="U921" s="287">
        <v>0</v>
      </c>
      <c r="V921" s="287">
        <v>0</v>
      </c>
      <c r="W921" s="283">
        <v>0</v>
      </c>
      <c r="X921" s="283">
        <v>0</v>
      </c>
      <c r="Y921" s="199" t="s">
        <v>1395</v>
      </c>
      <c r="Z921" s="517" t="s">
        <v>5169</v>
      </c>
      <c r="AA921" s="493" t="s">
        <v>1485</v>
      </c>
      <c r="AB921" s="507"/>
    </row>
    <row r="922" spans="2:28" x14ac:dyDescent="0.15">
      <c r="B922" s="327" t="s">
        <v>4536</v>
      </c>
      <c r="C922" s="527">
        <v>43301</v>
      </c>
      <c r="D922" s="191" t="s">
        <v>4538</v>
      </c>
      <c r="E922" s="43" t="s">
        <v>1391</v>
      </c>
      <c r="F922" s="191" t="s">
        <v>3786</v>
      </c>
      <c r="G922" s="4" t="s">
        <v>364</v>
      </c>
      <c r="H922" s="43" t="s">
        <v>1447</v>
      </c>
      <c r="I922" s="4" t="s">
        <v>1448</v>
      </c>
      <c r="J922" s="4" t="s">
        <v>268</v>
      </c>
      <c r="K922" s="4" t="s">
        <v>1158</v>
      </c>
      <c r="L922" s="4" t="s">
        <v>4342</v>
      </c>
      <c r="M922" s="43" t="s">
        <v>4537</v>
      </c>
      <c r="N922" s="255">
        <v>130000</v>
      </c>
      <c r="O922" s="265">
        <v>100</v>
      </c>
      <c r="P922" s="270">
        <v>1</v>
      </c>
      <c r="Q922" s="255">
        <v>130000</v>
      </c>
      <c r="R922" s="283">
        <v>130000</v>
      </c>
      <c r="S922" s="283">
        <v>41769</v>
      </c>
      <c r="T922" s="287">
        <v>0</v>
      </c>
      <c r="U922" s="287">
        <v>1</v>
      </c>
      <c r="V922" s="287">
        <v>0</v>
      </c>
      <c r="W922" s="283">
        <v>15000</v>
      </c>
      <c r="X922" s="283">
        <v>0</v>
      </c>
      <c r="Y922" s="199" t="s">
        <v>1392</v>
      </c>
      <c r="Z922" s="517" t="s">
        <v>5537</v>
      </c>
      <c r="AA922" s="493"/>
      <c r="AB922" s="507"/>
    </row>
    <row r="923" spans="2:28" x14ac:dyDescent="0.15">
      <c r="B923" s="327" t="s">
        <v>4536</v>
      </c>
      <c r="C923" s="527">
        <v>43301</v>
      </c>
      <c r="D923" s="191" t="s">
        <v>4539</v>
      </c>
      <c r="E923" s="43" t="s">
        <v>1396</v>
      </c>
      <c r="F923" s="191" t="s">
        <v>3791</v>
      </c>
      <c r="G923" s="4" t="s">
        <v>1321</v>
      </c>
      <c r="H923" s="43"/>
      <c r="I923" s="4"/>
      <c r="J923" s="4"/>
      <c r="K923" s="4"/>
      <c r="L923" s="4" t="s">
        <v>1418</v>
      </c>
      <c r="M923" s="43"/>
      <c r="N923" s="255">
        <v>41087</v>
      </c>
      <c r="O923" s="265">
        <v>100</v>
      </c>
      <c r="P923" s="270">
        <v>-1</v>
      </c>
      <c r="Q923" s="255">
        <v>41087</v>
      </c>
      <c r="R923" s="283">
        <v>-41087</v>
      </c>
      <c r="S923" s="283">
        <v>-41087</v>
      </c>
      <c r="T923" s="287">
        <v>0</v>
      </c>
      <c r="U923" s="287">
        <v>0</v>
      </c>
      <c r="V923" s="287">
        <v>0</v>
      </c>
      <c r="W923" s="283">
        <v>41087</v>
      </c>
      <c r="X923" s="283">
        <v>0</v>
      </c>
      <c r="Y923" s="199" t="s">
        <v>1392</v>
      </c>
      <c r="Z923" s="517" t="s">
        <v>5449</v>
      </c>
      <c r="AA923" s="493"/>
      <c r="AB923" s="507"/>
    </row>
    <row r="924" spans="2:28" x14ac:dyDescent="0.15">
      <c r="B924" s="333" t="s">
        <v>4542</v>
      </c>
      <c r="C924" s="528">
        <v>43313</v>
      </c>
      <c r="D924" s="198" t="s">
        <v>4534</v>
      </c>
      <c r="E924" s="53" t="s">
        <v>1391</v>
      </c>
      <c r="F924" s="198" t="s">
        <v>3783</v>
      </c>
      <c r="G924" s="3" t="s">
        <v>362</v>
      </c>
      <c r="H924" s="53" t="s">
        <v>689</v>
      </c>
      <c r="I924" s="3" t="s">
        <v>1394</v>
      </c>
      <c r="J924" s="3" t="s">
        <v>268</v>
      </c>
      <c r="K924" s="3" t="s">
        <v>1158</v>
      </c>
      <c r="L924" s="3" t="s">
        <v>1577</v>
      </c>
      <c r="M924" s="53" t="s">
        <v>4535</v>
      </c>
      <c r="N924" s="255">
        <v>260000</v>
      </c>
      <c r="O924" s="265">
        <v>55</v>
      </c>
      <c r="P924" s="270">
        <v>1</v>
      </c>
      <c r="Q924" s="255">
        <v>143000</v>
      </c>
      <c r="R924" s="283">
        <v>143000</v>
      </c>
      <c r="S924" s="283">
        <v>49549</v>
      </c>
      <c r="T924" s="287">
        <v>1</v>
      </c>
      <c r="U924" s="287">
        <v>0</v>
      </c>
      <c r="V924" s="287">
        <v>0</v>
      </c>
      <c r="W924" s="283">
        <v>0</v>
      </c>
      <c r="X924" s="283">
        <v>0</v>
      </c>
      <c r="Y924" s="199" t="s">
        <v>1395</v>
      </c>
      <c r="Z924" s="517" t="s">
        <v>5166</v>
      </c>
      <c r="AA924" s="493" t="s">
        <v>1485</v>
      </c>
      <c r="AB924" s="507"/>
    </row>
    <row r="925" spans="2:28" x14ac:dyDescent="0.15">
      <c r="B925" s="333" t="s">
        <v>4536</v>
      </c>
      <c r="C925" s="528">
        <v>43315</v>
      </c>
      <c r="D925" s="198" t="s">
        <v>4539</v>
      </c>
      <c r="E925" s="53" t="s">
        <v>1391</v>
      </c>
      <c r="F925" s="198" t="s">
        <v>4014</v>
      </c>
      <c r="G925" s="3" t="s">
        <v>370</v>
      </c>
      <c r="H925" s="53" t="s">
        <v>1491</v>
      </c>
      <c r="I925" s="3" t="s">
        <v>1492</v>
      </c>
      <c r="J925" s="3" t="s">
        <v>268</v>
      </c>
      <c r="K925" s="3" t="s">
        <v>1158</v>
      </c>
      <c r="L925" s="3" t="s">
        <v>4540</v>
      </c>
      <c r="M925" s="53" t="s">
        <v>4541</v>
      </c>
      <c r="N925" s="255">
        <v>216000</v>
      </c>
      <c r="O925" s="265">
        <v>100</v>
      </c>
      <c r="P925" s="270">
        <v>1</v>
      </c>
      <c r="Q925" s="255">
        <v>216000</v>
      </c>
      <c r="R925" s="283">
        <v>216000</v>
      </c>
      <c r="S925" s="283">
        <v>85965</v>
      </c>
      <c r="T925" s="287">
        <v>0</v>
      </c>
      <c r="U925" s="287">
        <v>1</v>
      </c>
      <c r="V925" s="287">
        <v>0</v>
      </c>
      <c r="W925" s="283">
        <v>24999</v>
      </c>
      <c r="X925" s="283">
        <v>0</v>
      </c>
      <c r="Y925" s="199" t="s">
        <v>1392</v>
      </c>
      <c r="Z925" s="517" t="s">
        <v>5167</v>
      </c>
      <c r="AA925" s="493" t="s">
        <v>1485</v>
      </c>
      <c r="AB925" s="507"/>
    </row>
    <row r="926" spans="2:28" x14ac:dyDescent="0.15">
      <c r="B926" s="333" t="s">
        <v>4542</v>
      </c>
      <c r="C926" s="528">
        <v>43315</v>
      </c>
      <c r="D926" s="198" t="s">
        <v>4543</v>
      </c>
      <c r="E926" s="53" t="s">
        <v>1391</v>
      </c>
      <c r="F926" s="198" t="s">
        <v>3783</v>
      </c>
      <c r="G926" s="3" t="s">
        <v>362</v>
      </c>
      <c r="H926" s="53" t="s">
        <v>689</v>
      </c>
      <c r="I926" s="3" t="s">
        <v>1394</v>
      </c>
      <c r="J926" s="3" t="s">
        <v>262</v>
      </c>
      <c r="K926" s="3" t="s">
        <v>365</v>
      </c>
      <c r="L926" s="3" t="s">
        <v>1690</v>
      </c>
      <c r="M926" s="53" t="s">
        <v>4544</v>
      </c>
      <c r="N926" s="258">
        <v>260000</v>
      </c>
      <c r="O926" s="266">
        <v>55</v>
      </c>
      <c r="P926" s="272">
        <v>1</v>
      </c>
      <c r="Q926" s="258">
        <v>143000</v>
      </c>
      <c r="R926" s="286">
        <v>143000</v>
      </c>
      <c r="S926" s="286">
        <v>48080</v>
      </c>
      <c r="T926" s="288">
        <v>1</v>
      </c>
      <c r="U926" s="288">
        <v>0</v>
      </c>
      <c r="V926" s="288">
        <v>0</v>
      </c>
      <c r="W926" s="286">
        <v>0</v>
      </c>
      <c r="X926" s="286">
        <v>0</v>
      </c>
      <c r="Y926" s="200" t="s">
        <v>1395</v>
      </c>
      <c r="Z926" s="517" t="s">
        <v>5532</v>
      </c>
      <c r="AA926" s="499" t="s">
        <v>1485</v>
      </c>
      <c r="AB926" s="508"/>
    </row>
    <row r="927" spans="2:28" x14ac:dyDescent="0.15">
      <c r="B927" s="333" t="s">
        <v>4545</v>
      </c>
      <c r="C927" s="528">
        <v>43315</v>
      </c>
      <c r="D927" s="198" t="s">
        <v>4546</v>
      </c>
      <c r="E927" s="53" t="s">
        <v>1391</v>
      </c>
      <c r="F927" s="198" t="s">
        <v>3783</v>
      </c>
      <c r="G927" s="3" t="s">
        <v>362</v>
      </c>
      <c r="H927" s="53" t="s">
        <v>689</v>
      </c>
      <c r="I927" s="3" t="s">
        <v>1394</v>
      </c>
      <c r="J927" s="3" t="s">
        <v>261</v>
      </c>
      <c r="K927" s="3" t="s">
        <v>1153</v>
      </c>
      <c r="L927" s="3" t="s">
        <v>4547</v>
      </c>
      <c r="M927" s="53" t="s">
        <v>4548</v>
      </c>
      <c r="N927" s="258">
        <v>223000</v>
      </c>
      <c r="O927" s="266">
        <v>100</v>
      </c>
      <c r="P927" s="272">
        <v>1</v>
      </c>
      <c r="Q927" s="258">
        <v>223000</v>
      </c>
      <c r="R927" s="286">
        <v>223000</v>
      </c>
      <c r="S927" s="286">
        <v>106804</v>
      </c>
      <c r="T927" s="288">
        <v>1</v>
      </c>
      <c r="U927" s="288">
        <v>0</v>
      </c>
      <c r="V927" s="288">
        <v>0</v>
      </c>
      <c r="W927" s="286">
        <v>0</v>
      </c>
      <c r="X927" s="286">
        <v>0</v>
      </c>
      <c r="Y927" s="200" t="s">
        <v>1395</v>
      </c>
      <c r="Z927" s="517" t="s">
        <v>5166</v>
      </c>
      <c r="AA927" s="499" t="s">
        <v>1485</v>
      </c>
      <c r="AB927" s="508"/>
    </row>
    <row r="928" spans="2:28" x14ac:dyDescent="0.15">
      <c r="B928" s="333" t="s">
        <v>4549</v>
      </c>
      <c r="C928" s="528">
        <v>43315</v>
      </c>
      <c r="D928" s="198" t="s">
        <v>4550</v>
      </c>
      <c r="E928" s="53" t="s">
        <v>1391</v>
      </c>
      <c r="F928" s="198" t="s">
        <v>3783</v>
      </c>
      <c r="G928" s="3" t="s">
        <v>362</v>
      </c>
      <c r="H928" s="53" t="s">
        <v>689</v>
      </c>
      <c r="I928" s="3" t="s">
        <v>1394</v>
      </c>
      <c r="J928" s="3" t="s">
        <v>262</v>
      </c>
      <c r="K928" s="3" t="s">
        <v>365</v>
      </c>
      <c r="L928" s="3" t="s">
        <v>4551</v>
      </c>
      <c r="M928" s="53" t="s">
        <v>4552</v>
      </c>
      <c r="N928" s="255">
        <v>223000</v>
      </c>
      <c r="O928" s="265">
        <v>100</v>
      </c>
      <c r="P928" s="270">
        <v>1</v>
      </c>
      <c r="Q928" s="255">
        <v>223000</v>
      </c>
      <c r="R928" s="283">
        <v>223000</v>
      </c>
      <c r="S928" s="283">
        <v>111079</v>
      </c>
      <c r="T928" s="287">
        <v>1</v>
      </c>
      <c r="U928" s="287">
        <v>0</v>
      </c>
      <c r="V928" s="287">
        <v>0</v>
      </c>
      <c r="W928" s="283">
        <v>0</v>
      </c>
      <c r="X928" s="283">
        <v>0</v>
      </c>
      <c r="Y928" s="199" t="s">
        <v>1395</v>
      </c>
      <c r="Z928" s="517" t="s">
        <v>5166</v>
      </c>
      <c r="AA928" s="493" t="s">
        <v>1485</v>
      </c>
      <c r="AB928" s="507"/>
    </row>
    <row r="929" spans="2:28" x14ac:dyDescent="0.15">
      <c r="B929" s="333" t="s">
        <v>4553</v>
      </c>
      <c r="C929" s="528">
        <v>43315</v>
      </c>
      <c r="D929" s="198" t="s">
        <v>4554</v>
      </c>
      <c r="E929" s="53" t="s">
        <v>1391</v>
      </c>
      <c r="F929" s="198" t="s">
        <v>3786</v>
      </c>
      <c r="G929" s="3" t="s">
        <v>364</v>
      </c>
      <c r="H929" s="53" t="s">
        <v>461</v>
      </c>
      <c r="I929" s="3" t="s">
        <v>1600</v>
      </c>
      <c r="J929" s="3" t="s">
        <v>1402</v>
      </c>
      <c r="K929" s="3" t="s">
        <v>1403</v>
      </c>
      <c r="L929" s="3" t="s">
        <v>2466</v>
      </c>
      <c r="M929" s="53" t="s">
        <v>4555</v>
      </c>
      <c r="N929" s="255">
        <v>305000</v>
      </c>
      <c r="O929" s="265">
        <v>100</v>
      </c>
      <c r="P929" s="270">
        <v>1</v>
      </c>
      <c r="Q929" s="255">
        <v>305000</v>
      </c>
      <c r="R929" s="283">
        <v>305000</v>
      </c>
      <c r="S929" s="283">
        <v>99679</v>
      </c>
      <c r="T929" s="287">
        <v>0</v>
      </c>
      <c r="U929" s="287">
        <v>0</v>
      </c>
      <c r="V929" s="287">
        <v>0</v>
      </c>
      <c r="W929" s="283">
        <v>35192</v>
      </c>
      <c r="X929" s="283">
        <v>0</v>
      </c>
      <c r="Y929" s="199" t="s">
        <v>1392</v>
      </c>
      <c r="Z929" s="517" t="s">
        <v>5166</v>
      </c>
      <c r="AA929" s="493" t="s">
        <v>1485</v>
      </c>
      <c r="AB929" s="507"/>
    </row>
    <row r="930" spans="2:28" x14ac:dyDescent="0.15">
      <c r="B930" s="333" t="s">
        <v>4556</v>
      </c>
      <c r="C930" s="528">
        <v>43315</v>
      </c>
      <c r="D930" s="198" t="s">
        <v>4557</v>
      </c>
      <c r="E930" s="53" t="s">
        <v>1396</v>
      </c>
      <c r="F930" s="198" t="s">
        <v>3784</v>
      </c>
      <c r="G930" s="3" t="s">
        <v>1110</v>
      </c>
      <c r="H930" s="53" t="s">
        <v>796</v>
      </c>
      <c r="I930" s="3" t="s">
        <v>1428</v>
      </c>
      <c r="J930" s="3" t="s">
        <v>1402</v>
      </c>
      <c r="K930" s="3" t="s">
        <v>1403</v>
      </c>
      <c r="L930" s="3" t="s">
        <v>4558</v>
      </c>
      <c r="M930" s="53" t="s">
        <v>4559</v>
      </c>
      <c r="N930" s="255">
        <v>360000</v>
      </c>
      <c r="O930" s="265">
        <v>60</v>
      </c>
      <c r="P930" s="270">
        <v>1</v>
      </c>
      <c r="Q930" s="255">
        <v>216000</v>
      </c>
      <c r="R930" s="283">
        <v>216000</v>
      </c>
      <c r="S930" s="283">
        <v>46879</v>
      </c>
      <c r="T930" s="287">
        <v>0</v>
      </c>
      <c r="U930" s="287">
        <v>1</v>
      </c>
      <c r="V930" s="287">
        <v>0</v>
      </c>
      <c r="W930" s="283">
        <v>21600</v>
      </c>
      <c r="X930" s="283">
        <v>0</v>
      </c>
      <c r="Y930" s="199" t="s">
        <v>1392</v>
      </c>
      <c r="Z930" s="517" t="s">
        <v>5166</v>
      </c>
      <c r="AA930" s="493" t="s">
        <v>1485</v>
      </c>
      <c r="AB930" s="507"/>
    </row>
    <row r="931" spans="2:28" x14ac:dyDescent="0.15">
      <c r="B931" s="333" t="s">
        <v>4560</v>
      </c>
      <c r="C931" s="528">
        <v>43315</v>
      </c>
      <c r="D931" s="198" t="s">
        <v>4561</v>
      </c>
      <c r="E931" s="53" t="s">
        <v>1391</v>
      </c>
      <c r="F931" s="198" t="s">
        <v>3786</v>
      </c>
      <c r="G931" s="3" t="s">
        <v>364</v>
      </c>
      <c r="H931" s="53" t="s">
        <v>432</v>
      </c>
      <c r="I931" s="3" t="s">
        <v>375</v>
      </c>
      <c r="J931" s="3" t="s">
        <v>299</v>
      </c>
      <c r="K931" s="3" t="s">
        <v>373</v>
      </c>
      <c r="L931" s="3" t="s">
        <v>4562</v>
      </c>
      <c r="M931" s="53"/>
      <c r="N931" s="255">
        <v>6000</v>
      </c>
      <c r="O931" s="265">
        <v>100</v>
      </c>
      <c r="P931" s="270">
        <v>1</v>
      </c>
      <c r="Q931" s="255">
        <v>6000</v>
      </c>
      <c r="R931" s="283">
        <v>6000</v>
      </c>
      <c r="S931" s="283">
        <v>1616</v>
      </c>
      <c r="T931" s="287">
        <v>0</v>
      </c>
      <c r="U931" s="287">
        <v>0</v>
      </c>
      <c r="V931" s="287">
        <v>0</v>
      </c>
      <c r="W931" s="283">
        <v>4384</v>
      </c>
      <c r="X931" s="283">
        <v>0</v>
      </c>
      <c r="Y931" s="199" t="s">
        <v>1392</v>
      </c>
      <c r="Z931" s="517" t="s">
        <v>5532</v>
      </c>
      <c r="AA931" s="493" t="s">
        <v>1485</v>
      </c>
      <c r="AB931" s="507"/>
    </row>
    <row r="932" spans="2:28" x14ac:dyDescent="0.15">
      <c r="B932" s="333" t="s">
        <v>4563</v>
      </c>
      <c r="C932" s="528">
        <v>43315</v>
      </c>
      <c r="D932" s="198" t="s">
        <v>4564</v>
      </c>
      <c r="E932" s="53" t="s">
        <v>1391</v>
      </c>
      <c r="F932" s="198" t="s">
        <v>3783</v>
      </c>
      <c r="G932" s="3" t="s">
        <v>362</v>
      </c>
      <c r="H932" s="53" t="s">
        <v>689</v>
      </c>
      <c r="I932" s="3" t="s">
        <v>1394</v>
      </c>
      <c r="J932" s="3" t="s">
        <v>262</v>
      </c>
      <c r="K932" s="3" t="s">
        <v>365</v>
      </c>
      <c r="L932" s="3" t="s">
        <v>1738</v>
      </c>
      <c r="M932" s="198" t="s">
        <v>4596</v>
      </c>
      <c r="N932" s="255">
        <v>260000</v>
      </c>
      <c r="O932" s="265">
        <v>55</v>
      </c>
      <c r="P932" s="270">
        <v>1</v>
      </c>
      <c r="Q932" s="255">
        <v>143000</v>
      </c>
      <c r="R932" s="283">
        <v>143000</v>
      </c>
      <c r="S932" s="283">
        <v>45080</v>
      </c>
      <c r="T932" s="287">
        <v>1</v>
      </c>
      <c r="U932" s="287">
        <v>0</v>
      </c>
      <c r="V932" s="287">
        <v>0</v>
      </c>
      <c r="W932" s="283">
        <v>0</v>
      </c>
      <c r="X932" s="283">
        <v>0</v>
      </c>
      <c r="Y932" s="199" t="s">
        <v>1395</v>
      </c>
      <c r="Z932" s="517" t="s">
        <v>5166</v>
      </c>
      <c r="AA932" s="493" t="s">
        <v>1485</v>
      </c>
      <c r="AB932" s="507"/>
    </row>
    <row r="933" spans="2:28" x14ac:dyDescent="0.15">
      <c r="B933" s="333" t="s">
        <v>4565</v>
      </c>
      <c r="C933" s="528">
        <v>43315</v>
      </c>
      <c r="D933" s="198" t="s">
        <v>4566</v>
      </c>
      <c r="E933" s="53" t="s">
        <v>1391</v>
      </c>
      <c r="F933" s="198" t="s">
        <v>3783</v>
      </c>
      <c r="G933" s="3" t="s">
        <v>362</v>
      </c>
      <c r="H933" s="53" t="s">
        <v>689</v>
      </c>
      <c r="I933" s="3" t="s">
        <v>1394</v>
      </c>
      <c r="J933" s="3" t="s">
        <v>268</v>
      </c>
      <c r="K933" s="3" t="s">
        <v>1158</v>
      </c>
      <c r="L933" s="3" t="s">
        <v>1949</v>
      </c>
      <c r="M933" s="53" t="s">
        <v>4567</v>
      </c>
      <c r="N933" s="255">
        <v>270000</v>
      </c>
      <c r="O933" s="265">
        <v>55</v>
      </c>
      <c r="P933" s="270">
        <v>1</v>
      </c>
      <c r="Q933" s="255">
        <v>148500</v>
      </c>
      <c r="R933" s="283">
        <v>148500</v>
      </c>
      <c r="S933" s="283">
        <v>53549</v>
      </c>
      <c r="T933" s="287">
        <v>1</v>
      </c>
      <c r="U933" s="287">
        <v>0</v>
      </c>
      <c r="V933" s="287">
        <v>0</v>
      </c>
      <c r="W933" s="283">
        <v>0</v>
      </c>
      <c r="X933" s="283">
        <v>0</v>
      </c>
      <c r="Y933" s="199" t="s">
        <v>1395</v>
      </c>
      <c r="Z933" s="517" t="s">
        <v>5166</v>
      </c>
      <c r="AA933" s="493" t="s">
        <v>1485</v>
      </c>
      <c r="AB933" s="507"/>
    </row>
    <row r="934" spans="2:28" x14ac:dyDescent="0.15">
      <c r="B934" s="333" t="s">
        <v>4568</v>
      </c>
      <c r="C934" s="528">
        <v>43315</v>
      </c>
      <c r="D934" s="198" t="s">
        <v>4569</v>
      </c>
      <c r="E934" s="53" t="s">
        <v>1391</v>
      </c>
      <c r="F934" s="198" t="s">
        <v>3783</v>
      </c>
      <c r="G934" s="3" t="s">
        <v>362</v>
      </c>
      <c r="H934" s="53" t="s">
        <v>689</v>
      </c>
      <c r="I934" s="3" t="s">
        <v>1394</v>
      </c>
      <c r="J934" s="3" t="s">
        <v>268</v>
      </c>
      <c r="K934" s="3" t="s">
        <v>1158</v>
      </c>
      <c r="L934" s="3" t="s">
        <v>4570</v>
      </c>
      <c r="M934" s="53" t="s">
        <v>4571</v>
      </c>
      <c r="N934" s="255">
        <v>270000</v>
      </c>
      <c r="O934" s="265">
        <v>55</v>
      </c>
      <c r="P934" s="270">
        <v>1</v>
      </c>
      <c r="Q934" s="255">
        <v>148500</v>
      </c>
      <c r="R934" s="283">
        <v>148500</v>
      </c>
      <c r="S934" s="283">
        <v>53549</v>
      </c>
      <c r="T934" s="287">
        <v>1</v>
      </c>
      <c r="U934" s="287">
        <v>0</v>
      </c>
      <c r="V934" s="287">
        <v>0</v>
      </c>
      <c r="W934" s="283">
        <v>0</v>
      </c>
      <c r="X934" s="283">
        <v>0</v>
      </c>
      <c r="Y934" s="199" t="s">
        <v>1395</v>
      </c>
      <c r="Z934" s="517" t="s">
        <v>5166</v>
      </c>
      <c r="AA934" s="493" t="s">
        <v>1485</v>
      </c>
      <c r="AB934" s="507"/>
    </row>
    <row r="935" spans="2:28" x14ac:dyDescent="0.15">
      <c r="B935" s="333" t="s">
        <v>4572</v>
      </c>
      <c r="C935" s="528">
        <v>43315</v>
      </c>
      <c r="D935" s="198" t="s">
        <v>4573</v>
      </c>
      <c r="E935" s="53" t="s">
        <v>1396</v>
      </c>
      <c r="F935" s="198" t="s">
        <v>3789</v>
      </c>
      <c r="G935" s="3" t="s">
        <v>368</v>
      </c>
      <c r="H935" s="53" t="s">
        <v>792</v>
      </c>
      <c r="I935" s="3" t="s">
        <v>1413</v>
      </c>
      <c r="J935" s="3" t="s">
        <v>262</v>
      </c>
      <c r="K935" s="3" t="s">
        <v>365</v>
      </c>
      <c r="L935" s="3" t="s">
        <v>4574</v>
      </c>
      <c r="M935" s="53" t="s">
        <v>4575</v>
      </c>
      <c r="N935" s="255">
        <v>172200</v>
      </c>
      <c r="O935" s="265">
        <v>100</v>
      </c>
      <c r="P935" s="270">
        <v>1</v>
      </c>
      <c r="Q935" s="255">
        <v>172200</v>
      </c>
      <c r="R935" s="283">
        <v>172200</v>
      </c>
      <c r="S935" s="283">
        <v>53911</v>
      </c>
      <c r="T935" s="287">
        <v>0</v>
      </c>
      <c r="U935" s="287">
        <v>1</v>
      </c>
      <c r="V935" s="287">
        <v>0</v>
      </c>
      <c r="W935" s="283">
        <v>19869</v>
      </c>
      <c r="X935" s="283">
        <v>0</v>
      </c>
      <c r="Y935" s="199" t="s">
        <v>1392</v>
      </c>
      <c r="Z935" s="517" t="s">
        <v>5166</v>
      </c>
      <c r="AA935" s="493" t="s">
        <v>1485</v>
      </c>
      <c r="AB935" s="507"/>
    </row>
    <row r="936" spans="2:28" x14ac:dyDescent="0.15">
      <c r="B936" s="333" t="s">
        <v>4572</v>
      </c>
      <c r="C936" s="528">
        <v>43315</v>
      </c>
      <c r="D936" s="198" t="s">
        <v>4573</v>
      </c>
      <c r="E936" s="53" t="s">
        <v>1396</v>
      </c>
      <c r="F936" s="198" t="s">
        <v>3789</v>
      </c>
      <c r="G936" s="3" t="s">
        <v>368</v>
      </c>
      <c r="H936" s="53" t="s">
        <v>792</v>
      </c>
      <c r="I936" s="3" t="s">
        <v>1413</v>
      </c>
      <c r="J936" s="3" t="s">
        <v>262</v>
      </c>
      <c r="K936" s="3" t="s">
        <v>365</v>
      </c>
      <c r="L936" s="3" t="s">
        <v>4576</v>
      </c>
      <c r="M936" s="53" t="s">
        <v>4577</v>
      </c>
      <c r="N936" s="255">
        <v>172200</v>
      </c>
      <c r="O936" s="265">
        <v>100</v>
      </c>
      <c r="P936" s="270">
        <v>1</v>
      </c>
      <c r="Q936" s="255">
        <v>172200</v>
      </c>
      <c r="R936" s="283">
        <v>172200</v>
      </c>
      <c r="S936" s="283">
        <v>55411</v>
      </c>
      <c r="T936" s="287">
        <v>0</v>
      </c>
      <c r="U936" s="287">
        <v>1</v>
      </c>
      <c r="V936" s="287">
        <v>0</v>
      </c>
      <c r="W936" s="283">
        <v>19869</v>
      </c>
      <c r="X936" s="283">
        <v>0</v>
      </c>
      <c r="Y936" s="199" t="s">
        <v>1392</v>
      </c>
      <c r="Z936" s="517" t="s">
        <v>5166</v>
      </c>
      <c r="AA936" s="493" t="s">
        <v>1485</v>
      </c>
      <c r="AB936" s="507"/>
    </row>
    <row r="937" spans="2:28" x14ac:dyDescent="0.15">
      <c r="B937" s="333" t="s">
        <v>4572</v>
      </c>
      <c r="C937" s="528">
        <v>43315</v>
      </c>
      <c r="D937" s="198" t="s">
        <v>4573</v>
      </c>
      <c r="E937" s="53" t="s">
        <v>1396</v>
      </c>
      <c r="F937" s="198" t="s">
        <v>3789</v>
      </c>
      <c r="G937" s="3" t="s">
        <v>368</v>
      </c>
      <c r="H937" s="53" t="s">
        <v>792</v>
      </c>
      <c r="I937" s="3" t="s">
        <v>1413</v>
      </c>
      <c r="J937" s="3" t="s">
        <v>262</v>
      </c>
      <c r="K937" s="3" t="s">
        <v>365</v>
      </c>
      <c r="L937" s="3" t="s">
        <v>4578</v>
      </c>
      <c r="M937" s="53" t="s">
        <v>4579</v>
      </c>
      <c r="N937" s="255">
        <v>173200</v>
      </c>
      <c r="O937" s="265">
        <v>100</v>
      </c>
      <c r="P937" s="270">
        <v>1</v>
      </c>
      <c r="Q937" s="255">
        <v>173200</v>
      </c>
      <c r="R937" s="283">
        <v>173200</v>
      </c>
      <c r="S937" s="283">
        <v>54795</v>
      </c>
      <c r="T937" s="287">
        <v>0</v>
      </c>
      <c r="U937" s="287">
        <v>1</v>
      </c>
      <c r="V937" s="287">
        <v>0</v>
      </c>
      <c r="W937" s="283">
        <v>19984</v>
      </c>
      <c r="X937" s="283">
        <v>0</v>
      </c>
      <c r="Y937" s="199" t="s">
        <v>1392</v>
      </c>
      <c r="Z937" s="517" t="s">
        <v>5166</v>
      </c>
      <c r="AA937" s="493" t="s">
        <v>1485</v>
      </c>
      <c r="AB937" s="507"/>
    </row>
    <row r="938" spans="2:28" x14ac:dyDescent="0.15">
      <c r="B938" s="333" t="s">
        <v>4572</v>
      </c>
      <c r="C938" s="528">
        <v>43315</v>
      </c>
      <c r="D938" s="198" t="s">
        <v>4573</v>
      </c>
      <c r="E938" s="53" t="s">
        <v>1396</v>
      </c>
      <c r="F938" s="198" t="s">
        <v>3789</v>
      </c>
      <c r="G938" s="3" t="s">
        <v>368</v>
      </c>
      <c r="H938" s="53" t="s">
        <v>792</v>
      </c>
      <c r="I938" s="3" t="s">
        <v>1413</v>
      </c>
      <c r="J938" s="3" t="s">
        <v>262</v>
      </c>
      <c r="K938" s="3" t="s">
        <v>365</v>
      </c>
      <c r="L938" s="3" t="s">
        <v>4580</v>
      </c>
      <c r="M938" s="53" t="s">
        <v>4581</v>
      </c>
      <c r="N938" s="255">
        <v>173200</v>
      </c>
      <c r="O938" s="265">
        <v>100</v>
      </c>
      <c r="P938" s="270">
        <v>1</v>
      </c>
      <c r="Q938" s="255">
        <v>173200</v>
      </c>
      <c r="R938" s="283">
        <v>173200</v>
      </c>
      <c r="S938" s="283">
        <v>54295</v>
      </c>
      <c r="T938" s="287">
        <v>0</v>
      </c>
      <c r="U938" s="287">
        <v>1</v>
      </c>
      <c r="V938" s="287">
        <v>0</v>
      </c>
      <c r="W938" s="283">
        <v>19984</v>
      </c>
      <c r="X938" s="283">
        <v>0</v>
      </c>
      <c r="Y938" s="199" t="s">
        <v>1392</v>
      </c>
      <c r="Z938" s="517" t="s">
        <v>5166</v>
      </c>
      <c r="AA938" s="493" t="s">
        <v>1485</v>
      </c>
      <c r="AB938" s="507"/>
    </row>
    <row r="939" spans="2:28" x14ac:dyDescent="0.15">
      <c r="B939" s="333" t="s">
        <v>4586</v>
      </c>
      <c r="C939" s="528">
        <v>43315</v>
      </c>
      <c r="D939" s="198" t="s">
        <v>4585</v>
      </c>
      <c r="E939" s="53" t="s">
        <v>1396</v>
      </c>
      <c r="F939" s="198" t="s">
        <v>3789</v>
      </c>
      <c r="G939" s="3" t="s">
        <v>368</v>
      </c>
      <c r="H939" s="53" t="s">
        <v>792</v>
      </c>
      <c r="I939" s="3" t="s">
        <v>1413</v>
      </c>
      <c r="J939" s="3" t="s">
        <v>262</v>
      </c>
      <c r="K939" s="3" t="s">
        <v>365</v>
      </c>
      <c r="L939" s="3" t="s">
        <v>4582</v>
      </c>
      <c r="M939" s="53" t="s">
        <v>4583</v>
      </c>
      <c r="N939" s="255">
        <v>173200</v>
      </c>
      <c r="O939" s="265">
        <v>100</v>
      </c>
      <c r="P939" s="270">
        <v>1</v>
      </c>
      <c r="Q939" s="255">
        <v>173200</v>
      </c>
      <c r="R939" s="283">
        <v>173200</v>
      </c>
      <c r="S939" s="283">
        <v>53795</v>
      </c>
      <c r="T939" s="287">
        <v>0</v>
      </c>
      <c r="U939" s="287">
        <v>1</v>
      </c>
      <c r="V939" s="287">
        <v>0</v>
      </c>
      <c r="W939" s="283">
        <v>19984</v>
      </c>
      <c r="X939" s="283">
        <v>0</v>
      </c>
      <c r="Y939" s="199" t="s">
        <v>1392</v>
      </c>
      <c r="Z939" s="517" t="s">
        <v>5166</v>
      </c>
      <c r="AA939" s="493" t="s">
        <v>1485</v>
      </c>
      <c r="AB939" s="507"/>
    </row>
    <row r="940" spans="2:28" x14ac:dyDescent="0.15">
      <c r="B940" s="333" t="s">
        <v>4586</v>
      </c>
      <c r="C940" s="528">
        <v>43315</v>
      </c>
      <c r="D940" s="198" t="s">
        <v>4585</v>
      </c>
      <c r="E940" s="53" t="s">
        <v>1396</v>
      </c>
      <c r="F940" s="198" t="s">
        <v>3789</v>
      </c>
      <c r="G940" s="3" t="s">
        <v>368</v>
      </c>
      <c r="H940" s="53" t="s">
        <v>792</v>
      </c>
      <c r="I940" s="3" t="s">
        <v>1413</v>
      </c>
      <c r="J940" s="3" t="s">
        <v>262</v>
      </c>
      <c r="K940" s="3" t="s">
        <v>365</v>
      </c>
      <c r="L940" s="3" t="s">
        <v>4584</v>
      </c>
      <c r="M940" s="53" t="s">
        <v>4103</v>
      </c>
      <c r="N940" s="255">
        <v>171200</v>
      </c>
      <c r="O940" s="265">
        <v>100</v>
      </c>
      <c r="P940" s="270">
        <v>1</v>
      </c>
      <c r="Q940" s="255">
        <v>171200</v>
      </c>
      <c r="R940" s="283">
        <v>171200</v>
      </c>
      <c r="S940" s="283">
        <v>55825</v>
      </c>
      <c r="T940" s="287">
        <v>0</v>
      </c>
      <c r="U940" s="287">
        <v>1</v>
      </c>
      <c r="V940" s="287">
        <v>0</v>
      </c>
      <c r="W940" s="283">
        <v>19753</v>
      </c>
      <c r="X940" s="283">
        <v>0</v>
      </c>
      <c r="Y940" s="199" t="s">
        <v>4587</v>
      </c>
      <c r="Z940" s="517" t="s">
        <v>5543</v>
      </c>
      <c r="AA940" s="493" t="s">
        <v>1485</v>
      </c>
      <c r="AB940" s="507"/>
    </row>
    <row r="941" spans="2:28" x14ac:dyDescent="0.15">
      <c r="B941" s="333" t="s">
        <v>4588</v>
      </c>
      <c r="C941" s="528">
        <v>43316</v>
      </c>
      <c r="D941" s="198" t="s">
        <v>4589</v>
      </c>
      <c r="E941" s="53" t="s">
        <v>1391</v>
      </c>
      <c r="F941" s="198" t="s">
        <v>3783</v>
      </c>
      <c r="G941" s="3" t="s">
        <v>362</v>
      </c>
      <c r="H941" s="53" t="s">
        <v>689</v>
      </c>
      <c r="I941" s="3" t="s">
        <v>1394</v>
      </c>
      <c r="J941" s="3" t="s">
        <v>268</v>
      </c>
      <c r="K941" s="3" t="s">
        <v>1158</v>
      </c>
      <c r="L941" s="3" t="s">
        <v>4590</v>
      </c>
      <c r="M941" s="53" t="s">
        <v>4591</v>
      </c>
      <c r="N941" s="255">
        <v>233000</v>
      </c>
      <c r="O941" s="265">
        <v>100</v>
      </c>
      <c r="P941" s="270">
        <v>1</v>
      </c>
      <c r="Q941" s="255">
        <v>233000</v>
      </c>
      <c r="R941" s="283">
        <v>233000</v>
      </c>
      <c r="S941" s="283">
        <v>124799</v>
      </c>
      <c r="T941" s="287">
        <v>1</v>
      </c>
      <c r="U941" s="287">
        <v>0</v>
      </c>
      <c r="V941" s="287">
        <v>0</v>
      </c>
      <c r="W941" s="283">
        <v>0</v>
      </c>
      <c r="X941" s="283">
        <v>0</v>
      </c>
      <c r="Y941" s="199" t="s">
        <v>1395</v>
      </c>
      <c r="Z941" s="517" t="s">
        <v>5543</v>
      </c>
      <c r="AA941" s="493" t="s">
        <v>1485</v>
      </c>
      <c r="AB941" s="507"/>
    </row>
    <row r="942" spans="2:28" x14ac:dyDescent="0.15">
      <c r="B942" s="333" t="s">
        <v>4592</v>
      </c>
      <c r="C942" s="528">
        <v>43316</v>
      </c>
      <c r="D942" s="198" t="s">
        <v>4593</v>
      </c>
      <c r="E942" s="53" t="s">
        <v>1391</v>
      </c>
      <c r="F942" s="198" t="s">
        <v>3783</v>
      </c>
      <c r="G942" s="3" t="s">
        <v>362</v>
      </c>
      <c r="H942" s="53" t="s">
        <v>689</v>
      </c>
      <c r="I942" s="3" t="s">
        <v>1394</v>
      </c>
      <c r="J942" s="3" t="s">
        <v>268</v>
      </c>
      <c r="K942" s="3" t="s">
        <v>1158</v>
      </c>
      <c r="L942" s="3" t="s">
        <v>4594</v>
      </c>
      <c r="M942" s="198" t="s">
        <v>4595</v>
      </c>
      <c r="N942" s="255">
        <v>233000</v>
      </c>
      <c r="O942" s="265">
        <v>100</v>
      </c>
      <c r="P942" s="270">
        <v>1</v>
      </c>
      <c r="Q942" s="255">
        <v>233000</v>
      </c>
      <c r="R942" s="283">
        <v>233000</v>
      </c>
      <c r="S942" s="283">
        <v>124799</v>
      </c>
      <c r="T942" s="287">
        <v>1</v>
      </c>
      <c r="U942" s="287">
        <v>0</v>
      </c>
      <c r="V942" s="287">
        <v>0</v>
      </c>
      <c r="W942" s="283">
        <v>0</v>
      </c>
      <c r="X942" s="283">
        <v>0</v>
      </c>
      <c r="Y942" s="199" t="s">
        <v>1395</v>
      </c>
      <c r="Z942" s="517" t="s">
        <v>5166</v>
      </c>
      <c r="AA942" s="493" t="s">
        <v>1485</v>
      </c>
      <c r="AB942" s="507"/>
    </row>
    <row r="943" spans="2:28" x14ac:dyDescent="0.15">
      <c r="B943" s="333" t="s">
        <v>4597</v>
      </c>
      <c r="C943" s="528">
        <v>43321</v>
      </c>
      <c r="D943" s="198" t="s">
        <v>4598</v>
      </c>
      <c r="E943" s="53" t="s">
        <v>1396</v>
      </c>
      <c r="F943" s="198" t="s">
        <v>4600</v>
      </c>
      <c r="G943" s="3" t="s">
        <v>374</v>
      </c>
      <c r="H943" s="53"/>
      <c r="I943" s="3"/>
      <c r="J943" s="3" t="s">
        <v>268</v>
      </c>
      <c r="K943" s="3" t="s">
        <v>1158</v>
      </c>
      <c r="L943" s="3" t="s">
        <v>4428</v>
      </c>
      <c r="M943" s="53" t="s">
        <v>4599</v>
      </c>
      <c r="N943" s="255">
        <v>115000</v>
      </c>
      <c r="O943" s="265">
        <v>100</v>
      </c>
      <c r="P943" s="270">
        <v>1</v>
      </c>
      <c r="Q943" s="255">
        <v>115000</v>
      </c>
      <c r="R943" s="283">
        <v>115000</v>
      </c>
      <c r="S943" s="283">
        <v>41769</v>
      </c>
      <c r="T943" s="287">
        <v>1</v>
      </c>
      <c r="U943" s="287">
        <v>0</v>
      </c>
      <c r="V943" s="287">
        <v>0</v>
      </c>
      <c r="W943" s="283">
        <v>0</v>
      </c>
      <c r="X943" s="283">
        <v>0</v>
      </c>
      <c r="Y943" s="199" t="s">
        <v>1395</v>
      </c>
      <c r="Z943" s="517" t="s">
        <v>5168</v>
      </c>
      <c r="AA943" s="493" t="s">
        <v>1485</v>
      </c>
      <c r="AB943" s="507"/>
    </row>
    <row r="944" spans="2:28" x14ac:dyDescent="0.15">
      <c r="B944" s="333" t="s">
        <v>4604</v>
      </c>
      <c r="C944" s="528">
        <v>43322</v>
      </c>
      <c r="D944" s="198" t="s">
        <v>4605</v>
      </c>
      <c r="E944" s="53" t="s">
        <v>1391</v>
      </c>
      <c r="F944" s="198" t="s">
        <v>3783</v>
      </c>
      <c r="G944" s="3" t="s">
        <v>362</v>
      </c>
      <c r="H944" s="53" t="s">
        <v>689</v>
      </c>
      <c r="I944" s="3" t="s">
        <v>1394</v>
      </c>
      <c r="J944" s="3" t="s">
        <v>262</v>
      </c>
      <c r="K944" s="3" t="s">
        <v>365</v>
      </c>
      <c r="L944" s="3" t="s">
        <v>4584</v>
      </c>
      <c r="M944" s="53" t="s">
        <v>4606</v>
      </c>
      <c r="N944" s="255">
        <v>210000</v>
      </c>
      <c r="O944" s="265">
        <v>100</v>
      </c>
      <c r="P944" s="270">
        <v>1</v>
      </c>
      <c r="Q944" s="255">
        <v>210000</v>
      </c>
      <c r="R944" s="283">
        <v>210000</v>
      </c>
      <c r="S944" s="283">
        <v>98179</v>
      </c>
      <c r="T944" s="287">
        <v>1</v>
      </c>
      <c r="U944" s="287">
        <v>0</v>
      </c>
      <c r="V944" s="287">
        <v>0</v>
      </c>
      <c r="W944" s="283">
        <v>0</v>
      </c>
      <c r="X944" s="283">
        <v>0</v>
      </c>
      <c r="Y944" s="199" t="s">
        <v>1395</v>
      </c>
      <c r="Z944" s="517" t="s">
        <v>5166</v>
      </c>
      <c r="AA944" s="493" t="s">
        <v>1485</v>
      </c>
      <c r="AB944" s="507"/>
    </row>
    <row r="945" spans="2:28" x14ac:dyDescent="0.15">
      <c r="B945" s="333" t="s">
        <v>4612</v>
      </c>
      <c r="C945" s="528">
        <v>43322</v>
      </c>
      <c r="D945" s="198" t="s">
        <v>4613</v>
      </c>
      <c r="E945" s="53" t="s">
        <v>1391</v>
      </c>
      <c r="F945" s="198" t="s">
        <v>3783</v>
      </c>
      <c r="G945" s="3" t="s">
        <v>362</v>
      </c>
      <c r="H945" s="53" t="s">
        <v>778</v>
      </c>
      <c r="I945" s="3" t="s">
        <v>1441</v>
      </c>
      <c r="J945" s="3" t="s">
        <v>299</v>
      </c>
      <c r="K945" s="3" t="s">
        <v>373</v>
      </c>
      <c r="L945" s="3" t="s">
        <v>4614</v>
      </c>
      <c r="M945" s="53"/>
      <c r="N945" s="255">
        <v>5000</v>
      </c>
      <c r="O945" s="265">
        <v>100</v>
      </c>
      <c r="P945" s="270">
        <v>1</v>
      </c>
      <c r="Q945" s="255">
        <v>5000</v>
      </c>
      <c r="R945" s="283">
        <v>5000</v>
      </c>
      <c r="S945" s="283">
        <v>5000</v>
      </c>
      <c r="T945" s="287">
        <v>0</v>
      </c>
      <c r="U945" s="287">
        <v>0</v>
      </c>
      <c r="V945" s="287">
        <v>0</v>
      </c>
      <c r="W945" s="283">
        <v>0</v>
      </c>
      <c r="X945" s="283">
        <v>0</v>
      </c>
      <c r="Y945" s="199" t="s">
        <v>1395</v>
      </c>
      <c r="Z945" s="517" t="s">
        <v>5532</v>
      </c>
      <c r="AA945" s="493" t="s">
        <v>1485</v>
      </c>
      <c r="AB945" s="507"/>
    </row>
    <row r="946" spans="2:28" x14ac:dyDescent="0.15">
      <c r="B946" s="333" t="s">
        <v>4612</v>
      </c>
      <c r="C946" s="528">
        <v>43322</v>
      </c>
      <c r="D946" s="198" t="s">
        <v>4613</v>
      </c>
      <c r="E946" s="53" t="s">
        <v>1391</v>
      </c>
      <c r="F946" s="198" t="s">
        <v>3783</v>
      </c>
      <c r="G946" s="3" t="s">
        <v>362</v>
      </c>
      <c r="H946" s="53" t="s">
        <v>778</v>
      </c>
      <c r="I946" s="3" t="s">
        <v>1441</v>
      </c>
      <c r="J946" s="3" t="s">
        <v>298</v>
      </c>
      <c r="K946" s="3" t="s">
        <v>1168</v>
      </c>
      <c r="L946" s="3" t="s">
        <v>4336</v>
      </c>
      <c r="M946" s="53"/>
      <c r="N946" s="255">
        <v>1600</v>
      </c>
      <c r="O946" s="265">
        <v>65</v>
      </c>
      <c r="P946" s="270">
        <v>1</v>
      </c>
      <c r="Q946" s="255">
        <v>1040</v>
      </c>
      <c r="R946" s="283">
        <v>1040</v>
      </c>
      <c r="S946" s="283">
        <v>640</v>
      </c>
      <c r="T946" s="287">
        <v>0</v>
      </c>
      <c r="U946" s="287">
        <v>0</v>
      </c>
      <c r="V946" s="287">
        <v>0</v>
      </c>
      <c r="W946" s="283">
        <v>0</v>
      </c>
      <c r="X946" s="283">
        <v>0</v>
      </c>
      <c r="Y946" s="199" t="s">
        <v>1395</v>
      </c>
      <c r="Z946" s="517" t="s">
        <v>5532</v>
      </c>
      <c r="AA946" s="493" t="s">
        <v>1485</v>
      </c>
      <c r="AB946" s="507"/>
    </row>
    <row r="947" spans="2:28" x14ac:dyDescent="0.15">
      <c r="B947" s="333" t="s">
        <v>4612</v>
      </c>
      <c r="C947" s="528">
        <v>43322</v>
      </c>
      <c r="D947" s="198" t="s">
        <v>4613</v>
      </c>
      <c r="E947" s="53" t="s">
        <v>1391</v>
      </c>
      <c r="F947" s="198" t="s">
        <v>3783</v>
      </c>
      <c r="G947" s="3" t="s">
        <v>362</v>
      </c>
      <c r="H947" s="53" t="s">
        <v>778</v>
      </c>
      <c r="I947" s="3" t="s">
        <v>1441</v>
      </c>
      <c r="J947" s="3" t="s">
        <v>298</v>
      </c>
      <c r="K947" s="3" t="s">
        <v>1168</v>
      </c>
      <c r="L947" s="3" t="s">
        <v>4615</v>
      </c>
      <c r="M947" s="53"/>
      <c r="N947" s="255">
        <v>1500</v>
      </c>
      <c r="O947" s="265">
        <v>65</v>
      </c>
      <c r="P947" s="270">
        <v>1</v>
      </c>
      <c r="Q947" s="255">
        <v>975</v>
      </c>
      <c r="R947" s="283">
        <v>975</v>
      </c>
      <c r="S947" s="283">
        <v>715</v>
      </c>
      <c r="T947" s="287">
        <v>0</v>
      </c>
      <c r="U947" s="287">
        <v>0</v>
      </c>
      <c r="V947" s="287">
        <v>0</v>
      </c>
      <c r="W947" s="283">
        <v>0</v>
      </c>
      <c r="X947" s="283">
        <v>0</v>
      </c>
      <c r="Y947" s="199" t="s">
        <v>4619</v>
      </c>
      <c r="Z947" s="517" t="s">
        <v>5166</v>
      </c>
      <c r="AA947" s="493" t="s">
        <v>1485</v>
      </c>
      <c r="AB947" s="507"/>
    </row>
    <row r="948" spans="2:28" x14ac:dyDescent="0.15">
      <c r="B948" s="333" t="s">
        <v>4612</v>
      </c>
      <c r="C948" s="528">
        <v>43322</v>
      </c>
      <c r="D948" s="198" t="s">
        <v>4613</v>
      </c>
      <c r="E948" s="53" t="s">
        <v>1391</v>
      </c>
      <c r="F948" s="198" t="s">
        <v>3783</v>
      </c>
      <c r="G948" s="3" t="s">
        <v>362</v>
      </c>
      <c r="H948" s="53" t="s">
        <v>778</v>
      </c>
      <c r="I948" s="3" t="s">
        <v>1441</v>
      </c>
      <c r="J948" s="3" t="s">
        <v>298</v>
      </c>
      <c r="K948" s="3" t="s">
        <v>1168</v>
      </c>
      <c r="L948" s="3" t="s">
        <v>1430</v>
      </c>
      <c r="M948" s="53"/>
      <c r="N948" s="255">
        <v>17000</v>
      </c>
      <c r="O948" s="265">
        <v>65</v>
      </c>
      <c r="P948" s="270">
        <v>1</v>
      </c>
      <c r="Q948" s="255">
        <v>11050</v>
      </c>
      <c r="R948" s="283">
        <v>11050</v>
      </c>
      <c r="S948" s="283">
        <v>3070</v>
      </c>
      <c r="T948" s="287">
        <v>0</v>
      </c>
      <c r="U948" s="287">
        <v>0</v>
      </c>
      <c r="V948" s="287">
        <v>0</v>
      </c>
      <c r="W948" s="283">
        <v>0</v>
      </c>
      <c r="X948" s="283">
        <v>0</v>
      </c>
      <c r="Y948" s="199" t="s">
        <v>1395</v>
      </c>
      <c r="Z948" s="517" t="s">
        <v>5166</v>
      </c>
      <c r="AA948" s="493" t="s">
        <v>1485</v>
      </c>
      <c r="AB948" s="507"/>
    </row>
    <row r="949" spans="2:28" x14ac:dyDescent="0.15">
      <c r="B949" s="333" t="s">
        <v>4616</v>
      </c>
      <c r="C949" s="528">
        <v>43322</v>
      </c>
      <c r="D949" s="198" t="s">
        <v>4617</v>
      </c>
      <c r="E949" s="53" t="s">
        <v>1396</v>
      </c>
      <c r="F949" s="198" t="s">
        <v>3791</v>
      </c>
      <c r="G949" s="3" t="s">
        <v>1321</v>
      </c>
      <c r="H949" s="53"/>
      <c r="I949" s="3"/>
      <c r="J949" s="3" t="s">
        <v>299</v>
      </c>
      <c r="K949" s="3" t="s">
        <v>373</v>
      </c>
      <c r="L949" s="3" t="s">
        <v>4618</v>
      </c>
      <c r="M949" s="53"/>
      <c r="N949" s="255">
        <v>4000</v>
      </c>
      <c r="O949" s="265">
        <v>100</v>
      </c>
      <c r="P949" s="270">
        <v>-1</v>
      </c>
      <c r="Q949" s="255">
        <v>4000</v>
      </c>
      <c r="R949" s="283">
        <v>-4000</v>
      </c>
      <c r="S949" s="283">
        <v>-4000</v>
      </c>
      <c r="T949" s="287">
        <v>0</v>
      </c>
      <c r="U949" s="287">
        <v>0</v>
      </c>
      <c r="V949" s="287">
        <v>0</v>
      </c>
      <c r="W949" s="283">
        <v>4000</v>
      </c>
      <c r="X949" s="283">
        <v>0</v>
      </c>
      <c r="Y949" s="199" t="s">
        <v>1392</v>
      </c>
      <c r="Z949" s="517" t="s">
        <v>5449</v>
      </c>
      <c r="AA949" s="493"/>
      <c r="AB949" s="507"/>
    </row>
    <row r="950" spans="2:28" x14ac:dyDescent="0.15">
      <c r="B950" s="333" t="s">
        <v>4621</v>
      </c>
      <c r="C950" s="528">
        <v>43323</v>
      </c>
      <c r="D950" s="198" t="s">
        <v>4622</v>
      </c>
      <c r="E950" s="53" t="s">
        <v>1391</v>
      </c>
      <c r="F950" s="198" t="s">
        <v>2834</v>
      </c>
      <c r="G950" s="3" t="s">
        <v>3559</v>
      </c>
      <c r="H950" s="53"/>
      <c r="I950" s="3"/>
      <c r="J950" s="3" t="s">
        <v>297</v>
      </c>
      <c r="K950" s="3" t="s">
        <v>369</v>
      </c>
      <c r="L950" s="3" t="s">
        <v>4623</v>
      </c>
      <c r="M950" s="53"/>
      <c r="N950" s="255">
        <v>100</v>
      </c>
      <c r="O950" s="265">
        <v>50</v>
      </c>
      <c r="P950" s="270">
        <v>100</v>
      </c>
      <c r="Q950" s="255">
        <v>50</v>
      </c>
      <c r="R950" s="283">
        <v>5000</v>
      </c>
      <c r="S950" s="283">
        <v>3000</v>
      </c>
      <c r="T950" s="287">
        <v>0</v>
      </c>
      <c r="U950" s="287">
        <v>0</v>
      </c>
      <c r="V950" s="287">
        <v>0</v>
      </c>
      <c r="W950" s="283">
        <v>0</v>
      </c>
      <c r="X950" s="283">
        <v>0</v>
      </c>
      <c r="Y950" s="199" t="s">
        <v>1395</v>
      </c>
      <c r="Z950" s="517" t="s">
        <v>5170</v>
      </c>
      <c r="AA950" s="493" t="s">
        <v>1485</v>
      </c>
      <c r="AB950" s="507"/>
    </row>
    <row r="951" spans="2:28" x14ac:dyDescent="0.15">
      <c r="B951" s="333" t="s">
        <v>4624</v>
      </c>
      <c r="C951" s="528">
        <v>43328</v>
      </c>
      <c r="D951" s="198" t="s">
        <v>4625</v>
      </c>
      <c r="E951" s="53" t="s">
        <v>1391</v>
      </c>
      <c r="F951" s="198" t="s">
        <v>3786</v>
      </c>
      <c r="G951" s="3" t="s">
        <v>364</v>
      </c>
      <c r="H951" s="53" t="s">
        <v>413</v>
      </c>
      <c r="I951" s="3" t="s">
        <v>4337</v>
      </c>
      <c r="J951" s="3" t="s">
        <v>271</v>
      </c>
      <c r="K951" s="3" t="s">
        <v>1160</v>
      </c>
      <c r="L951" s="3" t="s">
        <v>4626</v>
      </c>
      <c r="M951" s="53" t="s">
        <v>4627</v>
      </c>
      <c r="N951" s="258">
        <v>213000</v>
      </c>
      <c r="O951" s="266">
        <v>100</v>
      </c>
      <c r="P951" s="272">
        <v>1</v>
      </c>
      <c r="Q951" s="258">
        <v>213000</v>
      </c>
      <c r="R951" s="286">
        <v>213000</v>
      </c>
      <c r="S951" s="286">
        <v>88171</v>
      </c>
      <c r="T951" s="288">
        <v>1</v>
      </c>
      <c r="U951" s="288">
        <v>0</v>
      </c>
      <c r="V951" s="288">
        <v>0</v>
      </c>
      <c r="W951" s="286">
        <v>0</v>
      </c>
      <c r="X951" s="286">
        <v>0</v>
      </c>
      <c r="Y951" s="200" t="s">
        <v>1395</v>
      </c>
      <c r="Z951" s="517" t="s">
        <v>5450</v>
      </c>
      <c r="AA951" s="499" t="s">
        <v>1485</v>
      </c>
      <c r="AB951" s="508"/>
    </row>
    <row r="952" spans="2:28" x14ac:dyDescent="0.15">
      <c r="B952" s="333" t="s">
        <v>4628</v>
      </c>
      <c r="C952" s="528">
        <v>43328</v>
      </c>
      <c r="D952" s="198" t="s">
        <v>4629</v>
      </c>
      <c r="E952" s="53" t="s">
        <v>1391</v>
      </c>
      <c r="F952" s="198" t="s">
        <v>2834</v>
      </c>
      <c r="G952" s="3" t="s">
        <v>3559</v>
      </c>
      <c r="H952" s="53"/>
      <c r="I952" s="3"/>
      <c r="J952" s="3" t="s">
        <v>297</v>
      </c>
      <c r="K952" s="3" t="s">
        <v>369</v>
      </c>
      <c r="L952" s="3" t="s">
        <v>4630</v>
      </c>
      <c r="M952" s="53"/>
      <c r="N952" s="255">
        <v>100</v>
      </c>
      <c r="O952" s="265">
        <v>50</v>
      </c>
      <c r="P952" s="270">
        <v>100</v>
      </c>
      <c r="Q952" s="255">
        <v>50</v>
      </c>
      <c r="R952" s="283">
        <v>5000</v>
      </c>
      <c r="S952" s="283">
        <v>3000</v>
      </c>
      <c r="T952" s="287">
        <v>0</v>
      </c>
      <c r="U952" s="287">
        <v>0</v>
      </c>
      <c r="V952" s="287">
        <v>0</v>
      </c>
      <c r="W952" s="283">
        <v>0</v>
      </c>
      <c r="X952" s="283">
        <v>0</v>
      </c>
      <c r="Y952" s="199" t="s">
        <v>1395</v>
      </c>
      <c r="Z952" s="517" t="s">
        <v>5170</v>
      </c>
      <c r="AA952" s="493" t="s">
        <v>1485</v>
      </c>
      <c r="AB952" s="507"/>
    </row>
    <row r="953" spans="2:28" x14ac:dyDescent="0.15">
      <c r="B953" s="333" t="s">
        <v>4628</v>
      </c>
      <c r="C953" s="528">
        <v>43328</v>
      </c>
      <c r="D953" s="198" t="s">
        <v>4629</v>
      </c>
      <c r="E953" s="53" t="s">
        <v>1391</v>
      </c>
      <c r="F953" s="198" t="s">
        <v>2834</v>
      </c>
      <c r="G953" s="3" t="s">
        <v>3559</v>
      </c>
      <c r="H953" s="53"/>
      <c r="I953" s="3"/>
      <c r="J953" s="3" t="s">
        <v>298</v>
      </c>
      <c r="K953" s="3" t="s">
        <v>1168</v>
      </c>
      <c r="L953" s="3" t="s">
        <v>4631</v>
      </c>
      <c r="M953" s="53"/>
      <c r="N953" s="255">
        <v>3500</v>
      </c>
      <c r="O953" s="265">
        <v>65</v>
      </c>
      <c r="P953" s="270">
        <v>1</v>
      </c>
      <c r="Q953" s="255">
        <v>2275</v>
      </c>
      <c r="R953" s="283">
        <v>2275</v>
      </c>
      <c r="S953" s="283">
        <v>995</v>
      </c>
      <c r="T953" s="287">
        <v>0</v>
      </c>
      <c r="U953" s="287">
        <v>0</v>
      </c>
      <c r="V953" s="287">
        <v>0</v>
      </c>
      <c r="W953" s="283">
        <v>0</v>
      </c>
      <c r="X953" s="283">
        <v>0</v>
      </c>
      <c r="Y953" s="199" t="s">
        <v>1395</v>
      </c>
      <c r="Z953" s="517" t="s">
        <v>5170</v>
      </c>
      <c r="AA953" s="493" t="s">
        <v>1485</v>
      </c>
      <c r="AB953" s="507"/>
    </row>
    <row r="954" spans="2:28" x14ac:dyDescent="0.15">
      <c r="B954" s="333" t="s">
        <v>4628</v>
      </c>
      <c r="C954" s="528">
        <v>43328</v>
      </c>
      <c r="D954" s="198" t="s">
        <v>4629</v>
      </c>
      <c r="E954" s="53" t="s">
        <v>1391</v>
      </c>
      <c r="F954" s="198" t="s">
        <v>2834</v>
      </c>
      <c r="G954" s="3" t="s">
        <v>3559</v>
      </c>
      <c r="H954" s="53"/>
      <c r="I954" s="3"/>
      <c r="J954" s="3" t="s">
        <v>296</v>
      </c>
      <c r="K954" s="3" t="s">
        <v>1167</v>
      </c>
      <c r="L954" s="3" t="s">
        <v>2542</v>
      </c>
      <c r="M954" s="53"/>
      <c r="N954" s="255">
        <v>3500</v>
      </c>
      <c r="O954" s="265">
        <v>60</v>
      </c>
      <c r="P954" s="270">
        <v>2</v>
      </c>
      <c r="Q954" s="255">
        <v>2100</v>
      </c>
      <c r="R954" s="283">
        <v>4200</v>
      </c>
      <c r="S954" s="283">
        <v>1800</v>
      </c>
      <c r="T954" s="287">
        <v>0</v>
      </c>
      <c r="U954" s="287">
        <v>0</v>
      </c>
      <c r="V954" s="287">
        <v>0</v>
      </c>
      <c r="W954" s="283">
        <v>0</v>
      </c>
      <c r="X954" s="283">
        <v>0</v>
      </c>
      <c r="Y954" s="199" t="s">
        <v>1395</v>
      </c>
      <c r="Z954" s="517" t="s">
        <v>5553</v>
      </c>
      <c r="AA954" s="493" t="s">
        <v>1485</v>
      </c>
      <c r="AB954" s="507"/>
    </row>
    <row r="955" spans="2:28" x14ac:dyDescent="0.15">
      <c r="B955" s="333" t="s">
        <v>4628</v>
      </c>
      <c r="C955" s="528">
        <v>43328</v>
      </c>
      <c r="D955" s="198" t="s">
        <v>4629</v>
      </c>
      <c r="E955" s="53" t="s">
        <v>1391</v>
      </c>
      <c r="F955" s="198" t="s">
        <v>2834</v>
      </c>
      <c r="G955" s="3" t="s">
        <v>3559</v>
      </c>
      <c r="H955" s="53"/>
      <c r="I955" s="3"/>
      <c r="J955" s="3" t="s">
        <v>295</v>
      </c>
      <c r="K955" s="3" t="s">
        <v>1166</v>
      </c>
      <c r="L955" s="3" t="s">
        <v>4632</v>
      </c>
      <c r="M955" s="53"/>
      <c r="N955" s="255">
        <v>33000</v>
      </c>
      <c r="O955" s="265">
        <v>65</v>
      </c>
      <c r="P955" s="270">
        <v>1</v>
      </c>
      <c r="Q955" s="255">
        <v>21450</v>
      </c>
      <c r="R955" s="283">
        <v>21450</v>
      </c>
      <c r="S955" s="283">
        <v>8200</v>
      </c>
      <c r="T955" s="287">
        <v>0</v>
      </c>
      <c r="U955" s="287">
        <v>0</v>
      </c>
      <c r="V955" s="287">
        <v>0</v>
      </c>
      <c r="W955" s="283">
        <v>0</v>
      </c>
      <c r="X955" s="283">
        <v>0</v>
      </c>
      <c r="Y955" s="199" t="s">
        <v>1395</v>
      </c>
      <c r="Z955" s="517" t="s">
        <v>5170</v>
      </c>
      <c r="AA955" s="493" t="s">
        <v>1485</v>
      </c>
      <c r="AB955" s="507"/>
    </row>
    <row r="956" spans="2:28" x14ac:dyDescent="0.15">
      <c r="B956" s="333" t="s">
        <v>4633</v>
      </c>
      <c r="C956" s="528">
        <v>43328</v>
      </c>
      <c r="D956" s="198" t="s">
        <v>4634</v>
      </c>
      <c r="E956" s="53" t="s">
        <v>1391</v>
      </c>
      <c r="F956" s="198" t="s">
        <v>3783</v>
      </c>
      <c r="G956" s="3" t="s">
        <v>362</v>
      </c>
      <c r="H956" s="53" t="s">
        <v>689</v>
      </c>
      <c r="I956" s="3" t="s">
        <v>1394</v>
      </c>
      <c r="J956" s="3" t="s">
        <v>268</v>
      </c>
      <c r="K956" s="3" t="s">
        <v>1158</v>
      </c>
      <c r="L956" s="3" t="s">
        <v>2398</v>
      </c>
      <c r="M956" s="53" t="s">
        <v>4635</v>
      </c>
      <c r="N956" s="255">
        <v>260000</v>
      </c>
      <c r="O956" s="265">
        <v>55</v>
      </c>
      <c r="P956" s="270">
        <v>1</v>
      </c>
      <c r="Q956" s="255">
        <v>143000</v>
      </c>
      <c r="R956" s="283">
        <v>143000</v>
      </c>
      <c r="S956" s="283">
        <v>49549</v>
      </c>
      <c r="T956" s="287">
        <v>1</v>
      </c>
      <c r="U956" s="287">
        <v>0</v>
      </c>
      <c r="V956" s="287">
        <v>0</v>
      </c>
      <c r="W956" s="283">
        <v>0</v>
      </c>
      <c r="X956" s="283">
        <v>0</v>
      </c>
      <c r="Y956" s="199" t="s">
        <v>1395</v>
      </c>
      <c r="Z956" s="517" t="s">
        <v>5166</v>
      </c>
      <c r="AA956" s="493" t="s">
        <v>1485</v>
      </c>
      <c r="AB956" s="507"/>
    </row>
    <row r="957" spans="2:28" x14ac:dyDescent="0.15">
      <c r="B957" s="333" t="s">
        <v>4636</v>
      </c>
      <c r="C957" s="528">
        <v>43328</v>
      </c>
      <c r="D957" s="198" t="s">
        <v>4637</v>
      </c>
      <c r="E957" s="53" t="s">
        <v>1391</v>
      </c>
      <c r="F957" s="198" t="s">
        <v>2834</v>
      </c>
      <c r="G957" s="3" t="s">
        <v>3559</v>
      </c>
      <c r="H957" s="53"/>
      <c r="I957" s="3"/>
      <c r="J957" s="3" t="s">
        <v>297</v>
      </c>
      <c r="K957" s="3" t="s">
        <v>369</v>
      </c>
      <c r="L957" s="3" t="s">
        <v>4638</v>
      </c>
      <c r="M957" s="53"/>
      <c r="N957" s="255">
        <v>100</v>
      </c>
      <c r="O957" s="265">
        <v>50</v>
      </c>
      <c r="P957" s="270">
        <v>100</v>
      </c>
      <c r="Q957" s="255">
        <v>50</v>
      </c>
      <c r="R957" s="283">
        <v>5000</v>
      </c>
      <c r="S957" s="283">
        <v>3000</v>
      </c>
      <c r="T957" s="287">
        <v>0</v>
      </c>
      <c r="U957" s="287">
        <v>0</v>
      </c>
      <c r="V957" s="287">
        <v>0</v>
      </c>
      <c r="W957" s="283">
        <v>0</v>
      </c>
      <c r="X957" s="283">
        <v>0</v>
      </c>
      <c r="Y957" s="199" t="s">
        <v>1395</v>
      </c>
      <c r="Z957" s="517" t="s">
        <v>5170</v>
      </c>
      <c r="AA957" s="493" t="s">
        <v>1485</v>
      </c>
      <c r="AB957" s="507"/>
    </row>
    <row r="958" spans="2:28" x14ac:dyDescent="0.15">
      <c r="B958" s="333" t="s">
        <v>4639</v>
      </c>
      <c r="C958" s="528">
        <v>43329</v>
      </c>
      <c r="D958" s="198" t="s">
        <v>4640</v>
      </c>
      <c r="E958" s="53" t="s">
        <v>1391</v>
      </c>
      <c r="F958" s="198" t="s">
        <v>3783</v>
      </c>
      <c r="G958" s="3" t="s">
        <v>362</v>
      </c>
      <c r="H958" s="53" t="s">
        <v>689</v>
      </c>
      <c r="I958" s="3" t="s">
        <v>1394</v>
      </c>
      <c r="J958" s="3" t="s">
        <v>264</v>
      </c>
      <c r="K958" s="3" t="s">
        <v>538</v>
      </c>
      <c r="L958" s="3" t="s">
        <v>4641</v>
      </c>
      <c r="M958" s="53" t="s">
        <v>4642</v>
      </c>
      <c r="N958" s="255">
        <v>320000</v>
      </c>
      <c r="O958" s="265">
        <v>55</v>
      </c>
      <c r="P958" s="270">
        <v>1</v>
      </c>
      <c r="Q958" s="255">
        <v>176000</v>
      </c>
      <c r="R958" s="283">
        <v>176000</v>
      </c>
      <c r="S958" s="283">
        <v>63461</v>
      </c>
      <c r="T958" s="287">
        <v>1</v>
      </c>
      <c r="U958" s="287">
        <v>0</v>
      </c>
      <c r="V958" s="287">
        <v>0</v>
      </c>
      <c r="W958" s="283">
        <v>0</v>
      </c>
      <c r="X958" s="283">
        <v>0</v>
      </c>
      <c r="Y958" s="199" t="s">
        <v>1395</v>
      </c>
      <c r="Z958" s="517" t="s">
        <v>5166</v>
      </c>
      <c r="AA958" s="493" t="s">
        <v>1485</v>
      </c>
      <c r="AB958" s="507"/>
    </row>
    <row r="959" spans="2:28" x14ac:dyDescent="0.15">
      <c r="B959" s="333" t="s">
        <v>4643</v>
      </c>
      <c r="C959" s="528">
        <v>43329</v>
      </c>
      <c r="D959" s="198" t="s">
        <v>4644</v>
      </c>
      <c r="E959" s="53" t="s">
        <v>2382</v>
      </c>
      <c r="F959" s="198" t="s">
        <v>3842</v>
      </c>
      <c r="G959" s="3" t="s">
        <v>2375</v>
      </c>
      <c r="H959" s="53"/>
      <c r="I959" s="3" t="s">
        <v>4645</v>
      </c>
      <c r="J959" s="3" t="s">
        <v>299</v>
      </c>
      <c r="K959" s="3" t="s">
        <v>373</v>
      </c>
      <c r="L959" s="3" t="s">
        <v>4646</v>
      </c>
      <c r="M959" s="53"/>
      <c r="N959" s="255">
        <v>3000</v>
      </c>
      <c r="O959" s="265">
        <v>100</v>
      </c>
      <c r="P959" s="270">
        <v>1</v>
      </c>
      <c r="Q959" s="255">
        <v>3000</v>
      </c>
      <c r="R959" s="283">
        <v>3000</v>
      </c>
      <c r="S959" s="283">
        <v>2000</v>
      </c>
      <c r="T959" s="287">
        <v>0</v>
      </c>
      <c r="U959" s="287">
        <v>0</v>
      </c>
      <c r="V959" s="287">
        <v>0</v>
      </c>
      <c r="W959" s="283">
        <v>0</v>
      </c>
      <c r="X959" s="283">
        <v>0</v>
      </c>
      <c r="Y959" s="199" t="s">
        <v>1395</v>
      </c>
      <c r="Z959" s="517" t="s">
        <v>5555</v>
      </c>
      <c r="AA959" s="493"/>
      <c r="AB959" s="507"/>
    </row>
    <row r="960" spans="2:28" x14ac:dyDescent="0.15">
      <c r="B960" s="333" t="s">
        <v>4652</v>
      </c>
      <c r="C960" s="528">
        <v>43331</v>
      </c>
      <c r="D960" s="198" t="s">
        <v>4653</v>
      </c>
      <c r="E960" s="53" t="s">
        <v>1396</v>
      </c>
      <c r="F960" s="198" t="s">
        <v>4654</v>
      </c>
      <c r="G960" s="3" t="s">
        <v>4647</v>
      </c>
      <c r="H960" s="53"/>
      <c r="I960" s="3"/>
      <c r="J960" s="3" t="s">
        <v>271</v>
      </c>
      <c r="K960" s="3" t="s">
        <v>1160</v>
      </c>
      <c r="L960" s="3" t="s">
        <v>1951</v>
      </c>
      <c r="M960" s="53" t="s">
        <v>4655</v>
      </c>
      <c r="N960" s="255">
        <v>213000</v>
      </c>
      <c r="O960" s="265">
        <v>100</v>
      </c>
      <c r="P960" s="270">
        <v>1</v>
      </c>
      <c r="Q960" s="255">
        <v>213000</v>
      </c>
      <c r="R960" s="283">
        <v>213000</v>
      </c>
      <c r="S960" s="283">
        <v>88171</v>
      </c>
      <c r="T960" s="287">
        <v>1</v>
      </c>
      <c r="U960" s="287">
        <v>0</v>
      </c>
      <c r="V960" s="287">
        <v>0</v>
      </c>
      <c r="W960" s="283">
        <v>0</v>
      </c>
      <c r="X960" s="283">
        <v>0</v>
      </c>
      <c r="Y960" s="199" t="s">
        <v>1395</v>
      </c>
      <c r="Z960" s="517" t="s">
        <v>5169</v>
      </c>
      <c r="AA960" s="493" t="s">
        <v>1485</v>
      </c>
      <c r="AB960" s="507"/>
    </row>
    <row r="961" spans="2:28" x14ac:dyDescent="0.15">
      <c r="B961" s="333" t="s">
        <v>4676</v>
      </c>
      <c r="C961" s="528">
        <v>43332</v>
      </c>
      <c r="D961" s="198" t="s">
        <v>4677</v>
      </c>
      <c r="E961" s="53" t="s">
        <v>1391</v>
      </c>
      <c r="F961" s="198" t="s">
        <v>3786</v>
      </c>
      <c r="G961" s="3" t="s">
        <v>364</v>
      </c>
      <c r="H961" s="53" t="s">
        <v>411</v>
      </c>
      <c r="I961" s="3" t="s">
        <v>4678</v>
      </c>
      <c r="J961" s="3" t="s">
        <v>297</v>
      </c>
      <c r="K961" s="3" t="s">
        <v>369</v>
      </c>
      <c r="L961" s="3" t="s">
        <v>1484</v>
      </c>
      <c r="M961" s="53"/>
      <c r="N961" s="258">
        <v>200</v>
      </c>
      <c r="O961" s="266">
        <v>50</v>
      </c>
      <c r="P961" s="272">
        <v>100</v>
      </c>
      <c r="Q961" s="258">
        <v>100</v>
      </c>
      <c r="R961" s="286">
        <v>10000</v>
      </c>
      <c r="S961" s="286">
        <v>7200</v>
      </c>
      <c r="T961" s="288">
        <v>0</v>
      </c>
      <c r="U961" s="288">
        <v>0</v>
      </c>
      <c r="V961" s="288">
        <v>0</v>
      </c>
      <c r="W961" s="286">
        <v>0</v>
      </c>
      <c r="X961" s="286">
        <v>0</v>
      </c>
      <c r="Y961" s="200" t="s">
        <v>1395</v>
      </c>
      <c r="Z961" s="517" t="s">
        <v>5168</v>
      </c>
      <c r="AA961" s="499" t="s">
        <v>1485</v>
      </c>
      <c r="AB961" s="508"/>
    </row>
    <row r="962" spans="2:28" x14ac:dyDescent="0.15">
      <c r="B962" s="333" t="s">
        <v>4690</v>
      </c>
      <c r="C962" s="528">
        <v>43332</v>
      </c>
      <c r="D962" s="198" t="s">
        <v>4691</v>
      </c>
      <c r="E962" s="53" t="s">
        <v>1391</v>
      </c>
      <c r="F962" s="198" t="s">
        <v>3786</v>
      </c>
      <c r="G962" s="3" t="s">
        <v>364</v>
      </c>
      <c r="H962" s="53" t="s">
        <v>473</v>
      </c>
      <c r="I962" s="3" t="s">
        <v>1400</v>
      </c>
      <c r="J962" s="3" t="s">
        <v>297</v>
      </c>
      <c r="K962" s="3" t="s">
        <v>369</v>
      </c>
      <c r="L962" s="3" t="s">
        <v>1484</v>
      </c>
      <c r="M962" s="53"/>
      <c r="N962" s="255">
        <v>200</v>
      </c>
      <c r="O962" s="265">
        <v>50</v>
      </c>
      <c r="P962" s="270">
        <v>100</v>
      </c>
      <c r="Q962" s="255">
        <v>100</v>
      </c>
      <c r="R962" s="283">
        <v>10000</v>
      </c>
      <c r="S962" s="283">
        <v>5700</v>
      </c>
      <c r="T962" s="287">
        <v>0</v>
      </c>
      <c r="U962" s="287">
        <v>0</v>
      </c>
      <c r="V962" s="287">
        <v>0</v>
      </c>
      <c r="W962" s="283">
        <v>1500</v>
      </c>
      <c r="X962" s="283">
        <v>0</v>
      </c>
      <c r="Y962" s="199" t="s">
        <v>1392</v>
      </c>
      <c r="Z962" s="517" t="s">
        <v>5537</v>
      </c>
      <c r="AA962" s="493" t="s">
        <v>1485</v>
      </c>
      <c r="AB962" s="507"/>
    </row>
    <row r="963" spans="2:28" x14ac:dyDescent="0.15">
      <c r="B963" s="333" t="s">
        <v>4698</v>
      </c>
      <c r="C963" s="528">
        <v>43332</v>
      </c>
      <c r="D963" s="198" t="s">
        <v>4699</v>
      </c>
      <c r="E963" s="53" t="s">
        <v>1391</v>
      </c>
      <c r="F963" s="198" t="s">
        <v>3786</v>
      </c>
      <c r="G963" s="3" t="s">
        <v>364</v>
      </c>
      <c r="H963" s="53" t="s">
        <v>413</v>
      </c>
      <c r="I963" s="3" t="s">
        <v>4337</v>
      </c>
      <c r="J963" s="3" t="s">
        <v>271</v>
      </c>
      <c r="K963" s="3" t="s">
        <v>1160</v>
      </c>
      <c r="L963" s="3" t="s">
        <v>4626</v>
      </c>
      <c r="M963" s="53" t="s">
        <v>4627</v>
      </c>
      <c r="N963" s="255">
        <v>213000</v>
      </c>
      <c r="O963" s="265">
        <v>100</v>
      </c>
      <c r="P963" s="270">
        <v>-1</v>
      </c>
      <c r="Q963" s="255">
        <v>213000</v>
      </c>
      <c r="R963" s="283">
        <v>-213000</v>
      </c>
      <c r="S963" s="283">
        <v>-88171</v>
      </c>
      <c r="T963" s="287">
        <v>-1</v>
      </c>
      <c r="U963" s="287">
        <v>0</v>
      </c>
      <c r="V963" s="287">
        <v>0</v>
      </c>
      <c r="W963" s="283">
        <v>0</v>
      </c>
      <c r="X963" s="283">
        <v>0</v>
      </c>
      <c r="Y963" s="199" t="s">
        <v>1395</v>
      </c>
      <c r="Z963" s="517" t="s">
        <v>5450</v>
      </c>
      <c r="AA963" s="493" t="s">
        <v>1485</v>
      </c>
      <c r="AB963" s="507"/>
    </row>
    <row r="964" spans="2:28" x14ac:dyDescent="0.15">
      <c r="B964" s="333" t="s">
        <v>4698</v>
      </c>
      <c r="C964" s="528">
        <v>43332</v>
      </c>
      <c r="D964" s="198" t="s">
        <v>4699</v>
      </c>
      <c r="E964" s="53" t="s">
        <v>1396</v>
      </c>
      <c r="F964" s="198" t="s">
        <v>3791</v>
      </c>
      <c r="G964" s="3" t="s">
        <v>1321</v>
      </c>
      <c r="H964" s="53"/>
      <c r="I964" s="3"/>
      <c r="J964" s="3"/>
      <c r="K964" s="3"/>
      <c r="L964" s="3" t="s">
        <v>1418</v>
      </c>
      <c r="M964" s="53"/>
      <c r="N964" s="255">
        <v>-47997</v>
      </c>
      <c r="O964" s="265">
        <v>100</v>
      </c>
      <c r="P964" s="270">
        <v>-1</v>
      </c>
      <c r="Q964" s="255">
        <v>-47997</v>
      </c>
      <c r="R964" s="283">
        <v>-47997</v>
      </c>
      <c r="S964" s="283">
        <v>-47997</v>
      </c>
      <c r="T964" s="287">
        <v>0</v>
      </c>
      <c r="U964" s="287">
        <v>0</v>
      </c>
      <c r="V964" s="287">
        <v>0</v>
      </c>
      <c r="W964" s="283">
        <v>47997</v>
      </c>
      <c r="X964" s="283">
        <v>0</v>
      </c>
      <c r="Y964" s="199" t="s">
        <v>1392</v>
      </c>
      <c r="Z964" s="517" t="s">
        <v>5449</v>
      </c>
      <c r="AA964" s="493"/>
      <c r="AB964" s="507"/>
    </row>
    <row r="965" spans="2:28" x14ac:dyDescent="0.15">
      <c r="B965" s="333" t="s">
        <v>4601</v>
      </c>
      <c r="C965" s="528">
        <v>43333</v>
      </c>
      <c r="D965" s="198" t="s">
        <v>4602</v>
      </c>
      <c r="E965" s="53" t="s">
        <v>1396</v>
      </c>
      <c r="F965" s="198" t="s">
        <v>4600</v>
      </c>
      <c r="G965" s="3" t="s">
        <v>374</v>
      </c>
      <c r="H965" s="53"/>
      <c r="I965" s="3"/>
      <c r="J965" s="3" t="s">
        <v>262</v>
      </c>
      <c r="K965" s="3" t="s">
        <v>365</v>
      </c>
      <c r="L965" s="3" t="s">
        <v>2235</v>
      </c>
      <c r="M965" s="53" t="s">
        <v>4603</v>
      </c>
      <c r="N965" s="258">
        <v>260000</v>
      </c>
      <c r="O965" s="266">
        <v>50</v>
      </c>
      <c r="P965" s="272">
        <v>1</v>
      </c>
      <c r="Q965" s="258">
        <v>130000</v>
      </c>
      <c r="R965" s="286">
        <v>130000</v>
      </c>
      <c r="S965" s="286">
        <v>32080</v>
      </c>
      <c r="T965" s="288">
        <v>1</v>
      </c>
      <c r="U965" s="288">
        <v>0</v>
      </c>
      <c r="V965" s="288">
        <v>0</v>
      </c>
      <c r="W965" s="286">
        <v>0</v>
      </c>
      <c r="X965" s="286">
        <v>0</v>
      </c>
      <c r="Y965" s="200" t="s">
        <v>1395</v>
      </c>
      <c r="Z965" s="517" t="s">
        <v>5559</v>
      </c>
      <c r="AA965" s="499" t="s">
        <v>1485</v>
      </c>
      <c r="AB965" s="508"/>
    </row>
    <row r="966" spans="2:28" x14ac:dyDescent="0.15">
      <c r="B966" s="333" t="s">
        <v>4607</v>
      </c>
      <c r="C966" s="528">
        <v>43333</v>
      </c>
      <c r="D966" s="198" t="s">
        <v>4608</v>
      </c>
      <c r="E966" s="53" t="s">
        <v>1396</v>
      </c>
      <c r="F966" s="198" t="s">
        <v>21</v>
      </c>
      <c r="G966" s="3" t="s">
        <v>50</v>
      </c>
      <c r="H966" s="53" t="s">
        <v>380</v>
      </c>
      <c r="I966" s="3" t="s">
        <v>1976</v>
      </c>
      <c r="J966" s="3" t="s">
        <v>274</v>
      </c>
      <c r="K966" s="3" t="s">
        <v>1162</v>
      </c>
      <c r="L966" s="3" t="s">
        <v>4609</v>
      </c>
      <c r="M966" s="53" t="s">
        <v>4610</v>
      </c>
      <c r="N966" s="258">
        <v>325000</v>
      </c>
      <c r="O966" s="266">
        <v>60</v>
      </c>
      <c r="P966" s="272">
        <v>1</v>
      </c>
      <c r="Q966" s="258">
        <v>195000</v>
      </c>
      <c r="R966" s="286">
        <v>195000</v>
      </c>
      <c r="S966" s="286">
        <v>44333</v>
      </c>
      <c r="T966" s="288">
        <v>0</v>
      </c>
      <c r="U966" s="288">
        <v>1</v>
      </c>
      <c r="V966" s="288">
        <v>0</v>
      </c>
      <c r="W966" s="286">
        <v>19500</v>
      </c>
      <c r="X966" s="286">
        <v>0</v>
      </c>
      <c r="Y966" s="199" t="s">
        <v>1392</v>
      </c>
      <c r="Z966" s="517" t="s">
        <v>5166</v>
      </c>
      <c r="AA966" s="493" t="s">
        <v>1485</v>
      </c>
      <c r="AB966" s="507"/>
    </row>
    <row r="967" spans="2:28" x14ac:dyDescent="0.15">
      <c r="B967" s="333" t="s">
        <v>4661</v>
      </c>
      <c r="C967" s="528">
        <v>43333</v>
      </c>
      <c r="D967" s="198" t="s">
        <v>4662</v>
      </c>
      <c r="E967" s="53" t="s">
        <v>1391</v>
      </c>
      <c r="F967" s="198" t="s">
        <v>2202</v>
      </c>
      <c r="G967" s="3" t="s">
        <v>4656</v>
      </c>
      <c r="H967" s="53"/>
      <c r="I967" s="3"/>
      <c r="J967" s="3" t="s">
        <v>297</v>
      </c>
      <c r="K967" s="3" t="s">
        <v>369</v>
      </c>
      <c r="L967" s="3" t="s">
        <v>4663</v>
      </c>
      <c r="M967" s="53"/>
      <c r="N967" s="258">
        <v>38</v>
      </c>
      <c r="O967" s="266">
        <v>100</v>
      </c>
      <c r="P967" s="272">
        <v>300</v>
      </c>
      <c r="Q967" s="258">
        <v>38</v>
      </c>
      <c r="R967" s="286">
        <v>11400</v>
      </c>
      <c r="S967" s="286">
        <v>120</v>
      </c>
      <c r="T967" s="288">
        <v>0</v>
      </c>
      <c r="U967" s="288">
        <v>0</v>
      </c>
      <c r="V967" s="288">
        <v>0</v>
      </c>
      <c r="W967" s="286">
        <v>0</v>
      </c>
      <c r="X967" s="286">
        <v>0</v>
      </c>
      <c r="Y967" s="199" t="s">
        <v>1395</v>
      </c>
      <c r="Z967" s="517" t="s">
        <v>5166</v>
      </c>
      <c r="AA967" s="493" t="s">
        <v>1485</v>
      </c>
      <c r="AB967" s="507"/>
    </row>
    <row r="968" spans="2:28" x14ac:dyDescent="0.15">
      <c r="B968" s="333" t="s">
        <v>4661</v>
      </c>
      <c r="C968" s="528">
        <v>43333</v>
      </c>
      <c r="D968" s="198" t="s">
        <v>4662</v>
      </c>
      <c r="E968" s="53" t="s">
        <v>1391</v>
      </c>
      <c r="F968" s="198" t="s">
        <v>2202</v>
      </c>
      <c r="G968" s="3" t="s">
        <v>4656</v>
      </c>
      <c r="H968" s="53"/>
      <c r="I968" s="3"/>
      <c r="J968" s="3"/>
      <c r="K968" s="3"/>
      <c r="L968" s="3" t="s">
        <v>1520</v>
      </c>
      <c r="M968" s="53"/>
      <c r="N968" s="258">
        <v>550</v>
      </c>
      <c r="O968" s="266">
        <v>100</v>
      </c>
      <c r="P968" s="272">
        <v>1</v>
      </c>
      <c r="Q968" s="258">
        <v>550</v>
      </c>
      <c r="R968" s="286">
        <v>550</v>
      </c>
      <c r="S968" s="286">
        <v>0</v>
      </c>
      <c r="T968" s="288">
        <v>0</v>
      </c>
      <c r="U968" s="288">
        <v>0</v>
      </c>
      <c r="V968" s="288">
        <v>0</v>
      </c>
      <c r="W968" s="286">
        <v>0</v>
      </c>
      <c r="X968" s="286">
        <v>0</v>
      </c>
      <c r="Y968" s="199" t="s">
        <v>1395</v>
      </c>
      <c r="Z968" s="517" t="s">
        <v>5543</v>
      </c>
      <c r="AA968" s="493" t="s">
        <v>1485</v>
      </c>
      <c r="AB968" s="507"/>
    </row>
    <row r="969" spans="2:28" x14ac:dyDescent="0.15">
      <c r="B969" s="333" t="s">
        <v>4667</v>
      </c>
      <c r="C969" s="528">
        <v>43334</v>
      </c>
      <c r="D969" s="198" t="s">
        <v>4668</v>
      </c>
      <c r="E969" s="53" t="s">
        <v>1391</v>
      </c>
      <c r="F969" s="198" t="s">
        <v>3783</v>
      </c>
      <c r="G969" s="3" t="s">
        <v>362</v>
      </c>
      <c r="H969" s="53" t="s">
        <v>689</v>
      </c>
      <c r="I969" s="3" t="s">
        <v>1394</v>
      </c>
      <c r="J969" s="3" t="s">
        <v>296</v>
      </c>
      <c r="K969" s="3" t="s">
        <v>1167</v>
      </c>
      <c r="L969" s="3" t="s">
        <v>4669</v>
      </c>
      <c r="M969" s="53"/>
      <c r="N969" s="258">
        <v>3500</v>
      </c>
      <c r="O969" s="266">
        <v>60</v>
      </c>
      <c r="P969" s="272">
        <v>1</v>
      </c>
      <c r="Q969" s="258">
        <v>2100</v>
      </c>
      <c r="R969" s="286">
        <v>2100</v>
      </c>
      <c r="S969" s="286">
        <v>900</v>
      </c>
      <c r="T969" s="288">
        <v>0</v>
      </c>
      <c r="U969" s="288">
        <v>0</v>
      </c>
      <c r="V969" s="288">
        <v>0</v>
      </c>
      <c r="W969" s="286">
        <v>0</v>
      </c>
      <c r="X969" s="286">
        <v>0</v>
      </c>
      <c r="Y969" s="199" t="s">
        <v>1395</v>
      </c>
      <c r="Z969" s="517" t="s">
        <v>5166</v>
      </c>
      <c r="AA969" s="493" t="s">
        <v>1485</v>
      </c>
      <c r="AB969" s="507"/>
    </row>
    <row r="970" spans="2:28" x14ac:dyDescent="0.15">
      <c r="B970" s="333" t="s">
        <v>4670</v>
      </c>
      <c r="C970" s="528">
        <v>43336</v>
      </c>
      <c r="D970" s="198" t="s">
        <v>4671</v>
      </c>
      <c r="E970" s="53" t="s">
        <v>1396</v>
      </c>
      <c r="F970" s="198" t="s">
        <v>21</v>
      </c>
      <c r="G970" s="3" t="s">
        <v>50</v>
      </c>
      <c r="H970" s="53" t="s">
        <v>381</v>
      </c>
      <c r="I970" s="3" t="s">
        <v>1408</v>
      </c>
      <c r="J970" s="3" t="s">
        <v>271</v>
      </c>
      <c r="K970" s="3" t="s">
        <v>1160</v>
      </c>
      <c r="L970" s="3" t="s">
        <v>1964</v>
      </c>
      <c r="M970" s="53" t="s">
        <v>4672</v>
      </c>
      <c r="N970" s="258">
        <v>225000</v>
      </c>
      <c r="O970" s="266">
        <v>100</v>
      </c>
      <c r="P970" s="272">
        <v>1</v>
      </c>
      <c r="Q970" s="258">
        <v>225000</v>
      </c>
      <c r="R970" s="286">
        <v>225000</v>
      </c>
      <c r="S970" s="286">
        <v>72425</v>
      </c>
      <c r="T970" s="288">
        <v>0</v>
      </c>
      <c r="U970" s="288">
        <v>1</v>
      </c>
      <c r="V970" s="288">
        <v>0</v>
      </c>
      <c r="W970" s="286">
        <v>25961</v>
      </c>
      <c r="X970" s="286">
        <v>0</v>
      </c>
      <c r="Y970" s="199" t="s">
        <v>1392</v>
      </c>
      <c r="Z970" s="517" t="s">
        <v>5166</v>
      </c>
      <c r="AA970" s="493" t="s">
        <v>1485</v>
      </c>
      <c r="AB970" s="507"/>
    </row>
    <row r="971" spans="2:28" x14ac:dyDescent="0.15">
      <c r="B971" s="333" t="s">
        <v>4673</v>
      </c>
      <c r="C971" s="528">
        <v>43336</v>
      </c>
      <c r="D971" s="198" t="s">
        <v>4674</v>
      </c>
      <c r="E971" s="53" t="s">
        <v>1396</v>
      </c>
      <c r="F971" s="198" t="s">
        <v>21</v>
      </c>
      <c r="G971" s="3" t="s">
        <v>50</v>
      </c>
      <c r="H971" s="53" t="s">
        <v>381</v>
      </c>
      <c r="I971" s="3" t="s">
        <v>1408</v>
      </c>
      <c r="J971" s="3" t="s">
        <v>271</v>
      </c>
      <c r="K971" s="3" t="s">
        <v>1160</v>
      </c>
      <c r="L971" s="3" t="s">
        <v>1503</v>
      </c>
      <c r="M971" s="53" t="s">
        <v>4675</v>
      </c>
      <c r="N971" s="258">
        <v>234000</v>
      </c>
      <c r="O971" s="266">
        <v>100</v>
      </c>
      <c r="P971" s="272">
        <v>1</v>
      </c>
      <c r="Q971" s="258">
        <v>234000</v>
      </c>
      <c r="R971" s="286">
        <v>234000</v>
      </c>
      <c r="S971" s="286">
        <v>56536</v>
      </c>
      <c r="T971" s="288">
        <v>0</v>
      </c>
      <c r="U971" s="288">
        <v>1</v>
      </c>
      <c r="V971" s="288">
        <v>0</v>
      </c>
      <c r="W971" s="286">
        <v>27000</v>
      </c>
      <c r="X971" s="286">
        <v>0</v>
      </c>
      <c r="Y971" s="199" t="s">
        <v>1392</v>
      </c>
      <c r="Z971" s="517" t="s">
        <v>5166</v>
      </c>
      <c r="AA971" s="493" t="s">
        <v>1485</v>
      </c>
      <c r="AB971" s="507"/>
    </row>
    <row r="972" spans="2:28" x14ac:dyDescent="0.15">
      <c r="B972" s="333" t="s">
        <v>4679</v>
      </c>
      <c r="C972" s="528">
        <v>43336</v>
      </c>
      <c r="D972" s="198" t="s">
        <v>4680</v>
      </c>
      <c r="E972" s="53" t="s">
        <v>1391</v>
      </c>
      <c r="F972" s="198" t="s">
        <v>3783</v>
      </c>
      <c r="G972" s="3" t="s">
        <v>362</v>
      </c>
      <c r="H972" s="53" t="s">
        <v>689</v>
      </c>
      <c r="I972" s="3" t="s">
        <v>1394</v>
      </c>
      <c r="J972" s="3" t="s">
        <v>262</v>
      </c>
      <c r="K972" s="3" t="s">
        <v>365</v>
      </c>
      <c r="L972" s="3" t="s">
        <v>1728</v>
      </c>
      <c r="M972" s="53" t="s">
        <v>4681</v>
      </c>
      <c r="N972" s="258">
        <v>270000</v>
      </c>
      <c r="O972" s="266">
        <v>55</v>
      </c>
      <c r="P972" s="272">
        <v>1</v>
      </c>
      <c r="Q972" s="258">
        <v>148500</v>
      </c>
      <c r="R972" s="286">
        <v>148500</v>
      </c>
      <c r="S972" s="286">
        <v>52480</v>
      </c>
      <c r="T972" s="288">
        <v>1</v>
      </c>
      <c r="U972" s="288">
        <v>0</v>
      </c>
      <c r="V972" s="288">
        <v>0</v>
      </c>
      <c r="W972" s="286">
        <v>0</v>
      </c>
      <c r="X972" s="286">
        <v>0</v>
      </c>
      <c r="Y972" s="199" t="s">
        <v>1395</v>
      </c>
      <c r="Z972" s="517" t="s">
        <v>5166</v>
      </c>
      <c r="AA972" s="493" t="s">
        <v>1485</v>
      </c>
      <c r="AB972" s="507"/>
    </row>
    <row r="973" spans="2:28" x14ac:dyDescent="0.15">
      <c r="B973" s="333" t="s">
        <v>4682</v>
      </c>
      <c r="C973" s="528">
        <v>43336</v>
      </c>
      <c r="D973" s="198" t="s">
        <v>4683</v>
      </c>
      <c r="E973" s="53" t="s">
        <v>1391</v>
      </c>
      <c r="F973" s="198" t="s">
        <v>3783</v>
      </c>
      <c r="G973" s="3" t="s">
        <v>362</v>
      </c>
      <c r="H973" s="53" t="s">
        <v>689</v>
      </c>
      <c r="I973" s="3" t="s">
        <v>1394</v>
      </c>
      <c r="J973" s="3" t="s">
        <v>262</v>
      </c>
      <c r="K973" s="3" t="s">
        <v>365</v>
      </c>
      <c r="L973" s="3" t="s">
        <v>1728</v>
      </c>
      <c r="M973" s="53" t="s">
        <v>3984</v>
      </c>
      <c r="N973" s="258">
        <v>270000</v>
      </c>
      <c r="O973" s="266">
        <v>55</v>
      </c>
      <c r="P973" s="272">
        <v>-1</v>
      </c>
      <c r="Q973" s="258">
        <v>148500</v>
      </c>
      <c r="R973" s="286">
        <v>-148500</v>
      </c>
      <c r="S973" s="286">
        <v>-52342</v>
      </c>
      <c r="T973" s="288">
        <v>-1</v>
      </c>
      <c r="U973" s="288">
        <v>0</v>
      </c>
      <c r="V973" s="288">
        <v>0</v>
      </c>
      <c r="W973" s="286">
        <v>0</v>
      </c>
      <c r="X973" s="286">
        <v>0</v>
      </c>
      <c r="Y973" s="199" t="s">
        <v>1395</v>
      </c>
      <c r="Z973" s="517" t="s">
        <v>5166</v>
      </c>
      <c r="AA973" s="493" t="s">
        <v>1485</v>
      </c>
      <c r="AB973" s="507"/>
    </row>
    <row r="974" spans="2:28" x14ac:dyDescent="0.15">
      <c r="B974" s="333" t="s">
        <v>4684</v>
      </c>
      <c r="C974" s="528">
        <v>43336</v>
      </c>
      <c r="D974" s="198" t="s">
        <v>4685</v>
      </c>
      <c r="E974" s="53" t="s">
        <v>1391</v>
      </c>
      <c r="F974" s="198" t="s">
        <v>3783</v>
      </c>
      <c r="G974" s="3" t="s">
        <v>362</v>
      </c>
      <c r="H974" s="53" t="s">
        <v>689</v>
      </c>
      <c r="I974" s="197" t="s">
        <v>4737</v>
      </c>
      <c r="J974" s="3" t="s">
        <v>262</v>
      </c>
      <c r="K974" s="3" t="s">
        <v>365</v>
      </c>
      <c r="L974" s="3" t="s">
        <v>1728</v>
      </c>
      <c r="M974" s="53" t="s">
        <v>3984</v>
      </c>
      <c r="N974" s="258">
        <v>270000</v>
      </c>
      <c r="O974" s="266">
        <v>50</v>
      </c>
      <c r="P974" s="272">
        <v>1</v>
      </c>
      <c r="Q974" s="258">
        <v>135000</v>
      </c>
      <c r="R974" s="286">
        <v>135000</v>
      </c>
      <c r="S974" s="286">
        <v>38842</v>
      </c>
      <c r="T974" s="288">
        <v>1</v>
      </c>
      <c r="U974" s="288">
        <v>0</v>
      </c>
      <c r="V974" s="288">
        <v>0</v>
      </c>
      <c r="W974" s="286">
        <v>0</v>
      </c>
      <c r="X974" s="286">
        <v>0</v>
      </c>
      <c r="Y974" s="199" t="s">
        <v>1395</v>
      </c>
      <c r="Z974" s="517" t="s">
        <v>5166</v>
      </c>
      <c r="AA974" s="493" t="s">
        <v>1485</v>
      </c>
      <c r="AB974" s="507"/>
    </row>
    <row r="975" spans="2:28" x14ac:dyDescent="0.15">
      <c r="B975" s="333" t="s">
        <v>4696</v>
      </c>
      <c r="C975" s="528">
        <v>43340</v>
      </c>
      <c r="D975" s="198" t="s">
        <v>4697</v>
      </c>
      <c r="E975" s="53" t="s">
        <v>1391</v>
      </c>
      <c r="F975" s="198" t="s">
        <v>3786</v>
      </c>
      <c r="G975" s="3" t="s">
        <v>364</v>
      </c>
      <c r="H975" s="53" t="s">
        <v>420</v>
      </c>
      <c r="I975" s="3" t="s">
        <v>3509</v>
      </c>
      <c r="J975" s="3" t="s">
        <v>270</v>
      </c>
      <c r="K975" s="3" t="s">
        <v>539</v>
      </c>
      <c r="L975" s="3" t="s">
        <v>4258</v>
      </c>
      <c r="M975" s="53" t="s">
        <v>4259</v>
      </c>
      <c r="N975" s="258">
        <v>328000</v>
      </c>
      <c r="O975" s="266">
        <v>55</v>
      </c>
      <c r="P975" s="272">
        <v>-1</v>
      </c>
      <c r="Q975" s="258">
        <v>180400</v>
      </c>
      <c r="R975" s="286">
        <v>-180400</v>
      </c>
      <c r="S975" s="286">
        <v>-46347</v>
      </c>
      <c r="T975" s="288">
        <v>0</v>
      </c>
      <c r="U975" s="288">
        <v>-1</v>
      </c>
      <c r="V975" s="288">
        <v>0</v>
      </c>
      <c r="W975" s="286">
        <v>-14760</v>
      </c>
      <c r="X975" s="286">
        <v>0</v>
      </c>
      <c r="Y975" s="199" t="s">
        <v>1392</v>
      </c>
      <c r="Z975" s="517" t="s">
        <v>5166</v>
      </c>
      <c r="AA975" s="493" t="s">
        <v>1485</v>
      </c>
      <c r="AB975" s="507"/>
    </row>
    <row r="976" spans="2:28" x14ac:dyDescent="0.15">
      <c r="B976" s="333" t="s">
        <v>4696</v>
      </c>
      <c r="C976" s="528">
        <v>43343</v>
      </c>
      <c r="D976" s="198" t="s">
        <v>4697</v>
      </c>
      <c r="E976" s="53" t="s">
        <v>1396</v>
      </c>
      <c r="F976" s="198" t="s">
        <v>21</v>
      </c>
      <c r="G976" s="3" t="s">
        <v>50</v>
      </c>
      <c r="H976" s="53" t="s">
        <v>380</v>
      </c>
      <c r="I976" s="3" t="s">
        <v>1976</v>
      </c>
      <c r="J976" s="3" t="s">
        <v>272</v>
      </c>
      <c r="K976" s="3" t="s">
        <v>363</v>
      </c>
      <c r="L976" s="3" t="s">
        <v>2043</v>
      </c>
      <c r="M976" s="53" t="s">
        <v>4700</v>
      </c>
      <c r="N976" s="258">
        <v>186000</v>
      </c>
      <c r="O976" s="266">
        <v>100</v>
      </c>
      <c r="P976" s="272">
        <v>1</v>
      </c>
      <c r="Q976" s="258">
        <v>186000</v>
      </c>
      <c r="R976" s="286">
        <v>186000</v>
      </c>
      <c r="S976" s="286">
        <v>47481</v>
      </c>
      <c r="T976" s="288">
        <v>0</v>
      </c>
      <c r="U976" s="288">
        <v>1</v>
      </c>
      <c r="V976" s="288">
        <v>0</v>
      </c>
      <c r="W976" s="286">
        <v>21461</v>
      </c>
      <c r="X976" s="286">
        <v>0</v>
      </c>
      <c r="Y976" s="199" t="s">
        <v>1392</v>
      </c>
      <c r="Z976" s="517" t="s">
        <v>5166</v>
      </c>
      <c r="AA976" s="493" t="s">
        <v>1485</v>
      </c>
      <c r="AB976" s="507"/>
    </row>
    <row r="977" spans="1:28" x14ac:dyDescent="0.15">
      <c r="B977" s="333" t="s">
        <v>4701</v>
      </c>
      <c r="C977" s="528">
        <v>43343</v>
      </c>
      <c r="D977" s="198" t="s">
        <v>4702</v>
      </c>
      <c r="E977" s="53" t="s">
        <v>1396</v>
      </c>
      <c r="F977" s="198" t="s">
        <v>21</v>
      </c>
      <c r="G977" s="3" t="s">
        <v>50</v>
      </c>
      <c r="H977" s="53" t="s">
        <v>380</v>
      </c>
      <c r="I977" s="3" t="s">
        <v>1976</v>
      </c>
      <c r="J977" s="3" t="s">
        <v>272</v>
      </c>
      <c r="K977" s="3" t="s">
        <v>363</v>
      </c>
      <c r="L977" s="3" t="s">
        <v>2000</v>
      </c>
      <c r="M977" s="53" t="s">
        <v>4703</v>
      </c>
      <c r="N977" s="258">
        <v>186000</v>
      </c>
      <c r="O977" s="266">
        <v>100</v>
      </c>
      <c r="P977" s="272">
        <v>1</v>
      </c>
      <c r="Q977" s="258">
        <v>186000</v>
      </c>
      <c r="R977" s="286">
        <v>186000</v>
      </c>
      <c r="S977" s="286">
        <v>48481</v>
      </c>
      <c r="T977" s="288">
        <v>0</v>
      </c>
      <c r="U977" s="288">
        <v>1</v>
      </c>
      <c r="V977" s="288">
        <v>0</v>
      </c>
      <c r="W977" s="286">
        <v>21461</v>
      </c>
      <c r="X977" s="286">
        <v>0</v>
      </c>
      <c r="Y977" s="199" t="s">
        <v>1392</v>
      </c>
      <c r="Z977" s="517" t="s">
        <v>5166</v>
      </c>
      <c r="AA977" s="493" t="s">
        <v>1485</v>
      </c>
      <c r="AB977" s="507"/>
    </row>
    <row r="978" spans="1:28" x14ac:dyDescent="0.15">
      <c r="B978" s="333" t="s">
        <v>4704</v>
      </c>
      <c r="C978" s="528">
        <v>43343</v>
      </c>
      <c r="D978" s="198" t="s">
        <v>4705</v>
      </c>
      <c r="E978" s="53" t="s">
        <v>1396</v>
      </c>
      <c r="F978" s="198" t="s">
        <v>21</v>
      </c>
      <c r="G978" s="3" t="s">
        <v>50</v>
      </c>
      <c r="H978" s="53" t="s">
        <v>381</v>
      </c>
      <c r="I978" s="3" t="s">
        <v>1408</v>
      </c>
      <c r="J978" s="3" t="s">
        <v>265</v>
      </c>
      <c r="K978" s="3" t="s">
        <v>1155</v>
      </c>
      <c r="L978" s="3" t="s">
        <v>1779</v>
      </c>
      <c r="M978" s="53" t="s">
        <v>3854</v>
      </c>
      <c r="N978" s="258">
        <v>235000</v>
      </c>
      <c r="O978" s="266">
        <v>100</v>
      </c>
      <c r="P978" s="272">
        <v>1</v>
      </c>
      <c r="Q978" s="258">
        <v>235000</v>
      </c>
      <c r="R978" s="286">
        <v>235000</v>
      </c>
      <c r="S978" s="286">
        <v>58306</v>
      </c>
      <c r="T978" s="288">
        <v>0</v>
      </c>
      <c r="U978" s="288">
        <v>1</v>
      </c>
      <c r="V978" s="288">
        <v>0</v>
      </c>
      <c r="W978" s="286">
        <v>27115</v>
      </c>
      <c r="X978" s="286">
        <v>0</v>
      </c>
      <c r="Y978" s="200" t="s">
        <v>1392</v>
      </c>
      <c r="Z978" s="517" t="s">
        <v>5166</v>
      </c>
      <c r="AA978" s="499" t="s">
        <v>1485</v>
      </c>
      <c r="AB978" s="508"/>
    </row>
    <row r="979" spans="1:28" x14ac:dyDescent="0.15">
      <c r="B979" s="333" t="s">
        <v>4664</v>
      </c>
      <c r="C979" s="528">
        <v>43344</v>
      </c>
      <c r="D979" s="198" t="s">
        <v>4665</v>
      </c>
      <c r="E979" s="53" t="s">
        <v>1396</v>
      </c>
      <c r="F979" s="198" t="s">
        <v>3784</v>
      </c>
      <c r="G979" s="3" t="s">
        <v>1110</v>
      </c>
      <c r="H979" s="53" t="s">
        <v>803</v>
      </c>
      <c r="I979" s="3" t="s">
        <v>1542</v>
      </c>
      <c r="J979" s="3" t="s">
        <v>262</v>
      </c>
      <c r="K979" s="3" t="s">
        <v>365</v>
      </c>
      <c r="L979" s="3" t="s">
        <v>1738</v>
      </c>
      <c r="M979" s="53" t="s">
        <v>4666</v>
      </c>
      <c r="N979" s="258">
        <v>260000</v>
      </c>
      <c r="O979" s="266">
        <v>60</v>
      </c>
      <c r="P979" s="272">
        <v>1</v>
      </c>
      <c r="Q979" s="258">
        <v>156000</v>
      </c>
      <c r="R979" s="286">
        <v>156000</v>
      </c>
      <c r="S979" s="286">
        <v>58080</v>
      </c>
      <c r="T979" s="288">
        <v>1</v>
      </c>
      <c r="U979" s="288">
        <v>0</v>
      </c>
      <c r="V979" s="288">
        <v>0</v>
      </c>
      <c r="W979" s="286">
        <v>0</v>
      </c>
      <c r="X979" s="286">
        <v>0</v>
      </c>
      <c r="Y979" s="199" t="s">
        <v>1395</v>
      </c>
      <c r="Z979" s="517" t="s">
        <v>5449</v>
      </c>
      <c r="AA979" s="493" t="s">
        <v>1485</v>
      </c>
      <c r="AB979" s="507"/>
    </row>
    <row r="980" spans="1:28" x14ac:dyDescent="0.15">
      <c r="A980" s="56"/>
      <c r="B980" s="333" t="s">
        <v>4686</v>
      </c>
      <c r="C980" s="528">
        <v>43344</v>
      </c>
      <c r="D980" s="198" t="s">
        <v>4687</v>
      </c>
      <c r="E980" s="53" t="s">
        <v>1391</v>
      </c>
      <c r="F980" s="198" t="s">
        <v>3783</v>
      </c>
      <c r="G980" s="3" t="s">
        <v>362</v>
      </c>
      <c r="H980" s="53" t="s">
        <v>689</v>
      </c>
      <c r="I980" s="3" t="s">
        <v>1394</v>
      </c>
      <c r="J980" s="3" t="s">
        <v>262</v>
      </c>
      <c r="K980" s="3" t="s">
        <v>365</v>
      </c>
      <c r="L980" s="3" t="s">
        <v>4688</v>
      </c>
      <c r="M980" s="53" t="s">
        <v>4689</v>
      </c>
      <c r="N980" s="258">
        <v>260000</v>
      </c>
      <c r="O980" s="266">
        <v>55</v>
      </c>
      <c r="P980" s="272">
        <v>1</v>
      </c>
      <c r="Q980" s="258">
        <v>143000</v>
      </c>
      <c r="R980" s="286">
        <v>143000</v>
      </c>
      <c r="S980" s="286">
        <v>45080</v>
      </c>
      <c r="T980" s="288">
        <v>1</v>
      </c>
      <c r="U980" s="288">
        <v>0</v>
      </c>
      <c r="V980" s="288">
        <v>0</v>
      </c>
      <c r="W980" s="286">
        <v>0</v>
      </c>
      <c r="X980" s="286">
        <v>0</v>
      </c>
      <c r="Y980" s="199" t="s">
        <v>1395</v>
      </c>
      <c r="Z980" s="517" t="s">
        <v>5166</v>
      </c>
      <c r="AA980" s="493" t="s">
        <v>1485</v>
      </c>
      <c r="AB980" s="507"/>
    </row>
    <row r="981" spans="1:28" x14ac:dyDescent="0.15">
      <c r="A981" s="56"/>
      <c r="B981" s="333" t="s">
        <v>4692</v>
      </c>
      <c r="C981" s="528">
        <v>43344</v>
      </c>
      <c r="D981" s="198" t="s">
        <v>4693</v>
      </c>
      <c r="E981" s="53" t="s">
        <v>1396</v>
      </c>
      <c r="F981" s="198" t="s">
        <v>3784</v>
      </c>
      <c r="G981" s="3" t="s">
        <v>1110</v>
      </c>
      <c r="H981" s="53" t="s">
        <v>803</v>
      </c>
      <c r="I981" s="3" t="s">
        <v>1542</v>
      </c>
      <c r="J981" s="3" t="s">
        <v>262</v>
      </c>
      <c r="K981" s="3" t="s">
        <v>365</v>
      </c>
      <c r="L981" s="3" t="s">
        <v>4694</v>
      </c>
      <c r="M981" s="53" t="s">
        <v>4695</v>
      </c>
      <c r="N981" s="258">
        <v>290000</v>
      </c>
      <c r="O981" s="266">
        <v>60</v>
      </c>
      <c r="P981" s="272">
        <v>1</v>
      </c>
      <c r="Q981" s="258">
        <v>174000</v>
      </c>
      <c r="R981" s="286">
        <v>174000</v>
      </c>
      <c r="S981" s="286">
        <v>74980</v>
      </c>
      <c r="T981" s="288">
        <v>1</v>
      </c>
      <c r="U981" s="288">
        <v>0</v>
      </c>
      <c r="V981" s="288">
        <v>0</v>
      </c>
      <c r="W981" s="286">
        <v>0</v>
      </c>
      <c r="X981" s="286">
        <v>0</v>
      </c>
      <c r="Y981" s="199" t="s">
        <v>1395</v>
      </c>
      <c r="Z981" s="517" t="s">
        <v>5449</v>
      </c>
      <c r="AA981" s="493" t="s">
        <v>1485</v>
      </c>
      <c r="AB981" s="507"/>
    </row>
    <row r="982" spans="1:28" x14ac:dyDescent="0.15">
      <c r="A982" s="56"/>
      <c r="B982" s="333" t="s">
        <v>4706</v>
      </c>
      <c r="C982" s="528">
        <v>43344</v>
      </c>
      <c r="D982" s="198" t="s">
        <v>4707</v>
      </c>
      <c r="E982" s="53" t="s">
        <v>1391</v>
      </c>
      <c r="F982" s="198" t="s">
        <v>3786</v>
      </c>
      <c r="G982" s="3" t="s">
        <v>364</v>
      </c>
      <c r="H982" s="53" t="s">
        <v>455</v>
      </c>
      <c r="I982" s="3" t="s">
        <v>1404</v>
      </c>
      <c r="J982" s="3" t="s">
        <v>1402</v>
      </c>
      <c r="K982" s="3" t="s">
        <v>1403</v>
      </c>
      <c r="L982" s="197" t="s">
        <v>4709</v>
      </c>
      <c r="M982" s="53" t="s">
        <v>4708</v>
      </c>
      <c r="N982" s="258">
        <v>228000</v>
      </c>
      <c r="O982" s="266">
        <v>100</v>
      </c>
      <c r="P982" s="272">
        <v>1</v>
      </c>
      <c r="Q982" s="258">
        <v>228000</v>
      </c>
      <c r="R982" s="286">
        <v>228000</v>
      </c>
      <c r="S982" s="286">
        <v>55759</v>
      </c>
      <c r="T982" s="288">
        <v>0</v>
      </c>
      <c r="U982" s="288">
        <v>1</v>
      </c>
      <c r="V982" s="288">
        <v>0</v>
      </c>
      <c r="W982" s="286">
        <v>29416</v>
      </c>
      <c r="X982" s="286">
        <v>0</v>
      </c>
      <c r="Y982" s="199" t="s">
        <v>1392</v>
      </c>
      <c r="Z982" s="517" t="s">
        <v>5532</v>
      </c>
      <c r="AA982" s="493" t="s">
        <v>1485</v>
      </c>
      <c r="AB982" s="507"/>
    </row>
    <row r="983" spans="1:28" x14ac:dyDescent="0.15">
      <c r="A983" s="56"/>
      <c r="B983" s="333" t="s">
        <v>4710</v>
      </c>
      <c r="C983" s="528">
        <v>43346</v>
      </c>
      <c r="D983" s="198" t="s">
        <v>4711</v>
      </c>
      <c r="E983" s="53" t="s">
        <v>1391</v>
      </c>
      <c r="F983" s="198" t="s">
        <v>3955</v>
      </c>
      <c r="G983" s="3" t="s">
        <v>1421</v>
      </c>
      <c r="H983" s="53" t="s">
        <v>3478</v>
      </c>
      <c r="I983" s="3" t="s">
        <v>3479</v>
      </c>
      <c r="J983" s="3" t="s">
        <v>268</v>
      </c>
      <c r="K983" s="3" t="s">
        <v>1158</v>
      </c>
      <c r="L983" s="3" t="s">
        <v>1949</v>
      </c>
      <c r="M983" s="53" t="s">
        <v>4712</v>
      </c>
      <c r="N983" s="258">
        <v>260000</v>
      </c>
      <c r="O983" s="266">
        <v>55</v>
      </c>
      <c r="P983" s="272">
        <v>1</v>
      </c>
      <c r="Q983" s="258">
        <v>143000</v>
      </c>
      <c r="R983" s="286">
        <v>143000</v>
      </c>
      <c r="S983" s="286">
        <v>48429</v>
      </c>
      <c r="T983" s="288">
        <v>1</v>
      </c>
      <c r="U983" s="288">
        <v>0</v>
      </c>
      <c r="V983" s="288">
        <v>0</v>
      </c>
      <c r="W983" s="286">
        <v>0</v>
      </c>
      <c r="X983" s="286">
        <v>0</v>
      </c>
      <c r="Y983" s="199" t="s">
        <v>1395</v>
      </c>
      <c r="Z983" s="517" t="s">
        <v>5449</v>
      </c>
      <c r="AA983" s="493" t="s">
        <v>1485</v>
      </c>
      <c r="AB983" s="507"/>
    </row>
    <row r="984" spans="1:28" x14ac:dyDescent="0.15">
      <c r="A984" s="56"/>
      <c r="B984" s="333" t="s">
        <v>4713</v>
      </c>
      <c r="C984" s="528">
        <v>43346</v>
      </c>
      <c r="D984" s="198" t="s">
        <v>4714</v>
      </c>
      <c r="E984" s="53" t="s">
        <v>1391</v>
      </c>
      <c r="F984" s="198" t="s">
        <v>3955</v>
      </c>
      <c r="G984" s="3" t="s">
        <v>1421</v>
      </c>
      <c r="H984" s="53" t="s">
        <v>3478</v>
      </c>
      <c r="I984" s="3" t="s">
        <v>3479</v>
      </c>
      <c r="J984" s="3" t="s">
        <v>271</v>
      </c>
      <c r="K984" s="3" t="s">
        <v>1160</v>
      </c>
      <c r="L984" s="3" t="s">
        <v>1642</v>
      </c>
      <c r="M984" s="53" t="s">
        <v>4715</v>
      </c>
      <c r="N984" s="258">
        <v>358000</v>
      </c>
      <c r="O984" s="266">
        <v>55</v>
      </c>
      <c r="P984" s="272">
        <v>1</v>
      </c>
      <c r="Q984" s="258">
        <v>196900</v>
      </c>
      <c r="R984" s="286">
        <v>196900</v>
      </c>
      <c r="S984" s="286">
        <v>67266</v>
      </c>
      <c r="T984" s="288">
        <v>1</v>
      </c>
      <c r="U984" s="288">
        <v>0</v>
      </c>
      <c r="V984" s="288">
        <v>0</v>
      </c>
      <c r="W984" s="286">
        <v>0</v>
      </c>
      <c r="X984" s="286">
        <v>0</v>
      </c>
      <c r="Y984" s="199" t="s">
        <v>1395</v>
      </c>
      <c r="Z984" s="517" t="s">
        <v>5449</v>
      </c>
      <c r="AA984" s="493" t="s">
        <v>1485</v>
      </c>
      <c r="AB984" s="507"/>
    </row>
    <row r="985" spans="1:28" x14ac:dyDescent="0.15">
      <c r="A985" s="56"/>
      <c r="B985" s="333" t="s">
        <v>4716</v>
      </c>
      <c r="C985" s="528">
        <v>43346</v>
      </c>
      <c r="D985" s="198" t="s">
        <v>4717</v>
      </c>
      <c r="E985" s="53" t="s">
        <v>1391</v>
      </c>
      <c r="F985" s="198" t="s">
        <v>3783</v>
      </c>
      <c r="G985" s="3" t="s">
        <v>362</v>
      </c>
      <c r="H985" s="53" t="s">
        <v>689</v>
      </c>
      <c r="I985" s="3" t="s">
        <v>1394</v>
      </c>
      <c r="J985" s="3" t="s">
        <v>264</v>
      </c>
      <c r="K985" s="3" t="s">
        <v>538</v>
      </c>
      <c r="L985" s="3" t="s">
        <v>4718</v>
      </c>
      <c r="M985" s="53" t="s">
        <v>4719</v>
      </c>
      <c r="N985" s="258">
        <v>358000</v>
      </c>
      <c r="O985" s="266">
        <v>55</v>
      </c>
      <c r="P985" s="272">
        <v>1</v>
      </c>
      <c r="Q985" s="258">
        <v>196900</v>
      </c>
      <c r="R985" s="286">
        <v>196900</v>
      </c>
      <c r="S985" s="286">
        <v>68221</v>
      </c>
      <c r="T985" s="288">
        <v>1</v>
      </c>
      <c r="U985" s="288">
        <v>0</v>
      </c>
      <c r="V985" s="288">
        <v>0</v>
      </c>
      <c r="W985" s="286">
        <v>0</v>
      </c>
      <c r="X985" s="286">
        <v>0</v>
      </c>
      <c r="Y985" s="199" t="s">
        <v>1395</v>
      </c>
      <c r="Z985" s="517" t="s">
        <v>5532</v>
      </c>
      <c r="AA985" s="493" t="s">
        <v>1485</v>
      </c>
      <c r="AB985" s="507"/>
    </row>
    <row r="986" spans="1:28" x14ac:dyDescent="0.15">
      <c r="A986" s="56"/>
      <c r="B986" s="333" t="s">
        <v>4720</v>
      </c>
      <c r="C986" s="528">
        <v>43347</v>
      </c>
      <c r="D986" s="198" t="s">
        <v>4721</v>
      </c>
      <c r="E986" s="53" t="s">
        <v>1391</v>
      </c>
      <c r="F986" s="198" t="s">
        <v>3783</v>
      </c>
      <c r="G986" s="3" t="s">
        <v>362</v>
      </c>
      <c r="H986" s="53" t="s">
        <v>689</v>
      </c>
      <c r="I986" s="3" t="s">
        <v>1394</v>
      </c>
      <c r="J986" s="3" t="s">
        <v>270</v>
      </c>
      <c r="K986" s="3" t="s">
        <v>539</v>
      </c>
      <c r="L986" s="3" t="s">
        <v>2220</v>
      </c>
      <c r="M986" s="53" t="s">
        <v>4722</v>
      </c>
      <c r="N986" s="258">
        <v>328000</v>
      </c>
      <c r="O986" s="266">
        <v>55</v>
      </c>
      <c r="P986" s="272">
        <v>1</v>
      </c>
      <c r="Q986" s="258">
        <v>180400</v>
      </c>
      <c r="R986" s="286">
        <v>180400</v>
      </c>
      <c r="S986" s="286">
        <v>63599</v>
      </c>
      <c r="T986" s="288">
        <v>1</v>
      </c>
      <c r="U986" s="288">
        <v>0</v>
      </c>
      <c r="V986" s="288">
        <v>0</v>
      </c>
      <c r="W986" s="286">
        <v>0</v>
      </c>
      <c r="X986" s="286">
        <v>0</v>
      </c>
      <c r="Y986" s="199" t="s">
        <v>1395</v>
      </c>
      <c r="Z986" s="517" t="s">
        <v>5166</v>
      </c>
      <c r="AA986" s="493" t="s">
        <v>1485</v>
      </c>
      <c r="AB986" s="507"/>
    </row>
    <row r="987" spans="1:28" x14ac:dyDescent="0.15">
      <c r="A987" s="56"/>
      <c r="B987" s="333" t="s">
        <v>4723</v>
      </c>
      <c r="C987" s="528">
        <v>43347</v>
      </c>
      <c r="D987" s="198" t="s">
        <v>4724</v>
      </c>
      <c r="E987" s="53" t="s">
        <v>2382</v>
      </c>
      <c r="F987" s="198" t="s">
        <v>3842</v>
      </c>
      <c r="G987" s="3" t="s">
        <v>2375</v>
      </c>
      <c r="H987" s="53"/>
      <c r="I987" s="3" t="s">
        <v>4725</v>
      </c>
      <c r="J987" s="3" t="s">
        <v>299</v>
      </c>
      <c r="K987" s="3" t="s">
        <v>373</v>
      </c>
      <c r="L987" s="3" t="s">
        <v>4726</v>
      </c>
      <c r="M987" s="53"/>
      <c r="N987" s="258">
        <v>10000</v>
      </c>
      <c r="O987" s="266">
        <v>100</v>
      </c>
      <c r="P987" s="272">
        <v>1</v>
      </c>
      <c r="Q987" s="258">
        <v>10000</v>
      </c>
      <c r="R987" s="286">
        <v>10000</v>
      </c>
      <c r="S987" s="286">
        <v>5500</v>
      </c>
      <c r="T987" s="288">
        <v>0</v>
      </c>
      <c r="U987" s="288">
        <v>0</v>
      </c>
      <c r="V987" s="288">
        <v>0</v>
      </c>
      <c r="W987" s="286">
        <v>0</v>
      </c>
      <c r="X987" s="286">
        <v>0</v>
      </c>
      <c r="Y987" s="199" t="s">
        <v>1395</v>
      </c>
      <c r="Z987" s="517" t="s">
        <v>5451</v>
      </c>
      <c r="AA987" s="493"/>
      <c r="AB987" s="507"/>
    </row>
    <row r="988" spans="1:28" x14ac:dyDescent="0.15">
      <c r="A988" s="56"/>
      <c r="B988" s="333" t="s">
        <v>4723</v>
      </c>
      <c r="C988" s="528">
        <v>43347</v>
      </c>
      <c r="D988" s="198" t="s">
        <v>4724</v>
      </c>
      <c r="E988" s="53" t="s">
        <v>2382</v>
      </c>
      <c r="F988" s="198" t="s">
        <v>3842</v>
      </c>
      <c r="G988" s="3" t="s">
        <v>2375</v>
      </c>
      <c r="H988" s="53"/>
      <c r="I988" s="3" t="s">
        <v>4725</v>
      </c>
      <c r="J988" s="3" t="s">
        <v>298</v>
      </c>
      <c r="K988" s="3" t="s">
        <v>1168</v>
      </c>
      <c r="L988" s="3" t="s">
        <v>1430</v>
      </c>
      <c r="M988" s="53"/>
      <c r="N988" s="258">
        <v>17000</v>
      </c>
      <c r="O988" s="266">
        <v>100</v>
      </c>
      <c r="P988" s="272">
        <v>1</v>
      </c>
      <c r="Q988" s="258">
        <v>17000</v>
      </c>
      <c r="R988" s="286">
        <v>17000</v>
      </c>
      <c r="S988" s="286">
        <v>9020</v>
      </c>
      <c r="T988" s="288">
        <v>0</v>
      </c>
      <c r="U988" s="288">
        <v>0</v>
      </c>
      <c r="V988" s="288">
        <v>0</v>
      </c>
      <c r="W988" s="286">
        <v>0</v>
      </c>
      <c r="X988" s="286">
        <v>0</v>
      </c>
      <c r="Y988" s="199" t="s">
        <v>4727</v>
      </c>
      <c r="Z988" s="517" t="s">
        <v>5547</v>
      </c>
      <c r="AA988" s="493"/>
      <c r="AB988" s="507"/>
    </row>
    <row r="989" spans="1:28" x14ac:dyDescent="0.15">
      <c r="A989" s="56"/>
      <c r="B989" s="333" t="s">
        <v>4728</v>
      </c>
      <c r="C989" s="528">
        <v>43347</v>
      </c>
      <c r="D989" s="198" t="s">
        <v>4729</v>
      </c>
      <c r="E989" s="53" t="s">
        <v>1391</v>
      </c>
      <c r="F989" s="198" t="s">
        <v>3783</v>
      </c>
      <c r="G989" s="3" t="s">
        <v>362</v>
      </c>
      <c r="H989" s="53" t="s">
        <v>689</v>
      </c>
      <c r="I989" s="3" t="s">
        <v>1394</v>
      </c>
      <c r="J989" s="3" t="s">
        <v>271</v>
      </c>
      <c r="K989" s="3" t="s">
        <v>1160</v>
      </c>
      <c r="L989" s="3" t="s">
        <v>2700</v>
      </c>
      <c r="M989" s="53" t="s">
        <v>4730</v>
      </c>
      <c r="N989" s="258">
        <v>358000</v>
      </c>
      <c r="O989" s="266">
        <v>55</v>
      </c>
      <c r="P989" s="272">
        <v>1</v>
      </c>
      <c r="Q989" s="258">
        <v>196900</v>
      </c>
      <c r="R989" s="286">
        <v>196900</v>
      </c>
      <c r="S989" s="286">
        <v>68160</v>
      </c>
      <c r="T989" s="288">
        <v>1</v>
      </c>
      <c r="U989" s="288">
        <v>0</v>
      </c>
      <c r="V989" s="288">
        <v>0</v>
      </c>
      <c r="W989" s="286">
        <v>0</v>
      </c>
      <c r="X989" s="286">
        <v>0</v>
      </c>
      <c r="Y989" s="199" t="s">
        <v>1395</v>
      </c>
      <c r="Z989" s="517" t="s">
        <v>5166</v>
      </c>
      <c r="AA989" s="493" t="s">
        <v>1485</v>
      </c>
      <c r="AB989" s="507"/>
    </row>
    <row r="990" spans="1:28" x14ac:dyDescent="0.15">
      <c r="A990" s="56"/>
      <c r="B990" s="333" t="s">
        <v>4731</v>
      </c>
      <c r="C990" s="528">
        <v>43347</v>
      </c>
      <c r="D990" s="198" t="s">
        <v>4732</v>
      </c>
      <c r="E990" s="53" t="s">
        <v>1391</v>
      </c>
      <c r="F990" s="198" t="s">
        <v>2834</v>
      </c>
      <c r="G990" s="3" t="s">
        <v>3559</v>
      </c>
      <c r="H990" s="53"/>
      <c r="I990" s="3"/>
      <c r="J990" s="3" t="s">
        <v>262</v>
      </c>
      <c r="K990" s="3" t="s">
        <v>365</v>
      </c>
      <c r="L990" s="3" t="s">
        <v>1690</v>
      </c>
      <c r="M990" s="53" t="s">
        <v>4733</v>
      </c>
      <c r="N990" s="258">
        <v>260000</v>
      </c>
      <c r="O990" s="266">
        <v>60</v>
      </c>
      <c r="P990" s="272">
        <v>1</v>
      </c>
      <c r="Q990" s="258">
        <v>156000</v>
      </c>
      <c r="R990" s="286">
        <v>156000</v>
      </c>
      <c r="S990" s="286">
        <v>60780</v>
      </c>
      <c r="T990" s="288">
        <v>1</v>
      </c>
      <c r="U990" s="288">
        <v>0</v>
      </c>
      <c r="V990" s="288">
        <v>0</v>
      </c>
      <c r="W990" s="286">
        <v>0</v>
      </c>
      <c r="X990" s="286">
        <v>0</v>
      </c>
      <c r="Y990" s="199" t="s">
        <v>1395</v>
      </c>
      <c r="Z990" s="517" t="s">
        <v>5170</v>
      </c>
      <c r="AA990" s="493" t="s">
        <v>1485</v>
      </c>
      <c r="AB990" s="507"/>
    </row>
    <row r="991" spans="1:28" x14ac:dyDescent="0.15">
      <c r="A991" s="56"/>
      <c r="B991" s="333" t="s">
        <v>4734</v>
      </c>
      <c r="C991" s="528">
        <v>43347</v>
      </c>
      <c r="D991" s="198" t="s">
        <v>4735</v>
      </c>
      <c r="E991" s="53" t="s">
        <v>1391</v>
      </c>
      <c r="F991" s="198" t="s">
        <v>3783</v>
      </c>
      <c r="G991" s="3" t="s">
        <v>362</v>
      </c>
      <c r="H991" s="53" t="s">
        <v>689</v>
      </c>
      <c r="I991" s="3" t="s">
        <v>1394</v>
      </c>
      <c r="J991" s="3" t="s">
        <v>271</v>
      </c>
      <c r="K991" s="3" t="s">
        <v>1160</v>
      </c>
      <c r="L991" s="3" t="s">
        <v>1503</v>
      </c>
      <c r="M991" s="53" t="s">
        <v>4736</v>
      </c>
      <c r="N991" s="258">
        <v>234000</v>
      </c>
      <c r="O991" s="266">
        <v>100</v>
      </c>
      <c r="P991" s="272">
        <v>1</v>
      </c>
      <c r="Q991" s="258">
        <v>234000</v>
      </c>
      <c r="R991" s="286">
        <v>234000</v>
      </c>
      <c r="S991" s="286">
        <v>83536</v>
      </c>
      <c r="T991" s="288">
        <v>1</v>
      </c>
      <c r="U991" s="288">
        <v>0</v>
      </c>
      <c r="V991" s="288">
        <v>0</v>
      </c>
      <c r="W991" s="286">
        <v>0</v>
      </c>
      <c r="X991" s="286">
        <v>0</v>
      </c>
      <c r="Y991" s="199" t="s">
        <v>1395</v>
      </c>
      <c r="Z991" s="517" t="s">
        <v>5166</v>
      </c>
      <c r="AA991" s="493" t="s">
        <v>1485</v>
      </c>
      <c r="AB991" s="507"/>
    </row>
    <row r="992" spans="1:28" x14ac:dyDescent="0.15">
      <c r="A992" s="56"/>
      <c r="B992" s="333" t="s">
        <v>4738</v>
      </c>
      <c r="C992" s="528">
        <v>43348</v>
      </c>
      <c r="D992" s="198" t="s">
        <v>4739</v>
      </c>
      <c r="E992" s="53" t="s">
        <v>1391</v>
      </c>
      <c r="F992" s="198" t="s">
        <v>3786</v>
      </c>
      <c r="G992" s="3" t="s">
        <v>364</v>
      </c>
      <c r="H992" s="53" t="s">
        <v>423</v>
      </c>
      <c r="I992" s="3" t="s">
        <v>1439</v>
      </c>
      <c r="J992" s="3" t="s">
        <v>1402</v>
      </c>
      <c r="K992" s="3" t="s">
        <v>1403</v>
      </c>
      <c r="L992" s="3" t="s">
        <v>2177</v>
      </c>
      <c r="M992" s="53" t="s">
        <v>4740</v>
      </c>
      <c r="N992" s="258">
        <v>335000</v>
      </c>
      <c r="O992" s="266">
        <v>60</v>
      </c>
      <c r="P992" s="272">
        <v>1</v>
      </c>
      <c r="Q992" s="258">
        <v>201000</v>
      </c>
      <c r="R992" s="286">
        <v>201000</v>
      </c>
      <c r="S992" s="286">
        <v>50752</v>
      </c>
      <c r="T992" s="288">
        <v>0</v>
      </c>
      <c r="U992" s="288">
        <v>1</v>
      </c>
      <c r="V992" s="288">
        <v>0</v>
      </c>
      <c r="W992" s="286">
        <v>20100</v>
      </c>
      <c r="X992" s="286">
        <v>0</v>
      </c>
      <c r="Y992" s="199" t="s">
        <v>1392</v>
      </c>
      <c r="Z992" s="517" t="s">
        <v>5166</v>
      </c>
      <c r="AA992" s="493" t="s">
        <v>1485</v>
      </c>
      <c r="AB992" s="507"/>
    </row>
    <row r="993" spans="1:30" x14ac:dyDescent="0.15">
      <c r="A993" s="56"/>
      <c r="B993" s="333" t="s">
        <v>4741</v>
      </c>
      <c r="C993" s="528">
        <v>43348</v>
      </c>
      <c r="D993" s="198" t="s">
        <v>4742</v>
      </c>
      <c r="E993" s="53" t="s">
        <v>1391</v>
      </c>
      <c r="F993" s="198" t="s">
        <v>3786</v>
      </c>
      <c r="G993" s="3" t="s">
        <v>364</v>
      </c>
      <c r="H993" s="53" t="s">
        <v>420</v>
      </c>
      <c r="I993" s="3" t="s">
        <v>3509</v>
      </c>
      <c r="J993" s="3" t="s">
        <v>262</v>
      </c>
      <c r="K993" s="3" t="s">
        <v>365</v>
      </c>
      <c r="L993" s="3" t="s">
        <v>1738</v>
      </c>
      <c r="M993" s="53" t="s">
        <v>4743</v>
      </c>
      <c r="N993" s="258">
        <v>290000</v>
      </c>
      <c r="O993" s="266">
        <v>60</v>
      </c>
      <c r="P993" s="272">
        <v>1</v>
      </c>
      <c r="Q993" s="258">
        <v>174000</v>
      </c>
      <c r="R993" s="286">
        <v>174000</v>
      </c>
      <c r="S993" s="286">
        <v>47840</v>
      </c>
      <c r="T993" s="288">
        <v>0</v>
      </c>
      <c r="U993" s="288">
        <v>1</v>
      </c>
      <c r="V993" s="288">
        <v>0</v>
      </c>
      <c r="W993" s="286">
        <v>17400</v>
      </c>
      <c r="X993" s="286">
        <v>0</v>
      </c>
      <c r="Y993" s="199" t="s">
        <v>1392</v>
      </c>
      <c r="Z993" s="517" t="s">
        <v>5166</v>
      </c>
      <c r="AA993" s="493" t="s">
        <v>1485</v>
      </c>
      <c r="AB993" s="507"/>
    </row>
    <row r="994" spans="1:30" x14ac:dyDescent="0.15">
      <c r="A994" s="56"/>
      <c r="B994" s="333" t="s">
        <v>4744</v>
      </c>
      <c r="C994" s="528">
        <v>43348</v>
      </c>
      <c r="D994" s="198" t="s">
        <v>4745</v>
      </c>
      <c r="E994" s="53" t="s">
        <v>2382</v>
      </c>
      <c r="F994" s="198" t="s">
        <v>3842</v>
      </c>
      <c r="G994" s="3" t="s">
        <v>2375</v>
      </c>
      <c r="H994" s="53"/>
      <c r="I994" s="3" t="s">
        <v>4746</v>
      </c>
      <c r="J994" s="3" t="s">
        <v>299</v>
      </c>
      <c r="K994" s="3" t="s">
        <v>373</v>
      </c>
      <c r="L994" s="3" t="s">
        <v>2262</v>
      </c>
      <c r="M994" s="53"/>
      <c r="N994" s="258">
        <v>5000</v>
      </c>
      <c r="O994" s="266">
        <v>100</v>
      </c>
      <c r="P994" s="272">
        <v>1</v>
      </c>
      <c r="Q994" s="258">
        <v>5000</v>
      </c>
      <c r="R994" s="286">
        <v>5000</v>
      </c>
      <c r="S994" s="286">
        <v>2500</v>
      </c>
      <c r="T994" s="288">
        <v>0</v>
      </c>
      <c r="U994" s="288">
        <v>0</v>
      </c>
      <c r="V994" s="288">
        <v>0</v>
      </c>
      <c r="W994" s="286">
        <v>0</v>
      </c>
      <c r="X994" s="286">
        <v>0</v>
      </c>
      <c r="Y994" s="199" t="s">
        <v>1395</v>
      </c>
      <c r="Z994" s="517" t="s">
        <v>5451</v>
      </c>
      <c r="AA994" s="493"/>
      <c r="AB994" s="507"/>
    </row>
    <row r="995" spans="1:30" x14ac:dyDescent="0.15">
      <c r="A995" s="56"/>
      <c r="B995" s="333" t="s">
        <v>4747</v>
      </c>
      <c r="C995" s="528">
        <v>43348</v>
      </c>
      <c r="D995" s="198" t="s">
        <v>4750</v>
      </c>
      <c r="E995" s="53" t="s">
        <v>2382</v>
      </c>
      <c r="F995" s="198" t="s">
        <v>3842</v>
      </c>
      <c r="G995" s="3" t="s">
        <v>2375</v>
      </c>
      <c r="H995" s="53"/>
      <c r="I995" s="3" t="s">
        <v>4746</v>
      </c>
      <c r="J995" s="3"/>
      <c r="K995" s="3"/>
      <c r="L995" s="3" t="s">
        <v>1520</v>
      </c>
      <c r="M995" s="53"/>
      <c r="N995" s="258">
        <v>800</v>
      </c>
      <c r="O995" s="266">
        <v>100</v>
      </c>
      <c r="P995" s="272">
        <v>1</v>
      </c>
      <c r="Q995" s="258">
        <v>800</v>
      </c>
      <c r="R995" s="286">
        <v>800</v>
      </c>
      <c r="S995" s="286">
        <v>0</v>
      </c>
      <c r="T995" s="288">
        <v>0</v>
      </c>
      <c r="U995" s="288">
        <v>0</v>
      </c>
      <c r="V995" s="288">
        <v>0</v>
      </c>
      <c r="W995" s="286">
        <v>0</v>
      </c>
      <c r="X995" s="286">
        <v>0</v>
      </c>
      <c r="Y995" s="199" t="s">
        <v>1395</v>
      </c>
      <c r="Z995" s="517" t="s">
        <v>5547</v>
      </c>
      <c r="AA995" s="493"/>
      <c r="AB995" s="507"/>
    </row>
    <row r="996" spans="1:30" x14ac:dyDescent="0.15">
      <c r="A996" s="56"/>
      <c r="B996" s="333" t="s">
        <v>4751</v>
      </c>
      <c r="C996" s="528">
        <v>43348</v>
      </c>
      <c r="D996" s="198" t="s">
        <v>4748</v>
      </c>
      <c r="E996" s="53" t="s">
        <v>1391</v>
      </c>
      <c r="F996" s="198" t="s">
        <v>3786</v>
      </c>
      <c r="G996" s="3" t="s">
        <v>364</v>
      </c>
      <c r="H996" s="53" t="s">
        <v>508</v>
      </c>
      <c r="I996" s="3" t="s">
        <v>4343</v>
      </c>
      <c r="J996" s="3" t="s">
        <v>262</v>
      </c>
      <c r="K996" s="3" t="s">
        <v>365</v>
      </c>
      <c r="L996" s="3" t="s">
        <v>1690</v>
      </c>
      <c r="M996" s="53" t="s">
        <v>4749</v>
      </c>
      <c r="N996" s="258">
        <v>260000</v>
      </c>
      <c r="O996" s="266">
        <v>60</v>
      </c>
      <c r="P996" s="272">
        <v>1</v>
      </c>
      <c r="Q996" s="258">
        <v>156000</v>
      </c>
      <c r="R996" s="286">
        <v>156000</v>
      </c>
      <c r="S996" s="286">
        <v>60780</v>
      </c>
      <c r="T996" s="288">
        <v>1</v>
      </c>
      <c r="U996" s="288">
        <v>0</v>
      </c>
      <c r="V996" s="288">
        <v>0</v>
      </c>
      <c r="W996" s="286">
        <v>0</v>
      </c>
      <c r="X996" s="286">
        <v>0</v>
      </c>
      <c r="Y996" s="199" t="s">
        <v>1395</v>
      </c>
      <c r="Z996" s="517" t="s">
        <v>5534</v>
      </c>
      <c r="AA996" s="493" t="s">
        <v>1485</v>
      </c>
      <c r="AB996" s="507"/>
      <c r="AD996" s="286"/>
    </row>
    <row r="997" spans="1:30" x14ac:dyDescent="0.15">
      <c r="A997" s="56"/>
      <c r="B997" s="333" t="s">
        <v>4762</v>
      </c>
      <c r="C997" s="528">
        <v>43354</v>
      </c>
      <c r="D997" s="198" t="s">
        <v>4763</v>
      </c>
      <c r="E997" s="53" t="s">
        <v>1391</v>
      </c>
      <c r="F997" s="198" t="s">
        <v>3786</v>
      </c>
      <c r="G997" s="3" t="s">
        <v>364</v>
      </c>
      <c r="H997" s="53" t="s">
        <v>473</v>
      </c>
      <c r="I997" s="3" t="s">
        <v>1400</v>
      </c>
      <c r="J997" s="3" t="s">
        <v>262</v>
      </c>
      <c r="K997" s="3" t="s">
        <v>365</v>
      </c>
      <c r="L997" s="3" t="s">
        <v>1728</v>
      </c>
      <c r="M997" s="53" t="s">
        <v>4764</v>
      </c>
      <c r="N997" s="258">
        <v>270000</v>
      </c>
      <c r="O997" s="266">
        <v>65</v>
      </c>
      <c r="P997" s="272">
        <v>1</v>
      </c>
      <c r="Q997" s="258">
        <v>175500</v>
      </c>
      <c r="R997" s="286">
        <v>175500</v>
      </c>
      <c r="S997" s="286">
        <v>58930</v>
      </c>
      <c r="T997" s="288">
        <v>0</v>
      </c>
      <c r="U997" s="288">
        <v>1</v>
      </c>
      <c r="V997" s="288">
        <v>0</v>
      </c>
      <c r="W997" s="286">
        <v>20250</v>
      </c>
      <c r="X997" s="286">
        <v>0</v>
      </c>
      <c r="Y997" s="199" t="s">
        <v>1392</v>
      </c>
      <c r="Z997" s="517" t="s">
        <v>5537</v>
      </c>
      <c r="AA997" s="493"/>
      <c r="AB997" s="507"/>
    </row>
    <row r="998" spans="1:30" x14ac:dyDescent="0.15">
      <c r="A998" s="56"/>
      <c r="B998" s="333" t="s">
        <v>4752</v>
      </c>
      <c r="C998" s="528">
        <v>43356</v>
      </c>
      <c r="D998" s="198" t="s">
        <v>4753</v>
      </c>
      <c r="E998" s="53" t="s">
        <v>1391</v>
      </c>
      <c r="F998" s="198" t="s">
        <v>2834</v>
      </c>
      <c r="G998" s="3" t="s">
        <v>3559</v>
      </c>
      <c r="H998" s="53"/>
      <c r="I998" s="3"/>
      <c r="J998" s="3" t="s">
        <v>295</v>
      </c>
      <c r="K998" s="3" t="s">
        <v>1166</v>
      </c>
      <c r="L998" s="3" t="s">
        <v>1498</v>
      </c>
      <c r="M998" s="53"/>
      <c r="N998" s="258">
        <v>24000</v>
      </c>
      <c r="O998" s="266">
        <v>65</v>
      </c>
      <c r="P998" s="272">
        <v>1</v>
      </c>
      <c r="Q998" s="258">
        <v>15600</v>
      </c>
      <c r="R998" s="286">
        <v>15600</v>
      </c>
      <c r="S998" s="286">
        <v>6000</v>
      </c>
      <c r="T998" s="288">
        <v>0</v>
      </c>
      <c r="U998" s="288">
        <v>0</v>
      </c>
      <c r="V998" s="288">
        <v>0</v>
      </c>
      <c r="W998" s="286">
        <v>0</v>
      </c>
      <c r="X998" s="286">
        <v>0</v>
      </c>
      <c r="Y998" s="199" t="s">
        <v>1395</v>
      </c>
      <c r="Z998" s="517" t="s">
        <v>5170</v>
      </c>
      <c r="AA998" s="493" t="s">
        <v>1485</v>
      </c>
      <c r="AB998" s="507"/>
    </row>
    <row r="999" spans="1:30" x14ac:dyDescent="0.15">
      <c r="A999" s="56"/>
      <c r="B999" s="333" t="s">
        <v>4752</v>
      </c>
      <c r="C999" s="528">
        <v>43356</v>
      </c>
      <c r="D999" s="198" t="s">
        <v>4753</v>
      </c>
      <c r="E999" s="53" t="s">
        <v>1391</v>
      </c>
      <c r="F999" s="198" t="s">
        <v>2834</v>
      </c>
      <c r="G999" s="3" t="s">
        <v>3559</v>
      </c>
      <c r="H999" s="53"/>
      <c r="I999" s="3"/>
      <c r="J999" s="3" t="s">
        <v>297</v>
      </c>
      <c r="K999" s="3" t="s">
        <v>369</v>
      </c>
      <c r="L999" s="3" t="s">
        <v>4754</v>
      </c>
      <c r="M999" s="53"/>
      <c r="N999" s="258">
        <v>100</v>
      </c>
      <c r="O999" s="266">
        <v>50</v>
      </c>
      <c r="P999" s="272">
        <v>100</v>
      </c>
      <c r="Q999" s="258">
        <v>50</v>
      </c>
      <c r="R999" s="286">
        <v>5000</v>
      </c>
      <c r="S999" s="286">
        <v>2800</v>
      </c>
      <c r="T999" s="288">
        <v>0</v>
      </c>
      <c r="U999" s="288">
        <v>0</v>
      </c>
      <c r="V999" s="288">
        <v>0</v>
      </c>
      <c r="W999" s="286">
        <v>0</v>
      </c>
      <c r="X999" s="286">
        <v>0</v>
      </c>
      <c r="Y999" s="199" t="s">
        <v>1395</v>
      </c>
      <c r="Z999" s="517" t="s">
        <v>5170</v>
      </c>
      <c r="AA999" s="493" t="s">
        <v>1485</v>
      </c>
      <c r="AB999" s="507"/>
    </row>
    <row r="1000" spans="1:30" x14ac:dyDescent="0.15">
      <c r="A1000" s="56"/>
      <c r="B1000" s="333" t="s">
        <v>4752</v>
      </c>
      <c r="C1000" s="528">
        <v>43356</v>
      </c>
      <c r="D1000" s="198" t="s">
        <v>4753</v>
      </c>
      <c r="E1000" s="53" t="s">
        <v>1391</v>
      </c>
      <c r="F1000" s="198" t="s">
        <v>2834</v>
      </c>
      <c r="G1000" s="3" t="s">
        <v>3559</v>
      </c>
      <c r="H1000" s="53"/>
      <c r="I1000" s="3"/>
      <c r="J1000" s="3" t="s">
        <v>298</v>
      </c>
      <c r="K1000" s="3" t="s">
        <v>1168</v>
      </c>
      <c r="L1000" s="3" t="s">
        <v>4755</v>
      </c>
      <c r="M1000" s="53"/>
      <c r="N1000" s="258">
        <v>3500</v>
      </c>
      <c r="O1000" s="266">
        <v>65</v>
      </c>
      <c r="P1000" s="272">
        <v>1</v>
      </c>
      <c r="Q1000" s="258">
        <v>2275</v>
      </c>
      <c r="R1000" s="286">
        <v>2275</v>
      </c>
      <c r="S1000" s="286">
        <v>995</v>
      </c>
      <c r="T1000" s="288">
        <v>0</v>
      </c>
      <c r="U1000" s="288">
        <v>0</v>
      </c>
      <c r="V1000" s="288">
        <v>0</v>
      </c>
      <c r="W1000" s="286">
        <v>0</v>
      </c>
      <c r="X1000" s="286">
        <v>0</v>
      </c>
      <c r="Y1000" s="199" t="s">
        <v>1395</v>
      </c>
      <c r="Z1000" s="517" t="s">
        <v>5170</v>
      </c>
      <c r="AA1000" s="493" t="s">
        <v>1485</v>
      </c>
      <c r="AB1000" s="507"/>
    </row>
    <row r="1001" spans="1:30" x14ac:dyDescent="0.15">
      <c r="A1001" s="56"/>
      <c r="B1001" s="333" t="s">
        <v>4752</v>
      </c>
      <c r="C1001" s="528">
        <v>43356</v>
      </c>
      <c r="D1001" s="198" t="s">
        <v>4753</v>
      </c>
      <c r="E1001" s="53" t="s">
        <v>1391</v>
      </c>
      <c r="F1001" s="198" t="s">
        <v>2834</v>
      </c>
      <c r="G1001" s="3" t="s">
        <v>3559</v>
      </c>
      <c r="H1001" s="53"/>
      <c r="I1001" s="3"/>
      <c r="J1001" s="3" t="s">
        <v>298</v>
      </c>
      <c r="K1001" s="3" t="s">
        <v>1168</v>
      </c>
      <c r="L1001" s="3" t="s">
        <v>4756</v>
      </c>
      <c r="M1001" s="53"/>
      <c r="N1001" s="258">
        <v>3500</v>
      </c>
      <c r="O1001" s="266">
        <v>65</v>
      </c>
      <c r="P1001" s="272">
        <v>1</v>
      </c>
      <c r="Q1001" s="258">
        <v>2275</v>
      </c>
      <c r="R1001" s="286">
        <v>2275</v>
      </c>
      <c r="S1001" s="286">
        <v>995</v>
      </c>
      <c r="T1001" s="288">
        <v>0</v>
      </c>
      <c r="U1001" s="288">
        <v>0</v>
      </c>
      <c r="V1001" s="288">
        <v>0</v>
      </c>
      <c r="W1001" s="286">
        <v>0</v>
      </c>
      <c r="X1001" s="286">
        <v>0</v>
      </c>
      <c r="Y1001" s="199" t="s">
        <v>1395</v>
      </c>
      <c r="Z1001" s="517" t="s">
        <v>5548</v>
      </c>
      <c r="AA1001" s="493" t="s">
        <v>1485</v>
      </c>
      <c r="AB1001" s="507"/>
    </row>
    <row r="1002" spans="1:30" x14ac:dyDescent="0.15">
      <c r="A1002" s="56"/>
      <c r="B1002" s="333" t="s">
        <v>4757</v>
      </c>
      <c r="C1002" s="528">
        <v>43356</v>
      </c>
      <c r="D1002" s="198" t="s">
        <v>4758</v>
      </c>
      <c r="E1002" s="53" t="s">
        <v>1391</v>
      </c>
      <c r="F1002" s="198" t="s">
        <v>3786</v>
      </c>
      <c r="G1002" s="3" t="s">
        <v>364</v>
      </c>
      <c r="H1002" s="53" t="s">
        <v>461</v>
      </c>
      <c r="I1002" s="3" t="s">
        <v>1600</v>
      </c>
      <c r="J1002" s="3" t="s">
        <v>271</v>
      </c>
      <c r="K1002" s="3" t="s">
        <v>1160</v>
      </c>
      <c r="L1002" s="3" t="s">
        <v>1951</v>
      </c>
      <c r="M1002" s="53" t="s">
        <v>4627</v>
      </c>
      <c r="N1002" s="258">
        <v>213000</v>
      </c>
      <c r="O1002" s="266">
        <v>100</v>
      </c>
      <c r="P1002" s="272">
        <v>1</v>
      </c>
      <c r="Q1002" s="258">
        <v>213000</v>
      </c>
      <c r="R1002" s="286">
        <v>213000</v>
      </c>
      <c r="S1002" s="286">
        <v>63595</v>
      </c>
      <c r="T1002" s="288">
        <v>0</v>
      </c>
      <c r="U1002" s="288">
        <v>1</v>
      </c>
      <c r="V1002" s="288">
        <v>0</v>
      </c>
      <c r="W1002" s="286">
        <v>24576</v>
      </c>
      <c r="X1002" s="286">
        <v>0</v>
      </c>
      <c r="Y1002" s="199" t="s">
        <v>1392</v>
      </c>
      <c r="Z1002" s="517" t="s">
        <v>5532</v>
      </c>
      <c r="AA1002" s="493" t="s">
        <v>1485</v>
      </c>
      <c r="AB1002" s="507"/>
    </row>
    <row r="1003" spans="1:30" x14ac:dyDescent="0.15">
      <c r="A1003" s="56"/>
      <c r="B1003" s="333" t="s">
        <v>4759</v>
      </c>
      <c r="C1003" s="528">
        <v>43356</v>
      </c>
      <c r="D1003" s="198" t="s">
        <v>4760</v>
      </c>
      <c r="E1003" s="53" t="s">
        <v>1391</v>
      </c>
      <c r="F1003" s="198" t="s">
        <v>3786</v>
      </c>
      <c r="G1003" s="3" t="s">
        <v>364</v>
      </c>
      <c r="H1003" s="53" t="s">
        <v>461</v>
      </c>
      <c r="I1003" s="3" t="s">
        <v>1600</v>
      </c>
      <c r="J1003" s="3" t="s">
        <v>270</v>
      </c>
      <c r="K1003" s="3" t="s">
        <v>539</v>
      </c>
      <c r="L1003" s="3" t="s">
        <v>1997</v>
      </c>
      <c r="M1003" s="53" t="s">
        <v>4761</v>
      </c>
      <c r="N1003" s="258">
        <v>318000</v>
      </c>
      <c r="O1003" s="266">
        <v>60</v>
      </c>
      <c r="P1003" s="272">
        <v>1</v>
      </c>
      <c r="Q1003" s="258">
        <v>190800</v>
      </c>
      <c r="R1003" s="286">
        <v>190800</v>
      </c>
      <c r="S1003" s="286">
        <v>54919</v>
      </c>
      <c r="T1003" s="288">
        <v>0</v>
      </c>
      <c r="U1003" s="288">
        <v>1</v>
      </c>
      <c r="V1003" s="288">
        <v>0</v>
      </c>
      <c r="W1003" s="286">
        <v>19080</v>
      </c>
      <c r="X1003" s="286">
        <v>0</v>
      </c>
      <c r="Y1003" s="199" t="s">
        <v>1392</v>
      </c>
      <c r="Z1003" s="517" t="s">
        <v>5166</v>
      </c>
      <c r="AA1003" s="493" t="s">
        <v>1485</v>
      </c>
      <c r="AB1003" s="507"/>
    </row>
    <row r="1004" spans="1:30" x14ac:dyDescent="0.15">
      <c r="A1004" s="56"/>
      <c r="B1004" s="333" t="s">
        <v>4765</v>
      </c>
      <c r="C1004" s="528">
        <v>43361</v>
      </c>
      <c r="D1004" s="198" t="s">
        <v>4766</v>
      </c>
      <c r="E1004" s="53" t="s">
        <v>1391</v>
      </c>
      <c r="F1004" s="198" t="s">
        <v>3783</v>
      </c>
      <c r="G1004" s="3" t="s">
        <v>362</v>
      </c>
      <c r="H1004" s="53" t="s">
        <v>778</v>
      </c>
      <c r="I1004" s="3" t="s">
        <v>1441</v>
      </c>
      <c r="J1004" s="3" t="s">
        <v>268</v>
      </c>
      <c r="K1004" s="3" t="s">
        <v>1158</v>
      </c>
      <c r="L1004" s="197" t="s">
        <v>4768</v>
      </c>
      <c r="M1004" s="53" t="s">
        <v>4767</v>
      </c>
      <c r="N1004" s="258">
        <v>240000</v>
      </c>
      <c r="O1004" s="266">
        <v>100</v>
      </c>
      <c r="P1004" s="272">
        <v>1</v>
      </c>
      <c r="Q1004" s="258">
        <v>240000</v>
      </c>
      <c r="R1004" s="286">
        <v>240000</v>
      </c>
      <c r="S1004" s="286">
        <v>120902</v>
      </c>
      <c r="T1004" s="288">
        <v>1</v>
      </c>
      <c r="U1004" s="288">
        <v>0</v>
      </c>
      <c r="V1004" s="288">
        <v>0</v>
      </c>
      <c r="W1004" s="286">
        <v>0</v>
      </c>
      <c r="X1004" s="286">
        <v>0</v>
      </c>
      <c r="Y1004" s="199" t="s">
        <v>1395</v>
      </c>
      <c r="Z1004" s="517" t="s">
        <v>5166</v>
      </c>
      <c r="AA1004" s="493" t="s">
        <v>1485</v>
      </c>
      <c r="AB1004" s="507"/>
    </row>
    <row r="1005" spans="1:30" x14ac:dyDescent="0.15">
      <c r="A1005" s="56"/>
      <c r="B1005" s="333" t="s">
        <v>4769</v>
      </c>
      <c r="C1005" s="528">
        <v>43361</v>
      </c>
      <c r="D1005" s="198" t="s">
        <v>4770</v>
      </c>
      <c r="E1005" s="53" t="s">
        <v>1391</v>
      </c>
      <c r="F1005" s="198" t="s">
        <v>3783</v>
      </c>
      <c r="G1005" s="3" t="s">
        <v>362</v>
      </c>
      <c r="H1005" s="53" t="s">
        <v>778</v>
      </c>
      <c r="I1005" s="3" t="s">
        <v>1441</v>
      </c>
      <c r="J1005" s="3" t="s">
        <v>269</v>
      </c>
      <c r="K1005" s="3" t="s">
        <v>1159</v>
      </c>
      <c r="L1005" s="3" t="s">
        <v>4771</v>
      </c>
      <c r="M1005" s="53" t="s">
        <v>4772</v>
      </c>
      <c r="N1005" s="258">
        <v>260000</v>
      </c>
      <c r="O1005" s="266">
        <v>100</v>
      </c>
      <c r="P1005" s="272">
        <v>1</v>
      </c>
      <c r="Q1005" s="258">
        <v>260000</v>
      </c>
      <c r="R1005" s="286">
        <v>260000</v>
      </c>
      <c r="S1005" s="286">
        <v>129366</v>
      </c>
      <c r="T1005" s="288">
        <v>1</v>
      </c>
      <c r="U1005" s="288">
        <v>0</v>
      </c>
      <c r="V1005" s="288">
        <v>0</v>
      </c>
      <c r="W1005" s="286">
        <v>0</v>
      </c>
      <c r="X1005" s="286">
        <v>0</v>
      </c>
      <c r="Y1005" s="199" t="s">
        <v>1395</v>
      </c>
      <c r="Z1005" s="517" t="s">
        <v>5543</v>
      </c>
      <c r="AA1005" s="493" t="s">
        <v>1485</v>
      </c>
      <c r="AB1005" s="507"/>
    </row>
    <row r="1006" spans="1:30" x14ac:dyDescent="0.15">
      <c r="A1006" s="56"/>
      <c r="B1006" s="333" t="s">
        <v>4773</v>
      </c>
      <c r="C1006" s="528">
        <v>43361</v>
      </c>
      <c r="D1006" s="198" t="s">
        <v>4774</v>
      </c>
      <c r="E1006" s="53" t="s">
        <v>1391</v>
      </c>
      <c r="F1006" s="198" t="s">
        <v>3783</v>
      </c>
      <c r="G1006" s="3" t="s">
        <v>362</v>
      </c>
      <c r="H1006" s="53" t="s">
        <v>778</v>
      </c>
      <c r="I1006" s="3" t="s">
        <v>1441</v>
      </c>
      <c r="J1006" s="3" t="s">
        <v>273</v>
      </c>
      <c r="K1006" s="3" t="s">
        <v>1161</v>
      </c>
      <c r="L1006" s="3" t="s">
        <v>4775</v>
      </c>
      <c r="M1006" s="198" t="s">
        <v>4779</v>
      </c>
      <c r="N1006" s="258">
        <v>233000</v>
      </c>
      <c r="O1006" s="266">
        <v>100</v>
      </c>
      <c r="P1006" s="272">
        <v>1</v>
      </c>
      <c r="Q1006" s="258">
        <v>233000</v>
      </c>
      <c r="R1006" s="286">
        <v>233000</v>
      </c>
      <c r="S1006" s="286">
        <v>117478</v>
      </c>
      <c r="T1006" s="288">
        <v>1</v>
      </c>
      <c r="U1006" s="288">
        <v>0</v>
      </c>
      <c r="V1006" s="288">
        <v>0</v>
      </c>
      <c r="W1006" s="286">
        <v>0</v>
      </c>
      <c r="X1006" s="286">
        <v>0</v>
      </c>
      <c r="Y1006" s="199" t="s">
        <v>1395</v>
      </c>
      <c r="Z1006" s="517" t="s">
        <v>5532</v>
      </c>
      <c r="AA1006" s="493" t="s">
        <v>1485</v>
      </c>
      <c r="AB1006" s="507"/>
    </row>
    <row r="1007" spans="1:30" x14ac:dyDescent="0.15">
      <c r="A1007" s="56"/>
      <c r="B1007" s="333" t="s">
        <v>4776</v>
      </c>
      <c r="C1007" s="528">
        <v>43361</v>
      </c>
      <c r="D1007" s="198" t="s">
        <v>4777</v>
      </c>
      <c r="E1007" s="53" t="s">
        <v>1391</v>
      </c>
      <c r="F1007" s="198" t="s">
        <v>3783</v>
      </c>
      <c r="G1007" s="3" t="s">
        <v>362</v>
      </c>
      <c r="H1007" s="53" t="s">
        <v>692</v>
      </c>
      <c r="I1007" s="3" t="s">
        <v>1397</v>
      </c>
      <c r="J1007" s="3" t="s">
        <v>261</v>
      </c>
      <c r="K1007" s="3" t="s">
        <v>1153</v>
      </c>
      <c r="L1007" s="3" t="s">
        <v>4253</v>
      </c>
      <c r="M1007" s="53" t="s">
        <v>4778</v>
      </c>
      <c r="N1007" s="258">
        <v>260000</v>
      </c>
      <c r="O1007" s="266">
        <v>55</v>
      </c>
      <c r="P1007" s="272">
        <v>1</v>
      </c>
      <c r="Q1007" s="258">
        <v>143000</v>
      </c>
      <c r="R1007" s="286">
        <v>143000</v>
      </c>
      <c r="S1007" s="286">
        <v>41779</v>
      </c>
      <c r="T1007" s="288">
        <v>1</v>
      </c>
      <c r="U1007" s="288">
        <v>0</v>
      </c>
      <c r="V1007" s="288">
        <v>0</v>
      </c>
      <c r="W1007" s="286">
        <v>0</v>
      </c>
      <c r="X1007" s="286">
        <v>0</v>
      </c>
      <c r="Y1007" s="199" t="s">
        <v>1395</v>
      </c>
      <c r="Z1007" s="517" t="s">
        <v>5166</v>
      </c>
      <c r="AA1007" s="493" t="s">
        <v>1485</v>
      </c>
      <c r="AB1007" s="507"/>
    </row>
    <row r="1008" spans="1:30" x14ac:dyDescent="0.15">
      <c r="A1008" s="56"/>
      <c r="B1008" s="333" t="s">
        <v>4783</v>
      </c>
      <c r="C1008" s="528">
        <v>43361</v>
      </c>
      <c r="D1008" s="198" t="s">
        <v>4784</v>
      </c>
      <c r="E1008" s="53" t="s">
        <v>1391</v>
      </c>
      <c r="F1008" s="198" t="s">
        <v>3783</v>
      </c>
      <c r="G1008" s="3" t="s">
        <v>362</v>
      </c>
      <c r="H1008" s="53" t="s">
        <v>692</v>
      </c>
      <c r="I1008" s="3" t="s">
        <v>1397</v>
      </c>
      <c r="J1008" s="3" t="s">
        <v>261</v>
      </c>
      <c r="K1008" s="3" t="s">
        <v>1153</v>
      </c>
      <c r="L1008" s="3" t="s">
        <v>4785</v>
      </c>
      <c r="M1008" s="53" t="s">
        <v>4786</v>
      </c>
      <c r="N1008" s="258">
        <v>270000</v>
      </c>
      <c r="O1008" s="266">
        <v>55</v>
      </c>
      <c r="P1008" s="272">
        <v>1</v>
      </c>
      <c r="Q1008" s="258">
        <v>148500</v>
      </c>
      <c r="R1008" s="286">
        <v>148500</v>
      </c>
      <c r="S1008" s="286">
        <v>42779</v>
      </c>
      <c r="T1008" s="288">
        <v>1</v>
      </c>
      <c r="U1008" s="288">
        <v>0</v>
      </c>
      <c r="V1008" s="288">
        <v>0</v>
      </c>
      <c r="W1008" s="286">
        <v>0</v>
      </c>
      <c r="X1008" s="286">
        <v>0</v>
      </c>
      <c r="Y1008" s="199" t="s">
        <v>1395</v>
      </c>
      <c r="Z1008" s="517" t="s">
        <v>5166</v>
      </c>
      <c r="AA1008" s="493" t="s">
        <v>1485</v>
      </c>
      <c r="AB1008" s="507"/>
    </row>
    <row r="1009" spans="1:28" x14ac:dyDescent="0.15">
      <c r="A1009" s="56"/>
      <c r="B1009" s="333" t="s">
        <v>4780</v>
      </c>
      <c r="C1009" s="528">
        <v>43362</v>
      </c>
      <c r="D1009" s="198" t="s">
        <v>4781</v>
      </c>
      <c r="E1009" s="53" t="s">
        <v>1391</v>
      </c>
      <c r="F1009" s="198" t="s">
        <v>3783</v>
      </c>
      <c r="G1009" s="3" t="s">
        <v>362</v>
      </c>
      <c r="H1009" s="53" t="s">
        <v>692</v>
      </c>
      <c r="I1009" s="3" t="s">
        <v>1397</v>
      </c>
      <c r="J1009" s="3" t="s">
        <v>261</v>
      </c>
      <c r="K1009" s="3" t="s">
        <v>1153</v>
      </c>
      <c r="L1009" s="3" t="s">
        <v>2443</v>
      </c>
      <c r="M1009" s="53" t="s">
        <v>4782</v>
      </c>
      <c r="N1009" s="258">
        <v>260000</v>
      </c>
      <c r="O1009" s="266">
        <v>55</v>
      </c>
      <c r="P1009" s="272">
        <v>1</v>
      </c>
      <c r="Q1009" s="258">
        <v>143000</v>
      </c>
      <c r="R1009" s="286">
        <v>143000</v>
      </c>
      <c r="S1009" s="286">
        <v>44279</v>
      </c>
      <c r="T1009" s="288">
        <v>1</v>
      </c>
      <c r="U1009" s="288">
        <v>0</v>
      </c>
      <c r="V1009" s="288">
        <v>0</v>
      </c>
      <c r="W1009" s="286">
        <v>0</v>
      </c>
      <c r="X1009" s="286">
        <v>0</v>
      </c>
      <c r="Y1009" s="199" t="s">
        <v>1395</v>
      </c>
      <c r="Z1009" s="517" t="s">
        <v>5543</v>
      </c>
      <c r="AA1009" s="493" t="s">
        <v>1485</v>
      </c>
      <c r="AB1009" s="507"/>
    </row>
    <row r="1010" spans="1:28" x14ac:dyDescent="0.15">
      <c r="A1010" s="56"/>
      <c r="B1010" s="333" t="s">
        <v>4787</v>
      </c>
      <c r="C1010" s="528">
        <v>43362</v>
      </c>
      <c r="D1010" s="198" t="s">
        <v>4788</v>
      </c>
      <c r="E1010" s="53" t="s">
        <v>1396</v>
      </c>
      <c r="F1010" s="198" t="s">
        <v>21</v>
      </c>
      <c r="G1010" s="3" t="s">
        <v>50</v>
      </c>
      <c r="H1010" s="53" t="s">
        <v>381</v>
      </c>
      <c r="I1010" s="3" t="s">
        <v>1408</v>
      </c>
      <c r="J1010" s="3" t="s">
        <v>265</v>
      </c>
      <c r="K1010" s="3" t="s">
        <v>1155</v>
      </c>
      <c r="L1010" s="3" t="s">
        <v>1779</v>
      </c>
      <c r="M1010" s="53" t="s">
        <v>3854</v>
      </c>
      <c r="N1010" s="258">
        <v>235000</v>
      </c>
      <c r="O1010" s="266">
        <v>100</v>
      </c>
      <c r="P1010" s="272">
        <v>-1</v>
      </c>
      <c r="Q1010" s="258">
        <v>235000</v>
      </c>
      <c r="R1010" s="286">
        <v>-235000</v>
      </c>
      <c r="S1010" s="286">
        <v>-58306</v>
      </c>
      <c r="T1010" s="288">
        <v>0</v>
      </c>
      <c r="U1010" s="288">
        <v>-1</v>
      </c>
      <c r="V1010" s="288">
        <v>0</v>
      </c>
      <c r="W1010" s="286">
        <v>-27115</v>
      </c>
      <c r="X1010" s="286">
        <v>0</v>
      </c>
      <c r="Y1010" s="199" t="s">
        <v>1392</v>
      </c>
      <c r="Z1010" s="517" t="s">
        <v>5166</v>
      </c>
      <c r="AA1010" s="493" t="s">
        <v>1485</v>
      </c>
      <c r="AB1010" s="507"/>
    </row>
    <row r="1011" spans="1:28" x14ac:dyDescent="0.15">
      <c r="A1011" s="56"/>
      <c r="B1011" s="333" t="s">
        <v>4791</v>
      </c>
      <c r="C1011" s="528">
        <v>43363</v>
      </c>
      <c r="D1011" s="198" t="s">
        <v>4792</v>
      </c>
      <c r="E1011" s="53" t="s">
        <v>1391</v>
      </c>
      <c r="F1011" s="198" t="s">
        <v>3786</v>
      </c>
      <c r="G1011" s="3" t="s">
        <v>364</v>
      </c>
      <c r="H1011" s="53" t="s">
        <v>420</v>
      </c>
      <c r="I1011" s="3" t="s">
        <v>3509</v>
      </c>
      <c r="J1011" s="3" t="s">
        <v>273</v>
      </c>
      <c r="K1011" s="3" t="s">
        <v>1161</v>
      </c>
      <c r="L1011" s="3" t="s">
        <v>4793</v>
      </c>
      <c r="M1011" s="53" t="s">
        <v>4794</v>
      </c>
      <c r="N1011" s="258">
        <v>280000</v>
      </c>
      <c r="O1011" s="266">
        <v>60</v>
      </c>
      <c r="P1011" s="272">
        <v>1</v>
      </c>
      <c r="Q1011" s="258">
        <v>168000</v>
      </c>
      <c r="R1011" s="286">
        <v>168000</v>
      </c>
      <c r="S1011" s="286">
        <v>38180</v>
      </c>
      <c r="T1011" s="288">
        <v>0</v>
      </c>
      <c r="U1011" s="288">
        <v>1</v>
      </c>
      <c r="V1011" s="288">
        <v>0</v>
      </c>
      <c r="W1011" s="286">
        <v>16800</v>
      </c>
      <c r="X1011" s="286">
        <v>0</v>
      </c>
      <c r="Y1011" s="199" t="s">
        <v>1392</v>
      </c>
      <c r="Z1011" s="517" t="s">
        <v>5543</v>
      </c>
      <c r="AA1011" s="493" t="s">
        <v>1485</v>
      </c>
      <c r="AB1011" s="507"/>
    </row>
    <row r="1012" spans="1:28" x14ac:dyDescent="0.15">
      <c r="A1012" s="56"/>
      <c r="B1012" s="333" t="s">
        <v>4795</v>
      </c>
      <c r="C1012" s="528">
        <v>43363</v>
      </c>
      <c r="D1012" s="198" t="s">
        <v>4796</v>
      </c>
      <c r="E1012" s="53" t="s">
        <v>1391</v>
      </c>
      <c r="F1012" s="198" t="s">
        <v>4324</v>
      </c>
      <c r="G1012" s="3" t="s">
        <v>377</v>
      </c>
      <c r="H1012" s="53"/>
      <c r="I1012" s="3"/>
      <c r="J1012" s="3" t="s">
        <v>268</v>
      </c>
      <c r="K1012" s="3" t="s">
        <v>1158</v>
      </c>
      <c r="L1012" s="3" t="s">
        <v>4173</v>
      </c>
      <c r="M1012" s="53" t="s">
        <v>4797</v>
      </c>
      <c r="N1012" s="258">
        <v>130000</v>
      </c>
      <c r="O1012" s="266">
        <v>100</v>
      </c>
      <c r="P1012" s="272">
        <v>1</v>
      </c>
      <c r="Q1012" s="258">
        <v>130000</v>
      </c>
      <c r="R1012" s="286">
        <v>130000</v>
      </c>
      <c r="S1012" s="286">
        <v>41546</v>
      </c>
      <c r="T1012" s="288">
        <v>0</v>
      </c>
      <c r="U1012" s="288">
        <v>1</v>
      </c>
      <c r="V1012" s="288">
        <v>0</v>
      </c>
      <c r="W1012" s="286">
        <v>15000</v>
      </c>
      <c r="X1012" s="286">
        <v>0</v>
      </c>
      <c r="Y1012" s="199" t="s">
        <v>1392</v>
      </c>
      <c r="Z1012" s="517" t="s">
        <v>5537</v>
      </c>
      <c r="AA1012" s="493" t="s">
        <v>1485</v>
      </c>
      <c r="AB1012" s="507"/>
    </row>
    <row r="1013" spans="1:28" x14ac:dyDescent="0.15">
      <c r="B1013" s="333" t="s">
        <v>4798</v>
      </c>
      <c r="C1013" s="528">
        <v>43363</v>
      </c>
      <c r="D1013" s="198" t="s">
        <v>4799</v>
      </c>
      <c r="E1013" s="53" t="s">
        <v>1391</v>
      </c>
      <c r="F1013" s="198" t="s">
        <v>4800</v>
      </c>
      <c r="G1013" s="3" t="s">
        <v>1467</v>
      </c>
      <c r="H1013" s="53"/>
      <c r="I1013" s="3"/>
      <c r="J1013" s="3" t="s">
        <v>268</v>
      </c>
      <c r="K1013" s="3" t="s">
        <v>1158</v>
      </c>
      <c r="L1013" s="3" t="s">
        <v>4173</v>
      </c>
      <c r="M1013" s="53" t="s">
        <v>4801</v>
      </c>
      <c r="N1013" s="258">
        <v>130000</v>
      </c>
      <c r="O1013" s="266">
        <v>100</v>
      </c>
      <c r="P1013" s="272">
        <v>1</v>
      </c>
      <c r="Q1013" s="258">
        <v>130000</v>
      </c>
      <c r="R1013" s="286">
        <v>130000</v>
      </c>
      <c r="S1013" s="286">
        <v>41546</v>
      </c>
      <c r="T1013" s="288">
        <v>0</v>
      </c>
      <c r="U1013" s="288">
        <v>1</v>
      </c>
      <c r="V1013" s="288">
        <v>0</v>
      </c>
      <c r="W1013" s="286">
        <v>15000</v>
      </c>
      <c r="X1013" s="286">
        <v>0</v>
      </c>
      <c r="Y1013" s="199" t="s">
        <v>1392</v>
      </c>
      <c r="Z1013" s="517" t="s">
        <v>5532</v>
      </c>
      <c r="AA1013" s="493" t="s">
        <v>1485</v>
      </c>
      <c r="AB1013" s="507"/>
    </row>
    <row r="1014" spans="1:28" x14ac:dyDescent="0.15">
      <c r="B1014" s="333" t="s">
        <v>4802</v>
      </c>
      <c r="C1014" s="528">
        <v>43363</v>
      </c>
      <c r="D1014" s="198" t="s">
        <v>4803</v>
      </c>
      <c r="E1014" s="53" t="s">
        <v>1391</v>
      </c>
      <c r="F1014" s="198" t="s">
        <v>3786</v>
      </c>
      <c r="G1014" s="3" t="s">
        <v>364</v>
      </c>
      <c r="H1014" s="53" t="s">
        <v>423</v>
      </c>
      <c r="I1014" s="3" t="s">
        <v>1439</v>
      </c>
      <c r="J1014" s="3" t="s">
        <v>268</v>
      </c>
      <c r="K1014" s="3" t="s">
        <v>1158</v>
      </c>
      <c r="L1014" s="3" t="s">
        <v>4173</v>
      </c>
      <c r="M1014" s="198" t="s">
        <v>4804</v>
      </c>
      <c r="N1014" s="258">
        <v>130000</v>
      </c>
      <c r="O1014" s="266">
        <v>100</v>
      </c>
      <c r="P1014" s="272">
        <v>1</v>
      </c>
      <c r="Q1014" s="258">
        <v>130000</v>
      </c>
      <c r="R1014" s="286">
        <v>130000</v>
      </c>
      <c r="S1014" s="286">
        <v>41546</v>
      </c>
      <c r="T1014" s="288">
        <v>0</v>
      </c>
      <c r="U1014" s="288">
        <v>1</v>
      </c>
      <c r="V1014" s="288">
        <v>0</v>
      </c>
      <c r="W1014" s="286">
        <v>15000</v>
      </c>
      <c r="X1014" s="286">
        <v>0</v>
      </c>
      <c r="Y1014" s="199" t="s">
        <v>1392</v>
      </c>
      <c r="Z1014" s="517" t="s">
        <v>5166</v>
      </c>
      <c r="AA1014" s="493" t="s">
        <v>1485</v>
      </c>
      <c r="AB1014" s="507"/>
    </row>
    <row r="1015" spans="1:28" x14ac:dyDescent="0.15">
      <c r="B1015" s="327" t="s">
        <v>4824</v>
      </c>
      <c r="C1015" s="528">
        <v>43363</v>
      </c>
      <c r="D1015" s="198" t="s">
        <v>4825</v>
      </c>
      <c r="E1015" s="53" t="s">
        <v>1391</v>
      </c>
      <c r="F1015" s="198" t="s">
        <v>3786</v>
      </c>
      <c r="G1015" s="3" t="s">
        <v>364</v>
      </c>
      <c r="H1015" s="53" t="s">
        <v>444</v>
      </c>
      <c r="I1015" s="3" t="s">
        <v>1440</v>
      </c>
      <c r="J1015" s="3" t="s">
        <v>273</v>
      </c>
      <c r="K1015" s="3" t="s">
        <v>1161</v>
      </c>
      <c r="L1015" s="3" t="s">
        <v>4826</v>
      </c>
      <c r="M1015" s="53" t="s">
        <v>4827</v>
      </c>
      <c r="N1015" s="258">
        <v>233333</v>
      </c>
      <c r="O1015" s="266">
        <v>100</v>
      </c>
      <c r="P1015" s="272">
        <v>1</v>
      </c>
      <c r="Q1015" s="258">
        <v>233333</v>
      </c>
      <c r="R1015" s="286">
        <v>233333</v>
      </c>
      <c r="S1015" s="286">
        <v>98821</v>
      </c>
      <c r="T1015" s="288">
        <v>0</v>
      </c>
      <c r="U1015" s="288">
        <v>1</v>
      </c>
      <c r="V1015" s="288">
        <v>0</v>
      </c>
      <c r="W1015" s="286">
        <v>29999</v>
      </c>
      <c r="X1015" s="286">
        <v>0</v>
      </c>
      <c r="Y1015" s="199" t="s">
        <v>1392</v>
      </c>
      <c r="Z1015" s="517" t="s">
        <v>5532</v>
      </c>
      <c r="AA1015" s="493" t="s">
        <v>1485</v>
      </c>
      <c r="AB1015" s="507"/>
    </row>
    <row r="1016" spans="1:28" x14ac:dyDescent="0.15">
      <c r="B1016" s="327" t="s">
        <v>4828</v>
      </c>
      <c r="C1016" s="528">
        <v>43363</v>
      </c>
      <c r="D1016" s="198" t="s">
        <v>4829</v>
      </c>
      <c r="E1016" s="53" t="s">
        <v>1391</v>
      </c>
      <c r="F1016" s="198" t="s">
        <v>3786</v>
      </c>
      <c r="G1016" s="3" t="s">
        <v>364</v>
      </c>
      <c r="H1016" s="53" t="s">
        <v>444</v>
      </c>
      <c r="I1016" s="3" t="s">
        <v>1440</v>
      </c>
      <c r="J1016" s="3" t="s">
        <v>268</v>
      </c>
      <c r="K1016" s="3" t="s">
        <v>1158</v>
      </c>
      <c r="L1016" s="3" t="s">
        <v>4590</v>
      </c>
      <c r="M1016" s="53" t="s">
        <v>4830</v>
      </c>
      <c r="N1016" s="258">
        <v>233333</v>
      </c>
      <c r="O1016" s="266">
        <v>100</v>
      </c>
      <c r="P1016" s="272">
        <v>1</v>
      </c>
      <c r="Q1016" s="258">
        <v>233333</v>
      </c>
      <c r="R1016" s="286">
        <v>233333</v>
      </c>
      <c r="S1016" s="286">
        <v>91373</v>
      </c>
      <c r="T1016" s="288">
        <v>0</v>
      </c>
      <c r="U1016" s="288">
        <v>1</v>
      </c>
      <c r="V1016" s="288">
        <v>0</v>
      </c>
      <c r="W1016" s="286">
        <v>29999</v>
      </c>
      <c r="X1016" s="286">
        <v>0</v>
      </c>
      <c r="Y1016" s="199" t="s">
        <v>1392</v>
      </c>
      <c r="Z1016" s="517" t="s">
        <v>5543</v>
      </c>
      <c r="AA1016" s="493" t="s">
        <v>1485</v>
      </c>
      <c r="AB1016" s="507"/>
    </row>
    <row r="1017" spans="1:28" x14ac:dyDescent="0.15">
      <c r="B1017" s="327" t="s">
        <v>4828</v>
      </c>
      <c r="C1017" s="528">
        <v>43363</v>
      </c>
      <c r="D1017" s="198" t="s">
        <v>4829</v>
      </c>
      <c r="E1017" s="53" t="s">
        <v>1391</v>
      </c>
      <c r="F1017" s="198" t="s">
        <v>3786</v>
      </c>
      <c r="G1017" s="3" t="s">
        <v>364</v>
      </c>
      <c r="H1017" s="53" t="s">
        <v>492</v>
      </c>
      <c r="I1017" s="3" t="s">
        <v>1431</v>
      </c>
      <c r="J1017" s="3" t="s">
        <v>262</v>
      </c>
      <c r="K1017" s="3" t="s">
        <v>365</v>
      </c>
      <c r="L1017" s="3" t="s">
        <v>1728</v>
      </c>
      <c r="M1017" s="53" t="s">
        <v>4835</v>
      </c>
      <c r="N1017" s="258">
        <v>270000</v>
      </c>
      <c r="O1017" s="266">
        <v>60</v>
      </c>
      <c r="P1017" s="272">
        <v>1</v>
      </c>
      <c r="Q1017" s="258">
        <v>162000</v>
      </c>
      <c r="R1017" s="286">
        <v>162000</v>
      </c>
      <c r="S1017" s="286">
        <v>49480</v>
      </c>
      <c r="T1017" s="288">
        <v>0</v>
      </c>
      <c r="U1017" s="288">
        <v>1</v>
      </c>
      <c r="V1017" s="288">
        <v>0</v>
      </c>
      <c r="W1017" s="286">
        <v>16200</v>
      </c>
      <c r="X1017" s="286">
        <v>0</v>
      </c>
      <c r="Y1017" s="199" t="s">
        <v>1392</v>
      </c>
      <c r="Z1017" s="517" t="s">
        <v>5167</v>
      </c>
      <c r="AA1017" s="493" t="s">
        <v>1485</v>
      </c>
      <c r="AB1017" s="507"/>
    </row>
    <row r="1018" spans="1:28" x14ac:dyDescent="0.15">
      <c r="B1018" s="327" t="s">
        <v>4828</v>
      </c>
      <c r="C1018" s="527">
        <v>43363</v>
      </c>
      <c r="D1018" s="191" t="s">
        <v>4829</v>
      </c>
      <c r="E1018" s="43" t="s">
        <v>2382</v>
      </c>
      <c r="F1018" s="191" t="s">
        <v>3842</v>
      </c>
      <c r="G1018" s="4" t="s">
        <v>2375</v>
      </c>
      <c r="H1018" s="43"/>
      <c r="I1018" s="4" t="s">
        <v>4858</v>
      </c>
      <c r="J1018" s="4" t="s">
        <v>299</v>
      </c>
      <c r="K1018" s="4" t="s">
        <v>373</v>
      </c>
      <c r="L1018" s="4" t="s">
        <v>4859</v>
      </c>
      <c r="M1018" s="43"/>
      <c r="N1018" s="255">
        <v>15000</v>
      </c>
      <c r="O1018" s="265">
        <v>100</v>
      </c>
      <c r="P1018" s="270">
        <v>1</v>
      </c>
      <c r="Q1018" s="255">
        <v>15000</v>
      </c>
      <c r="R1018" s="283">
        <v>15000</v>
      </c>
      <c r="S1018" s="283">
        <v>9000</v>
      </c>
      <c r="T1018" s="287">
        <v>0</v>
      </c>
      <c r="U1018" s="287">
        <v>0</v>
      </c>
      <c r="V1018" s="287">
        <v>0</v>
      </c>
      <c r="W1018" s="283">
        <v>0</v>
      </c>
      <c r="X1018" s="283">
        <v>0</v>
      </c>
      <c r="Y1018" s="199" t="s">
        <v>1395</v>
      </c>
      <c r="Z1018" s="517" t="s">
        <v>5561</v>
      </c>
      <c r="AA1018" s="493"/>
      <c r="AB1018" s="507"/>
    </row>
    <row r="1019" spans="1:28" x14ac:dyDescent="0.15">
      <c r="B1019" s="333" t="s">
        <v>4828</v>
      </c>
      <c r="C1019" s="528">
        <v>43363</v>
      </c>
      <c r="D1019" s="198" t="s">
        <v>4829</v>
      </c>
      <c r="E1019" s="53" t="s">
        <v>2382</v>
      </c>
      <c r="F1019" s="198" t="s">
        <v>3842</v>
      </c>
      <c r="G1019" s="3" t="s">
        <v>2375</v>
      </c>
      <c r="H1019" s="53"/>
      <c r="I1019" s="3" t="s">
        <v>4858</v>
      </c>
      <c r="J1019" s="3" t="s">
        <v>298</v>
      </c>
      <c r="K1019" s="3" t="s">
        <v>1168</v>
      </c>
      <c r="L1019" s="3" t="s">
        <v>1430</v>
      </c>
      <c r="M1019" s="53"/>
      <c r="N1019" s="258">
        <v>17000</v>
      </c>
      <c r="O1019" s="266">
        <v>100</v>
      </c>
      <c r="P1019" s="272">
        <v>1</v>
      </c>
      <c r="Q1019" s="258">
        <v>17000</v>
      </c>
      <c r="R1019" s="286">
        <v>17000</v>
      </c>
      <c r="S1019" s="286">
        <v>9300</v>
      </c>
      <c r="T1019" s="288">
        <v>0</v>
      </c>
      <c r="U1019" s="288">
        <v>0</v>
      </c>
      <c r="V1019" s="288">
        <v>0</v>
      </c>
      <c r="W1019" s="286">
        <v>0</v>
      </c>
      <c r="X1019" s="286">
        <v>0</v>
      </c>
      <c r="Y1019" s="200" t="s">
        <v>1395</v>
      </c>
      <c r="Z1019" s="517" t="s">
        <v>5451</v>
      </c>
      <c r="AA1019" s="499"/>
      <c r="AB1019" s="508"/>
    </row>
    <row r="1020" spans="1:28" x14ac:dyDescent="0.15">
      <c r="B1020" s="327" t="s">
        <v>4831</v>
      </c>
      <c r="C1020" s="528">
        <v>43363</v>
      </c>
      <c r="D1020" s="198" t="s">
        <v>4832</v>
      </c>
      <c r="E1020" s="53" t="s">
        <v>1391</v>
      </c>
      <c r="F1020" s="198" t="s">
        <v>3786</v>
      </c>
      <c r="G1020" s="3" t="s">
        <v>364</v>
      </c>
      <c r="H1020" s="53" t="s">
        <v>445</v>
      </c>
      <c r="I1020" s="3" t="s">
        <v>4338</v>
      </c>
      <c r="J1020" s="3" t="s">
        <v>268</v>
      </c>
      <c r="K1020" s="3" t="s">
        <v>1158</v>
      </c>
      <c r="L1020" s="3" t="s">
        <v>1836</v>
      </c>
      <c r="M1020" s="53" t="s">
        <v>4833</v>
      </c>
      <c r="N1020" s="258">
        <v>260000</v>
      </c>
      <c r="O1020" s="266">
        <v>65</v>
      </c>
      <c r="P1020" s="272">
        <v>1</v>
      </c>
      <c r="Q1020" s="258">
        <v>169000</v>
      </c>
      <c r="R1020" s="286">
        <v>169000</v>
      </c>
      <c r="S1020" s="286">
        <v>57929</v>
      </c>
      <c r="T1020" s="288">
        <v>0</v>
      </c>
      <c r="U1020" s="288">
        <v>1</v>
      </c>
      <c r="V1020" s="288">
        <v>0</v>
      </c>
      <c r="W1020" s="286">
        <v>19500</v>
      </c>
      <c r="X1020" s="286">
        <v>0</v>
      </c>
      <c r="Y1020" s="199" t="s">
        <v>1392</v>
      </c>
      <c r="Z1020" s="517" t="s">
        <v>5543</v>
      </c>
      <c r="AA1020" s="493" t="s">
        <v>1485</v>
      </c>
      <c r="AB1020" s="507"/>
    </row>
    <row r="1021" spans="1:28" x14ac:dyDescent="0.15">
      <c r="B1021" s="327" t="s">
        <v>4831</v>
      </c>
      <c r="C1021" s="528">
        <v>43363</v>
      </c>
      <c r="D1021" s="198" t="s">
        <v>4832</v>
      </c>
      <c r="E1021" s="53" t="s">
        <v>1391</v>
      </c>
      <c r="F1021" s="198" t="s">
        <v>3786</v>
      </c>
      <c r="G1021" s="3" t="s">
        <v>364</v>
      </c>
      <c r="H1021" s="53" t="s">
        <v>492</v>
      </c>
      <c r="I1021" s="3" t="s">
        <v>1431</v>
      </c>
      <c r="J1021" s="3" t="s">
        <v>268</v>
      </c>
      <c r="K1021" s="3" t="s">
        <v>1158</v>
      </c>
      <c r="L1021" s="3" t="s">
        <v>2084</v>
      </c>
      <c r="M1021" s="53" t="s">
        <v>4836</v>
      </c>
      <c r="N1021" s="258">
        <v>270000</v>
      </c>
      <c r="O1021" s="266">
        <v>60</v>
      </c>
      <c r="P1021" s="272">
        <v>1</v>
      </c>
      <c r="Q1021" s="258">
        <v>162000</v>
      </c>
      <c r="R1021" s="286">
        <v>162000</v>
      </c>
      <c r="S1021" s="286">
        <v>50729</v>
      </c>
      <c r="T1021" s="288">
        <v>0</v>
      </c>
      <c r="U1021" s="288">
        <v>1</v>
      </c>
      <c r="V1021" s="288">
        <v>0</v>
      </c>
      <c r="W1021" s="286">
        <v>16200</v>
      </c>
      <c r="X1021" s="286">
        <v>0</v>
      </c>
      <c r="Y1021" s="199" t="s">
        <v>1392</v>
      </c>
      <c r="Z1021" s="517" t="s">
        <v>5167</v>
      </c>
      <c r="AA1021" s="493" t="s">
        <v>1485</v>
      </c>
      <c r="AB1021" s="507"/>
    </row>
    <row r="1022" spans="1:28" x14ac:dyDescent="0.15">
      <c r="B1022" s="327" t="s">
        <v>4837</v>
      </c>
      <c r="C1022" s="528">
        <v>43363</v>
      </c>
      <c r="D1022" s="198" t="s">
        <v>4838</v>
      </c>
      <c r="E1022" s="53" t="s">
        <v>1391</v>
      </c>
      <c r="F1022" s="198" t="s">
        <v>3786</v>
      </c>
      <c r="G1022" s="3" t="s">
        <v>364</v>
      </c>
      <c r="H1022" s="53" t="s">
        <v>492</v>
      </c>
      <c r="I1022" s="3" t="s">
        <v>1431</v>
      </c>
      <c r="J1022" s="3" t="s">
        <v>262</v>
      </c>
      <c r="K1022" s="3" t="s">
        <v>365</v>
      </c>
      <c r="L1022" s="3" t="s">
        <v>1690</v>
      </c>
      <c r="M1022" s="53" t="s">
        <v>4839</v>
      </c>
      <c r="N1022" s="258">
        <v>260000</v>
      </c>
      <c r="O1022" s="266">
        <v>60</v>
      </c>
      <c r="P1022" s="272">
        <v>1</v>
      </c>
      <c r="Q1022" s="258">
        <v>156000</v>
      </c>
      <c r="R1022" s="286">
        <v>156000</v>
      </c>
      <c r="S1022" s="286">
        <v>45180</v>
      </c>
      <c r="T1022" s="288">
        <v>0</v>
      </c>
      <c r="U1022" s="288">
        <v>1</v>
      </c>
      <c r="V1022" s="288">
        <v>0</v>
      </c>
      <c r="W1022" s="286">
        <v>15600</v>
      </c>
      <c r="X1022" s="286">
        <v>0</v>
      </c>
      <c r="Y1022" s="199" t="s">
        <v>1392</v>
      </c>
      <c r="Z1022" s="517" t="s">
        <v>5540</v>
      </c>
      <c r="AA1022" s="493" t="s">
        <v>1485</v>
      </c>
      <c r="AB1022" s="507"/>
    </row>
    <row r="1023" spans="1:28" x14ac:dyDescent="0.15">
      <c r="B1023" s="327" t="s">
        <v>4840</v>
      </c>
      <c r="C1023" s="528">
        <v>43363</v>
      </c>
      <c r="D1023" s="198" t="s">
        <v>4841</v>
      </c>
      <c r="E1023" s="53" t="s">
        <v>1391</v>
      </c>
      <c r="F1023" s="198" t="s">
        <v>3786</v>
      </c>
      <c r="G1023" s="3" t="s">
        <v>364</v>
      </c>
      <c r="H1023" s="53" t="s">
        <v>492</v>
      </c>
      <c r="I1023" s="3" t="s">
        <v>1431</v>
      </c>
      <c r="J1023" s="3" t="s">
        <v>273</v>
      </c>
      <c r="K1023" s="3" t="s">
        <v>1161</v>
      </c>
      <c r="L1023" s="3" t="s">
        <v>2089</v>
      </c>
      <c r="M1023" s="53" t="s">
        <v>4842</v>
      </c>
      <c r="N1023" s="258">
        <v>270000</v>
      </c>
      <c r="O1023" s="266">
        <v>60</v>
      </c>
      <c r="P1023" s="272">
        <v>1</v>
      </c>
      <c r="Q1023" s="258">
        <v>162000</v>
      </c>
      <c r="R1023" s="286">
        <v>162000</v>
      </c>
      <c r="S1023" s="286">
        <v>53610</v>
      </c>
      <c r="T1023" s="288">
        <v>0</v>
      </c>
      <c r="U1023" s="288">
        <v>1</v>
      </c>
      <c r="V1023" s="288">
        <v>0</v>
      </c>
      <c r="W1023" s="286">
        <v>16200</v>
      </c>
      <c r="X1023" s="286">
        <v>0</v>
      </c>
      <c r="Y1023" s="199" t="s">
        <v>1392</v>
      </c>
      <c r="Z1023" s="517" t="s">
        <v>5549</v>
      </c>
      <c r="AA1023" s="493" t="s">
        <v>1485</v>
      </c>
      <c r="AB1023" s="507"/>
    </row>
    <row r="1024" spans="1:28" x14ac:dyDescent="0.15">
      <c r="B1024" s="327" t="s">
        <v>4843</v>
      </c>
      <c r="C1024" s="528">
        <v>43363</v>
      </c>
      <c r="D1024" s="198" t="s">
        <v>4844</v>
      </c>
      <c r="E1024" s="53" t="s">
        <v>1391</v>
      </c>
      <c r="F1024" s="198" t="s">
        <v>3786</v>
      </c>
      <c r="G1024" s="3" t="s">
        <v>364</v>
      </c>
      <c r="H1024" s="53" t="s">
        <v>492</v>
      </c>
      <c r="I1024" s="3" t="s">
        <v>1431</v>
      </c>
      <c r="J1024" s="3" t="s">
        <v>1402</v>
      </c>
      <c r="K1024" s="3" t="s">
        <v>1403</v>
      </c>
      <c r="L1024" s="3" t="s">
        <v>4845</v>
      </c>
      <c r="M1024" s="198" t="s">
        <v>4846</v>
      </c>
      <c r="N1024" s="258">
        <v>260000</v>
      </c>
      <c r="O1024" s="266">
        <v>60</v>
      </c>
      <c r="P1024" s="272">
        <v>1</v>
      </c>
      <c r="Q1024" s="258">
        <v>156000</v>
      </c>
      <c r="R1024" s="286">
        <v>156000</v>
      </c>
      <c r="S1024" s="286">
        <v>36372</v>
      </c>
      <c r="T1024" s="288">
        <v>0</v>
      </c>
      <c r="U1024" s="288">
        <v>1</v>
      </c>
      <c r="V1024" s="288">
        <v>0</v>
      </c>
      <c r="W1024" s="286">
        <v>15600</v>
      </c>
      <c r="X1024" s="286">
        <v>0</v>
      </c>
      <c r="Y1024" s="199" t="s">
        <v>1392</v>
      </c>
      <c r="Z1024" s="517" t="s">
        <v>5167</v>
      </c>
      <c r="AA1024" s="493" t="s">
        <v>1485</v>
      </c>
      <c r="AB1024" s="507"/>
    </row>
    <row r="1025" spans="2:28" x14ac:dyDescent="0.15">
      <c r="B1025" s="327" t="s">
        <v>4847</v>
      </c>
      <c r="C1025" s="528">
        <v>43363</v>
      </c>
      <c r="D1025" s="198" t="s">
        <v>4848</v>
      </c>
      <c r="E1025" s="53" t="s">
        <v>1391</v>
      </c>
      <c r="F1025" s="198" t="s">
        <v>3786</v>
      </c>
      <c r="G1025" s="3" t="s">
        <v>364</v>
      </c>
      <c r="H1025" s="53" t="s">
        <v>456</v>
      </c>
      <c r="I1025" s="3" t="s">
        <v>1721</v>
      </c>
      <c r="J1025" s="3" t="s">
        <v>1402</v>
      </c>
      <c r="K1025" s="3" t="s">
        <v>1403</v>
      </c>
      <c r="L1025" s="3" t="s">
        <v>4845</v>
      </c>
      <c r="M1025" s="53" t="s">
        <v>4849</v>
      </c>
      <c r="N1025" s="258">
        <v>260000</v>
      </c>
      <c r="O1025" s="266">
        <v>60</v>
      </c>
      <c r="P1025" s="272">
        <v>1</v>
      </c>
      <c r="Q1025" s="258">
        <v>156000</v>
      </c>
      <c r="R1025" s="286">
        <v>156000</v>
      </c>
      <c r="S1025" s="286">
        <v>36372</v>
      </c>
      <c r="T1025" s="288">
        <v>0</v>
      </c>
      <c r="U1025" s="288">
        <v>1</v>
      </c>
      <c r="V1025" s="288">
        <v>0</v>
      </c>
      <c r="W1025" s="286">
        <v>15600</v>
      </c>
      <c r="X1025" s="286">
        <v>0</v>
      </c>
      <c r="Y1025" s="199" t="s">
        <v>1392</v>
      </c>
      <c r="Z1025" s="517" t="s">
        <v>5166</v>
      </c>
      <c r="AA1025" s="493" t="s">
        <v>1485</v>
      </c>
      <c r="AB1025" s="507"/>
    </row>
    <row r="1026" spans="2:28" x14ac:dyDescent="0.15">
      <c r="B1026" s="333" t="s">
        <v>4789</v>
      </c>
      <c r="C1026" s="528">
        <v>43364</v>
      </c>
      <c r="D1026" s="198" t="s">
        <v>4790</v>
      </c>
      <c r="E1026" s="53" t="s">
        <v>1396</v>
      </c>
      <c r="F1026" s="198" t="s">
        <v>21</v>
      </c>
      <c r="G1026" s="3" t="s">
        <v>50</v>
      </c>
      <c r="H1026" s="53" t="s">
        <v>381</v>
      </c>
      <c r="I1026" s="3" t="s">
        <v>1408</v>
      </c>
      <c r="J1026" s="3" t="s">
        <v>265</v>
      </c>
      <c r="K1026" s="3" t="s">
        <v>1155</v>
      </c>
      <c r="L1026" s="3" t="s">
        <v>1779</v>
      </c>
      <c r="M1026" s="43" t="s">
        <v>3854</v>
      </c>
      <c r="N1026" s="255">
        <v>235000</v>
      </c>
      <c r="O1026" s="265">
        <v>100</v>
      </c>
      <c r="P1026" s="270">
        <v>1</v>
      </c>
      <c r="Q1026" s="255">
        <v>235000</v>
      </c>
      <c r="R1026" s="283">
        <v>235000</v>
      </c>
      <c r="S1026" s="283">
        <v>58306</v>
      </c>
      <c r="T1026" s="287">
        <v>0</v>
      </c>
      <c r="U1026" s="287">
        <v>1</v>
      </c>
      <c r="V1026" s="287">
        <v>0</v>
      </c>
      <c r="W1026" s="283">
        <v>27115</v>
      </c>
      <c r="X1026" s="283">
        <v>0</v>
      </c>
      <c r="Y1026" s="199" t="s">
        <v>1392</v>
      </c>
      <c r="Z1026" s="517" t="s">
        <v>5166</v>
      </c>
      <c r="AA1026" s="493" t="s">
        <v>1485</v>
      </c>
      <c r="AB1026" s="507"/>
    </row>
    <row r="1027" spans="2:28" x14ac:dyDescent="0.15">
      <c r="B1027" s="327" t="s">
        <v>4805</v>
      </c>
      <c r="C1027" s="527">
        <v>43364</v>
      </c>
      <c r="D1027" s="191" t="s">
        <v>4806</v>
      </c>
      <c r="E1027" s="43" t="s">
        <v>1396</v>
      </c>
      <c r="F1027" s="191" t="s">
        <v>21</v>
      </c>
      <c r="G1027" s="4" t="s">
        <v>50</v>
      </c>
      <c r="H1027" s="43" t="s">
        <v>1434</v>
      </c>
      <c r="I1027" s="4" t="s">
        <v>1435</v>
      </c>
      <c r="J1027" s="4" t="s">
        <v>299</v>
      </c>
      <c r="K1027" s="4" t="s">
        <v>373</v>
      </c>
      <c r="L1027" s="4" t="s">
        <v>4807</v>
      </c>
      <c r="M1027" s="43"/>
      <c r="N1027" s="255">
        <v>25000</v>
      </c>
      <c r="O1027" s="265">
        <v>100</v>
      </c>
      <c r="P1027" s="270">
        <v>1</v>
      </c>
      <c r="Q1027" s="255">
        <v>25000</v>
      </c>
      <c r="R1027" s="283">
        <v>25000</v>
      </c>
      <c r="S1027" s="283">
        <v>12116</v>
      </c>
      <c r="T1027" s="287">
        <v>0</v>
      </c>
      <c r="U1027" s="287">
        <v>0</v>
      </c>
      <c r="V1027" s="287">
        <v>0</v>
      </c>
      <c r="W1027" s="283">
        <v>2884</v>
      </c>
      <c r="X1027" s="283">
        <v>0</v>
      </c>
      <c r="Y1027" s="199" t="s">
        <v>1392</v>
      </c>
      <c r="Z1027" s="517" t="s">
        <v>5167</v>
      </c>
      <c r="AA1027" s="493" t="s">
        <v>1485</v>
      </c>
      <c r="AB1027" s="507"/>
    </row>
    <row r="1028" spans="2:28" x14ac:dyDescent="0.15">
      <c r="B1028" s="327" t="s">
        <v>4813</v>
      </c>
      <c r="C1028" s="527">
        <v>43364</v>
      </c>
      <c r="D1028" s="191" t="s">
        <v>4814</v>
      </c>
      <c r="E1028" s="43" t="s">
        <v>2382</v>
      </c>
      <c r="F1028" s="191" t="s">
        <v>3842</v>
      </c>
      <c r="G1028" s="4" t="s">
        <v>2375</v>
      </c>
      <c r="H1028" s="43"/>
      <c r="I1028" s="4" t="s">
        <v>4815</v>
      </c>
      <c r="J1028" s="4" t="s">
        <v>299</v>
      </c>
      <c r="K1028" s="4" t="s">
        <v>373</v>
      </c>
      <c r="L1028" s="4" t="s">
        <v>4816</v>
      </c>
      <c r="M1028" s="43"/>
      <c r="N1028" s="255">
        <v>5000</v>
      </c>
      <c r="O1028" s="265">
        <v>100</v>
      </c>
      <c r="P1028" s="270">
        <v>1</v>
      </c>
      <c r="Q1028" s="255">
        <v>5000</v>
      </c>
      <c r="R1028" s="283">
        <v>5000</v>
      </c>
      <c r="S1028" s="283">
        <v>2000</v>
      </c>
      <c r="T1028" s="287">
        <v>0</v>
      </c>
      <c r="U1028" s="287">
        <v>0</v>
      </c>
      <c r="V1028" s="287">
        <v>0</v>
      </c>
      <c r="W1028" s="283">
        <v>0</v>
      </c>
      <c r="X1028" s="283">
        <v>0</v>
      </c>
      <c r="Y1028" s="199" t="s">
        <v>1395</v>
      </c>
      <c r="Z1028" s="517" t="s">
        <v>5547</v>
      </c>
      <c r="AA1028" s="493"/>
      <c r="AB1028" s="507"/>
    </row>
    <row r="1029" spans="2:28" x14ac:dyDescent="0.15">
      <c r="B1029" s="327" t="s">
        <v>4813</v>
      </c>
      <c r="C1029" s="527">
        <v>43364</v>
      </c>
      <c r="D1029" s="191" t="s">
        <v>4814</v>
      </c>
      <c r="E1029" s="43" t="s">
        <v>2382</v>
      </c>
      <c r="F1029" s="191" t="s">
        <v>3842</v>
      </c>
      <c r="G1029" s="4" t="s">
        <v>2375</v>
      </c>
      <c r="H1029" s="43"/>
      <c r="I1029" s="4" t="s">
        <v>4815</v>
      </c>
      <c r="J1029" s="4" t="s">
        <v>298</v>
      </c>
      <c r="K1029" s="4" t="s">
        <v>1168</v>
      </c>
      <c r="L1029" s="4" t="s">
        <v>1437</v>
      </c>
      <c r="M1029" s="43"/>
      <c r="N1029" s="255">
        <v>780</v>
      </c>
      <c r="O1029" s="265">
        <v>100</v>
      </c>
      <c r="P1029" s="270">
        <v>2</v>
      </c>
      <c r="Q1029" s="255">
        <v>780</v>
      </c>
      <c r="R1029" s="283">
        <v>1560</v>
      </c>
      <c r="S1029" s="283">
        <v>0</v>
      </c>
      <c r="T1029" s="287">
        <v>0</v>
      </c>
      <c r="U1029" s="287">
        <v>0</v>
      </c>
      <c r="V1029" s="287">
        <v>0</v>
      </c>
      <c r="W1029" s="283">
        <v>0</v>
      </c>
      <c r="X1029" s="283">
        <v>0</v>
      </c>
      <c r="Y1029" s="199" t="s">
        <v>1395</v>
      </c>
      <c r="Z1029" s="517" t="s">
        <v>5451</v>
      </c>
      <c r="AA1029" s="493"/>
      <c r="AB1029" s="507"/>
    </row>
    <row r="1030" spans="2:28" x14ac:dyDescent="0.15">
      <c r="B1030" s="327" t="s">
        <v>4813</v>
      </c>
      <c r="C1030" s="527">
        <v>43364</v>
      </c>
      <c r="D1030" s="191" t="s">
        <v>4814</v>
      </c>
      <c r="E1030" s="43" t="s">
        <v>2382</v>
      </c>
      <c r="F1030" s="191" t="s">
        <v>3842</v>
      </c>
      <c r="G1030" s="4" t="s">
        <v>2375</v>
      </c>
      <c r="H1030" s="43"/>
      <c r="I1030" s="4" t="s">
        <v>4815</v>
      </c>
      <c r="J1030" s="4" t="s">
        <v>298</v>
      </c>
      <c r="K1030" s="4" t="s">
        <v>1168</v>
      </c>
      <c r="L1030" s="4" t="s">
        <v>4615</v>
      </c>
      <c r="M1030" s="43"/>
      <c r="N1030" s="255">
        <v>550</v>
      </c>
      <c r="O1030" s="265">
        <v>100</v>
      </c>
      <c r="P1030" s="270">
        <v>1</v>
      </c>
      <c r="Q1030" s="255">
        <v>550</v>
      </c>
      <c r="R1030" s="283">
        <v>550</v>
      </c>
      <c r="S1030" s="283">
        <v>0</v>
      </c>
      <c r="T1030" s="287">
        <v>0</v>
      </c>
      <c r="U1030" s="287">
        <v>0</v>
      </c>
      <c r="V1030" s="287">
        <v>0</v>
      </c>
      <c r="W1030" s="283">
        <v>0</v>
      </c>
      <c r="X1030" s="283">
        <v>0</v>
      </c>
      <c r="Y1030" s="199" t="s">
        <v>1395</v>
      </c>
      <c r="Z1030" s="517" t="s">
        <v>5547</v>
      </c>
      <c r="AA1030" s="493"/>
      <c r="AB1030" s="507"/>
    </row>
    <row r="1031" spans="2:28" x14ac:dyDescent="0.15">
      <c r="B1031" s="327" t="s">
        <v>4824</v>
      </c>
      <c r="C1031" s="527">
        <v>43364</v>
      </c>
      <c r="D1031" s="191" t="s">
        <v>4825</v>
      </c>
      <c r="E1031" s="43" t="s">
        <v>1396</v>
      </c>
      <c r="F1031" s="191" t="s">
        <v>21</v>
      </c>
      <c r="G1031" s="4" t="s">
        <v>50</v>
      </c>
      <c r="H1031" s="43" t="s">
        <v>1434</v>
      </c>
      <c r="I1031" s="4" t="s">
        <v>1435</v>
      </c>
      <c r="J1031" s="4" t="s">
        <v>272</v>
      </c>
      <c r="K1031" s="4" t="s">
        <v>363</v>
      </c>
      <c r="L1031" s="4" t="s">
        <v>4834</v>
      </c>
      <c r="M1031" s="43" t="s">
        <v>4611</v>
      </c>
      <c r="N1031" s="255">
        <v>300000</v>
      </c>
      <c r="O1031" s="265">
        <v>60</v>
      </c>
      <c r="P1031" s="270">
        <v>1</v>
      </c>
      <c r="Q1031" s="255">
        <v>180000</v>
      </c>
      <c r="R1031" s="283">
        <v>180000</v>
      </c>
      <c r="S1031" s="283">
        <v>48810</v>
      </c>
      <c r="T1031" s="287">
        <v>0</v>
      </c>
      <c r="U1031" s="287">
        <v>1</v>
      </c>
      <c r="V1031" s="287">
        <v>0</v>
      </c>
      <c r="W1031" s="283">
        <v>18000</v>
      </c>
      <c r="X1031" s="283">
        <v>0</v>
      </c>
      <c r="Y1031" s="199" t="s">
        <v>1392</v>
      </c>
      <c r="Z1031" s="517" t="s">
        <v>5167</v>
      </c>
      <c r="AA1031" s="493" t="s">
        <v>1485</v>
      </c>
      <c r="AB1031" s="507"/>
    </row>
    <row r="1032" spans="2:28" x14ac:dyDescent="0.15">
      <c r="B1032" s="327" t="s">
        <v>4850</v>
      </c>
      <c r="C1032" s="527">
        <v>43371</v>
      </c>
      <c r="D1032" s="191" t="s">
        <v>4851</v>
      </c>
      <c r="E1032" s="43" t="s">
        <v>1396</v>
      </c>
      <c r="F1032" s="191" t="s">
        <v>21</v>
      </c>
      <c r="G1032" s="4" t="s">
        <v>50</v>
      </c>
      <c r="H1032" s="43" t="s">
        <v>380</v>
      </c>
      <c r="I1032" s="4" t="s">
        <v>1976</v>
      </c>
      <c r="J1032" s="4" t="s">
        <v>270</v>
      </c>
      <c r="K1032" s="4" t="s">
        <v>539</v>
      </c>
      <c r="L1032" s="4" t="s">
        <v>4852</v>
      </c>
      <c r="M1032" s="43" t="s">
        <v>4853</v>
      </c>
      <c r="N1032" s="255">
        <v>328000</v>
      </c>
      <c r="O1032" s="265">
        <v>60</v>
      </c>
      <c r="P1032" s="270">
        <v>1</v>
      </c>
      <c r="Q1032" s="255">
        <v>196800</v>
      </c>
      <c r="R1032" s="283">
        <v>196800</v>
      </c>
      <c r="S1032" s="283">
        <v>60319</v>
      </c>
      <c r="T1032" s="287">
        <v>0</v>
      </c>
      <c r="U1032" s="287">
        <v>1</v>
      </c>
      <c r="V1032" s="287">
        <v>0</v>
      </c>
      <c r="W1032" s="283">
        <v>19680</v>
      </c>
      <c r="X1032" s="283">
        <v>0</v>
      </c>
      <c r="Y1032" s="199" t="s">
        <v>1392</v>
      </c>
      <c r="Z1032" s="517" t="s">
        <v>5543</v>
      </c>
      <c r="AA1032" s="493" t="s">
        <v>1485</v>
      </c>
      <c r="AB1032" s="507"/>
    </row>
    <row r="1033" spans="2:28" x14ac:dyDescent="0.15">
      <c r="B1033" s="333" t="s">
        <v>4854</v>
      </c>
      <c r="C1033" s="528">
        <v>43371</v>
      </c>
      <c r="D1033" s="198" t="s">
        <v>4855</v>
      </c>
      <c r="E1033" s="53" t="s">
        <v>1391</v>
      </c>
      <c r="F1033" s="198" t="s">
        <v>3783</v>
      </c>
      <c r="G1033" s="3" t="s">
        <v>362</v>
      </c>
      <c r="H1033" s="53" t="s">
        <v>689</v>
      </c>
      <c r="I1033" s="3" t="s">
        <v>1394</v>
      </c>
      <c r="J1033" s="4" t="s">
        <v>299</v>
      </c>
      <c r="K1033" s="4" t="s">
        <v>373</v>
      </c>
      <c r="L1033" s="4" t="s">
        <v>4856</v>
      </c>
      <c r="M1033" s="43"/>
      <c r="N1033" s="255">
        <v>16000</v>
      </c>
      <c r="O1033" s="265">
        <v>65</v>
      </c>
      <c r="P1033" s="270">
        <v>1</v>
      </c>
      <c r="Q1033" s="255">
        <v>10400</v>
      </c>
      <c r="R1033" s="283">
        <v>10400</v>
      </c>
      <c r="S1033" s="283">
        <v>1400</v>
      </c>
      <c r="T1033" s="287">
        <v>0</v>
      </c>
      <c r="U1033" s="287">
        <v>0</v>
      </c>
      <c r="V1033" s="287">
        <v>0</v>
      </c>
      <c r="W1033" s="283">
        <v>0</v>
      </c>
      <c r="X1033" s="283">
        <v>0</v>
      </c>
      <c r="Y1033" s="199" t="s">
        <v>1395</v>
      </c>
      <c r="Z1033" s="517" t="s">
        <v>5166</v>
      </c>
      <c r="AA1033" s="493" t="s">
        <v>1485</v>
      </c>
      <c r="AB1033" s="507"/>
    </row>
    <row r="1034" spans="2:28" x14ac:dyDescent="0.15">
      <c r="B1034" s="333" t="s">
        <v>4808</v>
      </c>
      <c r="C1034" s="528">
        <v>43374</v>
      </c>
      <c r="D1034" s="198" t="s">
        <v>4809</v>
      </c>
      <c r="E1034" s="53" t="s">
        <v>1391</v>
      </c>
      <c r="F1034" s="198" t="s">
        <v>2834</v>
      </c>
      <c r="G1034" s="3" t="s">
        <v>3559</v>
      </c>
      <c r="H1034" s="53"/>
      <c r="I1034" s="3"/>
      <c r="J1034" s="3" t="s">
        <v>268</v>
      </c>
      <c r="K1034" s="3" t="s">
        <v>1158</v>
      </c>
      <c r="L1034" s="3" t="s">
        <v>4810</v>
      </c>
      <c r="M1034" s="53" t="s">
        <v>4811</v>
      </c>
      <c r="N1034" s="255">
        <v>130000</v>
      </c>
      <c r="O1034" s="265">
        <v>100</v>
      </c>
      <c r="P1034" s="270">
        <v>1</v>
      </c>
      <c r="Q1034" s="255">
        <v>130000</v>
      </c>
      <c r="R1034" s="283">
        <v>130000</v>
      </c>
      <c r="S1034" s="283">
        <v>56546</v>
      </c>
      <c r="T1034" s="287">
        <v>1</v>
      </c>
      <c r="U1034" s="287">
        <v>0</v>
      </c>
      <c r="V1034" s="287">
        <v>0</v>
      </c>
      <c r="W1034" s="283">
        <v>0</v>
      </c>
      <c r="X1034" s="283">
        <v>0</v>
      </c>
      <c r="Y1034" s="199" t="s">
        <v>1395</v>
      </c>
      <c r="Z1034" s="517" t="s">
        <v>5170</v>
      </c>
      <c r="AA1034" s="493" t="s">
        <v>1485</v>
      </c>
      <c r="AB1034" s="507"/>
    </row>
    <row r="1035" spans="2:28" x14ac:dyDescent="0.15">
      <c r="B1035" s="333" t="s">
        <v>4817</v>
      </c>
      <c r="C1035" s="528">
        <v>43374</v>
      </c>
      <c r="D1035" s="198" t="s">
        <v>4818</v>
      </c>
      <c r="E1035" s="53" t="s">
        <v>1391</v>
      </c>
      <c r="F1035" s="198" t="s">
        <v>3783</v>
      </c>
      <c r="G1035" s="3" t="s">
        <v>362</v>
      </c>
      <c r="H1035" s="53" t="s">
        <v>689</v>
      </c>
      <c r="I1035" s="3" t="s">
        <v>1394</v>
      </c>
      <c r="J1035" s="3" t="s">
        <v>268</v>
      </c>
      <c r="K1035" s="3" t="s">
        <v>1158</v>
      </c>
      <c r="L1035" s="3" t="s">
        <v>4277</v>
      </c>
      <c r="M1035" s="53" t="s">
        <v>4819</v>
      </c>
      <c r="N1035" s="255">
        <v>130000</v>
      </c>
      <c r="O1035" s="265">
        <v>100</v>
      </c>
      <c r="P1035" s="270">
        <v>1</v>
      </c>
      <c r="Q1035" s="255">
        <v>130000</v>
      </c>
      <c r="R1035" s="283">
        <v>130000</v>
      </c>
      <c r="S1035" s="283">
        <v>56546</v>
      </c>
      <c r="T1035" s="287">
        <v>1</v>
      </c>
      <c r="U1035" s="287">
        <v>0</v>
      </c>
      <c r="V1035" s="287">
        <v>0</v>
      </c>
      <c r="W1035" s="283">
        <v>0</v>
      </c>
      <c r="X1035" s="283">
        <v>0</v>
      </c>
      <c r="Y1035" s="199" t="s">
        <v>1395</v>
      </c>
      <c r="Z1035" s="517" t="s">
        <v>5166</v>
      </c>
      <c r="AA1035" s="493" t="s">
        <v>1485</v>
      </c>
      <c r="AB1035" s="507"/>
    </row>
    <row r="1036" spans="2:28" x14ac:dyDescent="0.15">
      <c r="B1036" s="333" t="s">
        <v>4820</v>
      </c>
      <c r="C1036" s="528">
        <v>43374</v>
      </c>
      <c r="D1036" s="198" t="s">
        <v>4821</v>
      </c>
      <c r="E1036" s="53" t="s">
        <v>1391</v>
      </c>
      <c r="F1036" s="198" t="s">
        <v>3783</v>
      </c>
      <c r="G1036" s="3" t="s">
        <v>362</v>
      </c>
      <c r="H1036" s="53" t="s">
        <v>778</v>
      </c>
      <c r="I1036" s="3" t="s">
        <v>1441</v>
      </c>
      <c r="J1036" s="3" t="s">
        <v>274</v>
      </c>
      <c r="K1036" s="3" t="s">
        <v>1162</v>
      </c>
      <c r="L1036" s="3" t="s">
        <v>4822</v>
      </c>
      <c r="M1036" s="53" t="s">
        <v>4823</v>
      </c>
      <c r="N1036" s="255">
        <v>260000</v>
      </c>
      <c r="O1036" s="265">
        <v>100</v>
      </c>
      <c r="P1036" s="270">
        <v>1</v>
      </c>
      <c r="Q1036" s="255">
        <v>260000</v>
      </c>
      <c r="R1036" s="283">
        <v>260000</v>
      </c>
      <c r="S1036" s="283">
        <v>101143</v>
      </c>
      <c r="T1036" s="287">
        <v>1</v>
      </c>
      <c r="U1036" s="287">
        <v>0</v>
      </c>
      <c r="V1036" s="287">
        <v>0</v>
      </c>
      <c r="W1036" s="283">
        <v>0</v>
      </c>
      <c r="X1036" s="283">
        <v>0</v>
      </c>
      <c r="Y1036" s="199" t="s">
        <v>1395</v>
      </c>
      <c r="Z1036" s="517" t="s">
        <v>5166</v>
      </c>
      <c r="AA1036" s="493" t="s">
        <v>1485</v>
      </c>
      <c r="AB1036" s="507"/>
    </row>
    <row r="1037" spans="2:28" x14ac:dyDescent="0.15">
      <c r="B1037" s="333" t="s">
        <v>4906</v>
      </c>
      <c r="C1037" s="528">
        <v>43374</v>
      </c>
      <c r="D1037" s="198" t="s">
        <v>4908</v>
      </c>
      <c r="E1037" s="53" t="s">
        <v>1396</v>
      </c>
      <c r="F1037" s="198" t="s">
        <v>21</v>
      </c>
      <c r="G1037" s="3" t="s">
        <v>50</v>
      </c>
      <c r="H1037" s="53" t="s">
        <v>2019</v>
      </c>
      <c r="I1037" s="3" t="s">
        <v>2021</v>
      </c>
      <c r="J1037" s="3" t="s">
        <v>299</v>
      </c>
      <c r="K1037" s="3" t="s">
        <v>373</v>
      </c>
      <c r="L1037" s="3" t="s">
        <v>4907</v>
      </c>
      <c r="M1037" s="53"/>
      <c r="N1037" s="255">
        <v>25000</v>
      </c>
      <c r="O1037" s="265">
        <v>100</v>
      </c>
      <c r="P1037" s="270">
        <v>1</v>
      </c>
      <c r="Q1037" s="255">
        <v>25000</v>
      </c>
      <c r="R1037" s="283">
        <v>25000</v>
      </c>
      <c r="S1037" s="283">
        <v>6732</v>
      </c>
      <c r="T1037" s="287">
        <v>0</v>
      </c>
      <c r="U1037" s="287">
        <v>0</v>
      </c>
      <c r="V1037" s="287">
        <v>0</v>
      </c>
      <c r="W1037" s="283">
        <v>18268</v>
      </c>
      <c r="X1037" s="283">
        <v>0</v>
      </c>
      <c r="Y1037" s="199" t="s">
        <v>1395</v>
      </c>
      <c r="Z1037" s="517" t="s">
        <v>5449</v>
      </c>
      <c r="AA1037" s="493"/>
      <c r="AB1037" s="507"/>
    </row>
    <row r="1038" spans="2:28" x14ac:dyDescent="0.15">
      <c r="B1038" s="333" t="s">
        <v>4824</v>
      </c>
      <c r="C1038" s="528">
        <v>43375</v>
      </c>
      <c r="D1038" s="198" t="s">
        <v>4825</v>
      </c>
      <c r="E1038" s="53" t="s">
        <v>1391</v>
      </c>
      <c r="F1038" s="198" t="s">
        <v>3783</v>
      </c>
      <c r="G1038" s="3" t="s">
        <v>362</v>
      </c>
      <c r="H1038" s="53" t="s">
        <v>692</v>
      </c>
      <c r="I1038" s="3" t="s">
        <v>1397</v>
      </c>
      <c r="J1038" s="3" t="s">
        <v>262</v>
      </c>
      <c r="K1038" s="3" t="s">
        <v>365</v>
      </c>
      <c r="L1038" s="3" t="s">
        <v>1690</v>
      </c>
      <c r="M1038" s="53" t="s">
        <v>4857</v>
      </c>
      <c r="N1038" s="255">
        <v>260000</v>
      </c>
      <c r="O1038" s="265">
        <v>55</v>
      </c>
      <c r="P1038" s="270">
        <v>1</v>
      </c>
      <c r="Q1038" s="255">
        <v>143000</v>
      </c>
      <c r="R1038" s="283">
        <v>143000</v>
      </c>
      <c r="S1038" s="283">
        <v>47780</v>
      </c>
      <c r="T1038" s="287">
        <v>1</v>
      </c>
      <c r="U1038" s="287">
        <v>0</v>
      </c>
      <c r="V1038" s="287">
        <v>0</v>
      </c>
      <c r="W1038" s="283">
        <v>0</v>
      </c>
      <c r="X1038" s="283">
        <v>0</v>
      </c>
      <c r="Y1038" s="199" t="s">
        <v>1395</v>
      </c>
      <c r="Z1038" s="517" t="s">
        <v>5166</v>
      </c>
      <c r="AA1038" s="493" t="s">
        <v>1485</v>
      </c>
      <c r="AB1038" s="507"/>
    </row>
    <row r="1039" spans="2:28" x14ac:dyDescent="0.15">
      <c r="B1039" s="333" t="s">
        <v>4831</v>
      </c>
      <c r="C1039" s="528">
        <v>43378</v>
      </c>
      <c r="D1039" s="198" t="s">
        <v>4832</v>
      </c>
      <c r="E1039" s="53" t="s">
        <v>1396</v>
      </c>
      <c r="F1039" s="198" t="s">
        <v>21</v>
      </c>
      <c r="G1039" s="3" t="s">
        <v>50</v>
      </c>
      <c r="H1039" s="53" t="s">
        <v>381</v>
      </c>
      <c r="I1039" s="3" t="s">
        <v>1408</v>
      </c>
      <c r="J1039" s="3" t="s">
        <v>273</v>
      </c>
      <c r="K1039" s="3" t="s">
        <v>1161</v>
      </c>
      <c r="L1039" s="3" t="s">
        <v>4860</v>
      </c>
      <c r="M1039" s="198" t="s">
        <v>4934</v>
      </c>
      <c r="N1039" s="258">
        <v>233333</v>
      </c>
      <c r="O1039" s="266">
        <v>100</v>
      </c>
      <c r="P1039" s="272">
        <v>1</v>
      </c>
      <c r="Q1039" s="258">
        <v>233333</v>
      </c>
      <c r="R1039" s="286">
        <v>233333</v>
      </c>
      <c r="S1039" s="286">
        <v>100224</v>
      </c>
      <c r="T1039" s="288">
        <v>0</v>
      </c>
      <c r="U1039" s="288">
        <v>1</v>
      </c>
      <c r="V1039" s="288">
        <v>0</v>
      </c>
      <c r="W1039" s="286">
        <v>29999</v>
      </c>
      <c r="X1039" s="286">
        <v>0</v>
      </c>
      <c r="Y1039" s="200" t="s">
        <v>1392</v>
      </c>
      <c r="Z1039" s="517" t="s">
        <v>5166</v>
      </c>
      <c r="AA1039" s="499" t="s">
        <v>1485</v>
      </c>
      <c r="AB1039" s="508"/>
    </row>
    <row r="1040" spans="2:28" x14ac:dyDescent="0.15">
      <c r="B1040" s="333" t="s">
        <v>4837</v>
      </c>
      <c r="C1040" s="528">
        <v>43378</v>
      </c>
      <c r="D1040" s="198" t="s">
        <v>4838</v>
      </c>
      <c r="E1040" s="53" t="s">
        <v>1396</v>
      </c>
      <c r="F1040" s="198" t="s">
        <v>21</v>
      </c>
      <c r="G1040" s="3" t="s">
        <v>50</v>
      </c>
      <c r="H1040" s="53" t="s">
        <v>381</v>
      </c>
      <c r="I1040" s="3" t="s">
        <v>1408</v>
      </c>
      <c r="J1040" s="3" t="s">
        <v>268</v>
      </c>
      <c r="K1040" s="3" t="s">
        <v>1158</v>
      </c>
      <c r="L1040" s="3" t="s">
        <v>4590</v>
      </c>
      <c r="M1040" s="53" t="s">
        <v>4861</v>
      </c>
      <c r="N1040" s="255">
        <v>233333</v>
      </c>
      <c r="O1040" s="265">
        <v>100</v>
      </c>
      <c r="P1040" s="270">
        <v>1</v>
      </c>
      <c r="Q1040" s="255">
        <v>233333</v>
      </c>
      <c r="R1040" s="283">
        <v>233333</v>
      </c>
      <c r="S1040" s="283">
        <v>90593</v>
      </c>
      <c r="T1040" s="287">
        <v>0</v>
      </c>
      <c r="U1040" s="287">
        <v>1</v>
      </c>
      <c r="V1040" s="287">
        <v>0</v>
      </c>
      <c r="W1040" s="283">
        <v>29999</v>
      </c>
      <c r="X1040" s="283">
        <v>0</v>
      </c>
      <c r="Y1040" s="199" t="s">
        <v>1392</v>
      </c>
      <c r="Z1040" s="517" t="s">
        <v>5166</v>
      </c>
      <c r="AA1040" s="493" t="s">
        <v>1485</v>
      </c>
      <c r="AB1040" s="507"/>
    </row>
    <row r="1041" spans="2:28" x14ac:dyDescent="0.15">
      <c r="B1041" s="333" t="s">
        <v>4840</v>
      </c>
      <c r="C1041" s="528">
        <v>43378</v>
      </c>
      <c r="D1041" s="198" t="s">
        <v>4841</v>
      </c>
      <c r="E1041" s="53" t="s">
        <v>1391</v>
      </c>
      <c r="F1041" s="198" t="s">
        <v>4154</v>
      </c>
      <c r="G1041" s="3" t="s">
        <v>371</v>
      </c>
      <c r="H1041" s="53" t="s">
        <v>383</v>
      </c>
      <c r="I1041" s="3" t="s">
        <v>4114</v>
      </c>
      <c r="J1041" s="3" t="s">
        <v>272</v>
      </c>
      <c r="K1041" s="3" t="s">
        <v>363</v>
      </c>
      <c r="L1041" s="3" t="s">
        <v>4862</v>
      </c>
      <c r="M1041" s="53" t="s">
        <v>4863</v>
      </c>
      <c r="N1041" s="255">
        <v>310000</v>
      </c>
      <c r="O1041" s="265">
        <v>60</v>
      </c>
      <c r="P1041" s="270">
        <v>1</v>
      </c>
      <c r="Q1041" s="255">
        <v>186000</v>
      </c>
      <c r="R1041" s="283">
        <v>186000</v>
      </c>
      <c r="S1041" s="283">
        <v>53390</v>
      </c>
      <c r="T1041" s="287">
        <v>0</v>
      </c>
      <c r="U1041" s="287">
        <v>1</v>
      </c>
      <c r="V1041" s="287">
        <v>0</v>
      </c>
      <c r="W1041" s="283">
        <v>18600</v>
      </c>
      <c r="X1041" s="283">
        <v>0</v>
      </c>
      <c r="Y1041" s="199" t="s">
        <v>1392</v>
      </c>
      <c r="Z1041" s="517" t="s">
        <v>5166</v>
      </c>
      <c r="AA1041" s="493" t="s">
        <v>1485</v>
      </c>
      <c r="AB1041" s="507"/>
    </row>
    <row r="1042" spans="2:28" x14ac:dyDescent="0.15">
      <c r="B1042" s="333" t="s">
        <v>4843</v>
      </c>
      <c r="C1042" s="528">
        <v>43378</v>
      </c>
      <c r="D1042" s="198" t="s">
        <v>4844</v>
      </c>
      <c r="E1042" s="53" t="s">
        <v>1396</v>
      </c>
      <c r="F1042" s="198" t="s">
        <v>21</v>
      </c>
      <c r="G1042" s="3" t="s">
        <v>50</v>
      </c>
      <c r="H1042" s="53" t="s">
        <v>381</v>
      </c>
      <c r="I1042" s="3" t="s">
        <v>1408</v>
      </c>
      <c r="J1042" s="3" t="s">
        <v>272</v>
      </c>
      <c r="K1042" s="3" t="s">
        <v>363</v>
      </c>
      <c r="L1042" s="3" t="s">
        <v>2043</v>
      </c>
      <c r="M1042" s="53" t="s">
        <v>4864</v>
      </c>
      <c r="N1042" s="255">
        <v>186000</v>
      </c>
      <c r="O1042" s="265">
        <v>100</v>
      </c>
      <c r="P1042" s="270">
        <v>1</v>
      </c>
      <c r="Q1042" s="255">
        <v>186000</v>
      </c>
      <c r="R1042" s="283">
        <v>186000</v>
      </c>
      <c r="S1042" s="283">
        <v>31709</v>
      </c>
      <c r="T1042" s="287">
        <v>0</v>
      </c>
      <c r="U1042" s="287">
        <v>1</v>
      </c>
      <c r="V1042" s="287">
        <v>0</v>
      </c>
      <c r="W1042" s="283">
        <v>21461</v>
      </c>
      <c r="X1042" s="283">
        <v>0</v>
      </c>
      <c r="Y1042" s="199" t="s">
        <v>1392</v>
      </c>
      <c r="Z1042" s="517" t="s">
        <v>5166</v>
      </c>
      <c r="AA1042" s="493" t="s">
        <v>1485</v>
      </c>
      <c r="AB1042" s="507"/>
    </row>
    <row r="1043" spans="2:28" x14ac:dyDescent="0.15">
      <c r="B1043" s="333" t="s">
        <v>4847</v>
      </c>
      <c r="C1043" s="528">
        <v>43378</v>
      </c>
      <c r="D1043" s="198" t="s">
        <v>4848</v>
      </c>
      <c r="E1043" s="53" t="s">
        <v>1396</v>
      </c>
      <c r="F1043" s="198" t="s">
        <v>21</v>
      </c>
      <c r="G1043" s="3" t="s">
        <v>50</v>
      </c>
      <c r="H1043" s="53" t="s">
        <v>381</v>
      </c>
      <c r="I1043" s="3" t="s">
        <v>1408</v>
      </c>
      <c r="J1043" s="3" t="s">
        <v>298</v>
      </c>
      <c r="K1043" s="3" t="s">
        <v>1168</v>
      </c>
      <c r="L1043" s="3" t="s">
        <v>4865</v>
      </c>
      <c r="M1043" s="53"/>
      <c r="N1043" s="255">
        <v>18000</v>
      </c>
      <c r="O1043" s="265">
        <v>65</v>
      </c>
      <c r="P1043" s="270">
        <v>1</v>
      </c>
      <c r="Q1043" s="255">
        <v>11700</v>
      </c>
      <c r="R1043" s="283">
        <v>11700</v>
      </c>
      <c r="S1043" s="283">
        <v>6630</v>
      </c>
      <c r="T1043" s="287">
        <v>0</v>
      </c>
      <c r="U1043" s="287">
        <v>0</v>
      </c>
      <c r="V1043" s="287">
        <v>0</v>
      </c>
      <c r="W1043" s="283">
        <v>1350</v>
      </c>
      <c r="X1043" s="283">
        <v>0</v>
      </c>
      <c r="Y1043" s="199" t="s">
        <v>1392</v>
      </c>
      <c r="Z1043" s="517" t="s">
        <v>5166</v>
      </c>
      <c r="AA1043" s="493" t="s">
        <v>1485</v>
      </c>
      <c r="AB1043" s="507"/>
    </row>
    <row r="1044" spans="2:28" x14ac:dyDescent="0.15">
      <c r="B1044" s="333" t="s">
        <v>4847</v>
      </c>
      <c r="C1044" s="528">
        <v>43378</v>
      </c>
      <c r="D1044" s="198" t="s">
        <v>4848</v>
      </c>
      <c r="E1044" s="53" t="s">
        <v>1396</v>
      </c>
      <c r="F1044" s="198" t="s">
        <v>21</v>
      </c>
      <c r="G1044" s="3" t="s">
        <v>50</v>
      </c>
      <c r="H1044" s="53" t="s">
        <v>381</v>
      </c>
      <c r="I1044" s="3" t="s">
        <v>1408</v>
      </c>
      <c r="J1044" s="3" t="s">
        <v>298</v>
      </c>
      <c r="K1044" s="3" t="s">
        <v>1168</v>
      </c>
      <c r="L1044" s="3" t="s">
        <v>4866</v>
      </c>
      <c r="M1044" s="53"/>
      <c r="N1044" s="255">
        <v>20</v>
      </c>
      <c r="O1044" s="265">
        <v>100</v>
      </c>
      <c r="P1044" s="270">
        <v>3</v>
      </c>
      <c r="Q1044" s="255">
        <v>20</v>
      </c>
      <c r="R1044" s="283">
        <v>60</v>
      </c>
      <c r="S1044" s="283">
        <v>0</v>
      </c>
      <c r="T1044" s="287">
        <v>0</v>
      </c>
      <c r="U1044" s="287">
        <v>0</v>
      </c>
      <c r="V1044" s="287">
        <v>0</v>
      </c>
      <c r="W1044" s="283">
        <v>6</v>
      </c>
      <c r="X1044" s="283">
        <v>0</v>
      </c>
      <c r="Y1044" s="199" t="s">
        <v>1392</v>
      </c>
      <c r="Z1044" s="517" t="s">
        <v>5166</v>
      </c>
      <c r="AA1044" s="493" t="s">
        <v>1485</v>
      </c>
      <c r="AB1044" s="507"/>
    </row>
    <row r="1045" spans="2:28" x14ac:dyDescent="0.15">
      <c r="B1045" s="333" t="s">
        <v>4850</v>
      </c>
      <c r="C1045" s="528">
        <v>43378</v>
      </c>
      <c r="D1045" s="198" t="s">
        <v>4851</v>
      </c>
      <c r="E1045" s="53" t="s">
        <v>1391</v>
      </c>
      <c r="F1045" s="198" t="s">
        <v>3783</v>
      </c>
      <c r="G1045" s="3" t="s">
        <v>362</v>
      </c>
      <c r="H1045" s="53" t="s">
        <v>695</v>
      </c>
      <c r="I1045" s="3" t="s">
        <v>1506</v>
      </c>
      <c r="J1045" s="3" t="s">
        <v>268</v>
      </c>
      <c r="K1045" s="3" t="s">
        <v>1158</v>
      </c>
      <c r="L1045" s="3" t="s">
        <v>4810</v>
      </c>
      <c r="M1045" s="53" t="s">
        <v>4867</v>
      </c>
      <c r="N1045" s="255">
        <v>130000</v>
      </c>
      <c r="O1045" s="265">
        <v>100</v>
      </c>
      <c r="P1045" s="270">
        <v>1</v>
      </c>
      <c r="Q1045" s="255">
        <v>130000</v>
      </c>
      <c r="R1045" s="283">
        <v>130000</v>
      </c>
      <c r="S1045" s="283">
        <v>56546</v>
      </c>
      <c r="T1045" s="287">
        <v>1</v>
      </c>
      <c r="U1045" s="287">
        <v>0</v>
      </c>
      <c r="V1045" s="287">
        <v>0</v>
      </c>
      <c r="W1045" s="283">
        <v>0</v>
      </c>
      <c r="X1045" s="283">
        <v>0</v>
      </c>
      <c r="Y1045" s="199" t="s">
        <v>1395</v>
      </c>
      <c r="Z1045" s="517" t="s">
        <v>5166</v>
      </c>
      <c r="AA1045" s="493" t="s">
        <v>1485</v>
      </c>
      <c r="AB1045" s="507"/>
    </row>
    <row r="1046" spans="2:28" x14ac:dyDescent="0.15">
      <c r="B1046" s="333" t="s">
        <v>4850</v>
      </c>
      <c r="C1046" s="528">
        <v>43378</v>
      </c>
      <c r="D1046" s="198" t="s">
        <v>4851</v>
      </c>
      <c r="E1046" s="53" t="s">
        <v>1391</v>
      </c>
      <c r="F1046" s="198" t="s">
        <v>3783</v>
      </c>
      <c r="G1046" s="3" t="s">
        <v>362</v>
      </c>
      <c r="H1046" s="53" t="s">
        <v>695</v>
      </c>
      <c r="I1046" s="3" t="s">
        <v>1506</v>
      </c>
      <c r="J1046" s="3" t="s">
        <v>268</v>
      </c>
      <c r="K1046" s="3" t="s">
        <v>1158</v>
      </c>
      <c r="L1046" s="3" t="s">
        <v>4277</v>
      </c>
      <c r="M1046" s="198" t="s">
        <v>4870</v>
      </c>
      <c r="N1046" s="255">
        <v>130000</v>
      </c>
      <c r="O1046" s="265">
        <v>100</v>
      </c>
      <c r="P1046" s="270">
        <v>1</v>
      </c>
      <c r="Q1046" s="255">
        <v>130000</v>
      </c>
      <c r="R1046" s="283">
        <v>130000</v>
      </c>
      <c r="S1046" s="283">
        <v>56546</v>
      </c>
      <c r="T1046" s="287">
        <v>1</v>
      </c>
      <c r="U1046" s="287">
        <v>0</v>
      </c>
      <c r="V1046" s="287">
        <v>0</v>
      </c>
      <c r="W1046" s="283">
        <v>0</v>
      </c>
      <c r="X1046" s="283">
        <v>0</v>
      </c>
      <c r="Y1046" s="199" t="s">
        <v>1395</v>
      </c>
      <c r="Z1046" s="517" t="s">
        <v>5166</v>
      </c>
      <c r="AA1046" s="493" t="s">
        <v>1485</v>
      </c>
      <c r="AB1046" s="507"/>
    </row>
    <row r="1047" spans="2:28" x14ac:dyDescent="0.15">
      <c r="B1047" s="333" t="s">
        <v>4854</v>
      </c>
      <c r="C1047" s="528">
        <v>43378</v>
      </c>
      <c r="D1047" s="198" t="s">
        <v>4855</v>
      </c>
      <c r="E1047" s="53" t="s">
        <v>1391</v>
      </c>
      <c r="F1047" s="198" t="s">
        <v>3786</v>
      </c>
      <c r="G1047" s="3" t="s">
        <v>364</v>
      </c>
      <c r="H1047" s="53" t="s">
        <v>2620</v>
      </c>
      <c r="I1047" s="3" t="s">
        <v>2621</v>
      </c>
      <c r="J1047" s="3" t="s">
        <v>262</v>
      </c>
      <c r="K1047" s="3" t="s">
        <v>365</v>
      </c>
      <c r="L1047" s="3" t="s">
        <v>4868</v>
      </c>
      <c r="M1047" s="53" t="s">
        <v>4869</v>
      </c>
      <c r="N1047" s="255">
        <v>320000</v>
      </c>
      <c r="O1047" s="265">
        <v>65</v>
      </c>
      <c r="P1047" s="270">
        <v>1</v>
      </c>
      <c r="Q1047" s="255">
        <v>208000</v>
      </c>
      <c r="R1047" s="283">
        <v>208000</v>
      </c>
      <c r="S1047" s="283">
        <v>86280</v>
      </c>
      <c r="T1047" s="287">
        <v>0</v>
      </c>
      <c r="U1047" s="287">
        <v>1</v>
      </c>
      <c r="V1047" s="287">
        <v>0</v>
      </c>
      <c r="W1047" s="283">
        <v>24000</v>
      </c>
      <c r="X1047" s="283">
        <v>0</v>
      </c>
      <c r="Y1047" s="199" t="s">
        <v>1392</v>
      </c>
      <c r="Z1047" s="517" t="s">
        <v>5546</v>
      </c>
      <c r="AA1047" s="493" t="s">
        <v>1485</v>
      </c>
      <c r="AB1047" s="507"/>
    </row>
    <row r="1048" spans="2:28" x14ac:dyDescent="0.15">
      <c r="B1048" s="333" t="s">
        <v>4871</v>
      </c>
      <c r="C1048" s="528">
        <v>43379</v>
      </c>
      <c r="D1048" s="198" t="s">
        <v>4872</v>
      </c>
      <c r="E1048" s="53" t="s">
        <v>1391</v>
      </c>
      <c r="F1048" s="198" t="s">
        <v>3783</v>
      </c>
      <c r="G1048" s="3" t="s">
        <v>362</v>
      </c>
      <c r="H1048" s="53" t="s">
        <v>689</v>
      </c>
      <c r="I1048" s="3" t="s">
        <v>1394</v>
      </c>
      <c r="J1048" s="3" t="s">
        <v>273</v>
      </c>
      <c r="K1048" s="3" t="s">
        <v>1161</v>
      </c>
      <c r="L1048" s="3" t="s">
        <v>4873</v>
      </c>
      <c r="M1048" s="53" t="s">
        <v>4874</v>
      </c>
      <c r="N1048" s="255">
        <v>235000</v>
      </c>
      <c r="O1048" s="265">
        <v>100</v>
      </c>
      <c r="P1048" s="270">
        <v>1</v>
      </c>
      <c r="Q1048" s="255">
        <v>235000</v>
      </c>
      <c r="R1048" s="283">
        <v>235000</v>
      </c>
      <c r="S1048" s="283">
        <v>107130</v>
      </c>
      <c r="T1048" s="287">
        <v>1</v>
      </c>
      <c r="U1048" s="287">
        <v>0</v>
      </c>
      <c r="V1048" s="287">
        <v>0</v>
      </c>
      <c r="W1048" s="283">
        <v>0</v>
      </c>
      <c r="X1048" s="283">
        <v>0</v>
      </c>
      <c r="Y1048" s="199" t="s">
        <v>1395</v>
      </c>
      <c r="Z1048" s="517" t="s">
        <v>5543</v>
      </c>
      <c r="AA1048" s="493" t="s">
        <v>1485</v>
      </c>
      <c r="AB1048" s="507"/>
    </row>
    <row r="1049" spans="2:28" x14ac:dyDescent="0.15">
      <c r="B1049" s="333" t="s">
        <v>4875</v>
      </c>
      <c r="C1049" s="528">
        <v>43379</v>
      </c>
      <c r="D1049" s="198" t="s">
        <v>4876</v>
      </c>
      <c r="E1049" s="53" t="s">
        <v>1391</v>
      </c>
      <c r="F1049" s="198" t="s">
        <v>3783</v>
      </c>
      <c r="G1049" s="3" t="s">
        <v>362</v>
      </c>
      <c r="H1049" s="53" t="s">
        <v>689</v>
      </c>
      <c r="I1049" s="3" t="s">
        <v>1394</v>
      </c>
      <c r="J1049" s="3" t="s">
        <v>273</v>
      </c>
      <c r="K1049" s="3" t="s">
        <v>1161</v>
      </c>
      <c r="L1049" s="3" t="s">
        <v>4877</v>
      </c>
      <c r="M1049" s="53" t="s">
        <v>4878</v>
      </c>
      <c r="N1049" s="255">
        <v>235000</v>
      </c>
      <c r="O1049" s="265">
        <v>100</v>
      </c>
      <c r="P1049" s="270">
        <v>1</v>
      </c>
      <c r="Q1049" s="255">
        <v>235000</v>
      </c>
      <c r="R1049" s="283">
        <v>235000</v>
      </c>
      <c r="S1049" s="283">
        <v>107130</v>
      </c>
      <c r="T1049" s="287">
        <v>1</v>
      </c>
      <c r="U1049" s="287">
        <v>0</v>
      </c>
      <c r="V1049" s="287">
        <v>0</v>
      </c>
      <c r="W1049" s="283">
        <v>0</v>
      </c>
      <c r="X1049" s="283">
        <v>0</v>
      </c>
      <c r="Y1049" s="199" t="s">
        <v>1395</v>
      </c>
      <c r="Z1049" s="517" t="s">
        <v>5166</v>
      </c>
      <c r="AA1049" s="493" t="s">
        <v>1485</v>
      </c>
      <c r="AB1049" s="507"/>
    </row>
    <row r="1050" spans="2:28" x14ac:dyDescent="0.15">
      <c r="B1050" s="333" t="s">
        <v>4879</v>
      </c>
      <c r="C1050" s="528">
        <v>43379</v>
      </c>
      <c r="D1050" s="198" t="s">
        <v>4880</v>
      </c>
      <c r="E1050" s="53" t="s">
        <v>1391</v>
      </c>
      <c r="F1050" s="198" t="s">
        <v>3783</v>
      </c>
      <c r="G1050" s="3" t="s">
        <v>362</v>
      </c>
      <c r="H1050" s="53" t="s">
        <v>689</v>
      </c>
      <c r="I1050" s="3" t="s">
        <v>1394</v>
      </c>
      <c r="J1050" s="3" t="s">
        <v>273</v>
      </c>
      <c r="K1050" s="3" t="s">
        <v>1161</v>
      </c>
      <c r="L1050" s="3" t="s">
        <v>4881</v>
      </c>
      <c r="M1050" s="53" t="s">
        <v>4882</v>
      </c>
      <c r="N1050" s="255">
        <v>235000</v>
      </c>
      <c r="O1050" s="265">
        <v>100</v>
      </c>
      <c r="P1050" s="270">
        <v>1</v>
      </c>
      <c r="Q1050" s="255">
        <v>235000</v>
      </c>
      <c r="R1050" s="283">
        <v>235000</v>
      </c>
      <c r="S1050" s="283">
        <v>107130</v>
      </c>
      <c r="T1050" s="287">
        <v>1</v>
      </c>
      <c r="U1050" s="287">
        <v>0</v>
      </c>
      <c r="V1050" s="287">
        <v>0</v>
      </c>
      <c r="W1050" s="283">
        <v>0</v>
      </c>
      <c r="X1050" s="283">
        <v>0</v>
      </c>
      <c r="Y1050" s="199" t="s">
        <v>1395</v>
      </c>
      <c r="Z1050" s="517" t="s">
        <v>5166</v>
      </c>
      <c r="AA1050" s="493" t="s">
        <v>1485</v>
      </c>
      <c r="AB1050" s="507"/>
    </row>
    <row r="1051" spans="2:28" x14ac:dyDescent="0.15">
      <c r="B1051" s="333" t="s">
        <v>4883</v>
      </c>
      <c r="C1051" s="528">
        <v>43379</v>
      </c>
      <c r="D1051" s="198" t="s">
        <v>4884</v>
      </c>
      <c r="E1051" s="53" t="s">
        <v>1391</v>
      </c>
      <c r="F1051" s="198" t="s">
        <v>3786</v>
      </c>
      <c r="G1051" s="3" t="s">
        <v>364</v>
      </c>
      <c r="H1051" s="53" t="s">
        <v>511</v>
      </c>
      <c r="I1051" s="3" t="s">
        <v>2377</v>
      </c>
      <c r="J1051" s="3" t="s">
        <v>268</v>
      </c>
      <c r="K1051" s="3" t="s">
        <v>1158</v>
      </c>
      <c r="L1051" s="3" t="s">
        <v>4459</v>
      </c>
      <c r="M1051" s="53" t="s">
        <v>4885</v>
      </c>
      <c r="N1051" s="255">
        <v>305000</v>
      </c>
      <c r="O1051" s="265">
        <v>60</v>
      </c>
      <c r="P1051" s="270">
        <v>1</v>
      </c>
      <c r="Q1051" s="255">
        <v>183000</v>
      </c>
      <c r="R1051" s="283">
        <v>183000</v>
      </c>
      <c r="S1051" s="283">
        <v>79516</v>
      </c>
      <c r="T1051" s="287">
        <v>1</v>
      </c>
      <c r="U1051" s="287">
        <v>0</v>
      </c>
      <c r="V1051" s="287">
        <v>0</v>
      </c>
      <c r="W1051" s="283">
        <v>0</v>
      </c>
      <c r="X1051" s="283">
        <v>0</v>
      </c>
      <c r="Y1051" s="199" t="s">
        <v>1395</v>
      </c>
      <c r="Z1051" s="517" t="s">
        <v>5170</v>
      </c>
      <c r="AA1051" s="493" t="s">
        <v>1485</v>
      </c>
      <c r="AB1051" s="507"/>
    </row>
    <row r="1052" spans="2:28" x14ac:dyDescent="0.15">
      <c r="B1052" s="333" t="s">
        <v>4886</v>
      </c>
      <c r="C1052" s="528">
        <v>43379</v>
      </c>
      <c r="D1052" s="198" t="s">
        <v>4887</v>
      </c>
      <c r="E1052" s="53" t="s">
        <v>1391</v>
      </c>
      <c r="F1052" s="198" t="s">
        <v>3786</v>
      </c>
      <c r="G1052" s="3" t="s">
        <v>364</v>
      </c>
      <c r="H1052" s="53" t="s">
        <v>510</v>
      </c>
      <c r="I1052" s="3" t="s">
        <v>1444</v>
      </c>
      <c r="J1052" s="3" t="s">
        <v>262</v>
      </c>
      <c r="K1052" s="3" t="s">
        <v>365</v>
      </c>
      <c r="L1052" s="3" t="s">
        <v>1738</v>
      </c>
      <c r="M1052" s="53" t="s">
        <v>4888</v>
      </c>
      <c r="N1052" s="255">
        <v>260000</v>
      </c>
      <c r="O1052" s="265">
        <v>60</v>
      </c>
      <c r="P1052" s="270">
        <v>1</v>
      </c>
      <c r="Q1052" s="255">
        <v>156000</v>
      </c>
      <c r="R1052" s="283">
        <v>156000</v>
      </c>
      <c r="S1052" s="283">
        <v>56155</v>
      </c>
      <c r="T1052" s="287">
        <v>1</v>
      </c>
      <c r="U1052" s="287">
        <v>0</v>
      </c>
      <c r="V1052" s="287">
        <v>0</v>
      </c>
      <c r="W1052" s="283">
        <v>0</v>
      </c>
      <c r="X1052" s="283">
        <v>0</v>
      </c>
      <c r="Y1052" s="199" t="s">
        <v>1395</v>
      </c>
      <c r="Z1052" s="517" t="s">
        <v>5170</v>
      </c>
      <c r="AA1052" s="493" t="s">
        <v>1485</v>
      </c>
      <c r="AB1052" s="507"/>
    </row>
    <row r="1053" spans="2:28" x14ac:dyDescent="0.15">
      <c r="B1053" s="333" t="s">
        <v>4889</v>
      </c>
      <c r="C1053" s="528">
        <v>43379</v>
      </c>
      <c r="D1053" s="198" t="s">
        <v>4890</v>
      </c>
      <c r="E1053" s="53" t="s">
        <v>1391</v>
      </c>
      <c r="F1053" s="198" t="s">
        <v>3783</v>
      </c>
      <c r="G1053" s="3" t="s">
        <v>362</v>
      </c>
      <c r="H1053" s="53" t="s">
        <v>689</v>
      </c>
      <c r="I1053" s="3" t="s">
        <v>1394</v>
      </c>
      <c r="J1053" s="3" t="s">
        <v>262</v>
      </c>
      <c r="K1053" s="3" t="s">
        <v>365</v>
      </c>
      <c r="L1053" s="3" t="s">
        <v>1728</v>
      </c>
      <c r="M1053" s="53" t="s">
        <v>4891</v>
      </c>
      <c r="N1053" s="255">
        <v>270000</v>
      </c>
      <c r="O1053" s="265">
        <v>55</v>
      </c>
      <c r="P1053" s="270">
        <v>1</v>
      </c>
      <c r="Q1053" s="255">
        <v>148500</v>
      </c>
      <c r="R1053" s="283">
        <v>148500</v>
      </c>
      <c r="S1053" s="283">
        <v>50555</v>
      </c>
      <c r="T1053" s="287">
        <v>1</v>
      </c>
      <c r="U1053" s="287">
        <v>0</v>
      </c>
      <c r="V1053" s="287">
        <v>0</v>
      </c>
      <c r="W1053" s="283">
        <v>0</v>
      </c>
      <c r="X1053" s="283">
        <v>0</v>
      </c>
      <c r="Y1053" s="199" t="s">
        <v>1395</v>
      </c>
      <c r="Z1053" s="517" t="s">
        <v>5532</v>
      </c>
      <c r="AA1053" s="493" t="s">
        <v>1485</v>
      </c>
      <c r="AB1053" s="507"/>
    </row>
    <row r="1054" spans="2:28" x14ac:dyDescent="0.15">
      <c r="B1054" s="333" t="s">
        <v>4892</v>
      </c>
      <c r="C1054" s="528">
        <v>43379</v>
      </c>
      <c r="D1054" s="198" t="s">
        <v>4893</v>
      </c>
      <c r="E1054" s="53" t="s">
        <v>1391</v>
      </c>
      <c r="F1054" s="198" t="s">
        <v>3783</v>
      </c>
      <c r="G1054" s="3" t="s">
        <v>362</v>
      </c>
      <c r="H1054" s="53" t="s">
        <v>692</v>
      </c>
      <c r="I1054" s="3" t="s">
        <v>1397</v>
      </c>
      <c r="J1054" s="3" t="s">
        <v>262</v>
      </c>
      <c r="K1054" s="3" t="s">
        <v>365</v>
      </c>
      <c r="L1054" s="3" t="s">
        <v>1738</v>
      </c>
      <c r="M1054" s="53" t="s">
        <v>4894</v>
      </c>
      <c r="N1054" s="255">
        <v>260000</v>
      </c>
      <c r="O1054" s="265">
        <v>55</v>
      </c>
      <c r="P1054" s="270">
        <v>1</v>
      </c>
      <c r="Q1054" s="255">
        <v>143000</v>
      </c>
      <c r="R1054" s="283">
        <v>143000</v>
      </c>
      <c r="S1054" s="283">
        <v>43155</v>
      </c>
      <c r="T1054" s="287">
        <v>1</v>
      </c>
      <c r="U1054" s="287">
        <v>0</v>
      </c>
      <c r="V1054" s="287">
        <v>0</v>
      </c>
      <c r="W1054" s="283">
        <v>0</v>
      </c>
      <c r="X1054" s="283">
        <v>0</v>
      </c>
      <c r="Y1054" s="199" t="s">
        <v>1395</v>
      </c>
      <c r="Z1054" s="517" t="s">
        <v>5543</v>
      </c>
      <c r="AA1054" s="493" t="s">
        <v>1485</v>
      </c>
      <c r="AB1054" s="507"/>
    </row>
    <row r="1055" spans="2:28" x14ac:dyDescent="0.15">
      <c r="B1055" s="333" t="s">
        <v>4897</v>
      </c>
      <c r="C1055" s="528">
        <v>43385</v>
      </c>
      <c r="D1055" s="198" t="s">
        <v>4898</v>
      </c>
      <c r="E1055" s="53" t="s">
        <v>1391</v>
      </c>
      <c r="F1055" s="198" t="s">
        <v>2834</v>
      </c>
      <c r="G1055" s="3" t="s">
        <v>3559</v>
      </c>
      <c r="H1055" s="53"/>
      <c r="I1055" s="3"/>
      <c r="J1055" s="3" t="s">
        <v>262</v>
      </c>
      <c r="K1055" s="3" t="s">
        <v>365</v>
      </c>
      <c r="L1055" s="3" t="s">
        <v>2611</v>
      </c>
      <c r="M1055" s="53" t="s">
        <v>4899</v>
      </c>
      <c r="N1055" s="255">
        <v>250000</v>
      </c>
      <c r="O1055" s="265">
        <v>60</v>
      </c>
      <c r="P1055" s="270">
        <v>1</v>
      </c>
      <c r="Q1055" s="255">
        <v>150000</v>
      </c>
      <c r="R1055" s="283">
        <v>150000</v>
      </c>
      <c r="S1055" s="283">
        <v>57780</v>
      </c>
      <c r="T1055" s="287">
        <v>1</v>
      </c>
      <c r="U1055" s="287">
        <v>0</v>
      </c>
      <c r="V1055" s="287">
        <v>0</v>
      </c>
      <c r="W1055" s="283">
        <v>0</v>
      </c>
      <c r="X1055" s="283">
        <v>0</v>
      </c>
      <c r="Y1055" s="199" t="s">
        <v>1395</v>
      </c>
      <c r="Z1055" s="517" t="s">
        <v>5170</v>
      </c>
      <c r="AA1055" s="493" t="s">
        <v>1485</v>
      </c>
      <c r="AB1055" s="507"/>
    </row>
    <row r="1056" spans="2:28" x14ac:dyDescent="0.15">
      <c r="B1056" s="477" t="s">
        <v>4900</v>
      </c>
      <c r="C1056" s="531">
        <v>43392</v>
      </c>
      <c r="D1056" s="374" t="s">
        <v>4901</v>
      </c>
      <c r="E1056" s="201" t="s">
        <v>1391</v>
      </c>
      <c r="F1056" s="374" t="s">
        <v>3786</v>
      </c>
      <c r="G1056" s="202" t="s">
        <v>364</v>
      </c>
      <c r="H1056" s="201" t="s">
        <v>421</v>
      </c>
      <c r="I1056" s="202" t="s">
        <v>4902</v>
      </c>
      <c r="J1056" s="202" t="s">
        <v>295</v>
      </c>
      <c r="K1056" s="202" t="s">
        <v>1166</v>
      </c>
      <c r="L1056" s="202" t="s">
        <v>1498</v>
      </c>
      <c r="M1056" s="201"/>
      <c r="N1056" s="255">
        <v>24000</v>
      </c>
      <c r="O1056" s="265">
        <v>65</v>
      </c>
      <c r="P1056" s="270">
        <v>1</v>
      </c>
      <c r="Q1056" s="255">
        <v>15600</v>
      </c>
      <c r="R1056" s="283">
        <v>15600</v>
      </c>
      <c r="S1056" s="283">
        <v>4200</v>
      </c>
      <c r="T1056" s="287">
        <v>0</v>
      </c>
      <c r="U1056" s="287">
        <v>0</v>
      </c>
      <c r="V1056" s="287">
        <v>0</v>
      </c>
      <c r="W1056" s="283">
        <v>1800</v>
      </c>
      <c r="X1056" s="283">
        <v>0</v>
      </c>
      <c r="Y1056" s="199" t="s">
        <v>1392</v>
      </c>
      <c r="Z1056" s="517" t="s">
        <v>5166</v>
      </c>
      <c r="AA1056" s="493" t="s">
        <v>1485</v>
      </c>
      <c r="AB1056" s="507"/>
    </row>
    <row r="1057" spans="2:28" x14ac:dyDescent="0.15">
      <c r="B1057" s="477" t="s">
        <v>4903</v>
      </c>
      <c r="C1057" s="531">
        <v>43392</v>
      </c>
      <c r="D1057" s="374" t="s">
        <v>4904</v>
      </c>
      <c r="E1057" s="201" t="s">
        <v>1391</v>
      </c>
      <c r="F1057" s="374" t="s">
        <v>3786</v>
      </c>
      <c r="G1057" s="202" t="s">
        <v>364</v>
      </c>
      <c r="H1057" s="201" t="s">
        <v>476</v>
      </c>
      <c r="I1057" s="202" t="s">
        <v>1405</v>
      </c>
      <c r="J1057" s="202" t="s">
        <v>268</v>
      </c>
      <c r="K1057" s="202" t="s">
        <v>1158</v>
      </c>
      <c r="L1057" s="202" t="s">
        <v>4277</v>
      </c>
      <c r="M1057" s="201" t="s">
        <v>4905</v>
      </c>
      <c r="N1057" s="255">
        <v>130000</v>
      </c>
      <c r="O1057" s="265">
        <v>100</v>
      </c>
      <c r="P1057" s="270">
        <v>1</v>
      </c>
      <c r="Q1057" s="255">
        <v>130000</v>
      </c>
      <c r="R1057" s="283">
        <v>130000</v>
      </c>
      <c r="S1057" s="283">
        <v>41546</v>
      </c>
      <c r="T1057" s="287">
        <v>0</v>
      </c>
      <c r="U1057" s="287">
        <v>1</v>
      </c>
      <c r="V1057" s="287">
        <v>0</v>
      </c>
      <c r="W1057" s="283">
        <v>15000</v>
      </c>
      <c r="X1057" s="283">
        <v>0</v>
      </c>
      <c r="Y1057" s="199" t="s">
        <v>1392</v>
      </c>
      <c r="Z1057" s="517" t="s">
        <v>5544</v>
      </c>
      <c r="AA1057" s="493" t="s">
        <v>1485</v>
      </c>
      <c r="AB1057" s="507"/>
    </row>
    <row r="1058" spans="2:28" x14ac:dyDescent="0.15">
      <c r="B1058" s="477" t="s">
        <v>4909</v>
      </c>
      <c r="C1058" s="531">
        <v>43392</v>
      </c>
      <c r="D1058" s="374" t="s">
        <v>4910</v>
      </c>
      <c r="E1058" s="201" t="s">
        <v>1391</v>
      </c>
      <c r="F1058" s="374" t="s">
        <v>3786</v>
      </c>
      <c r="G1058" s="202" t="s">
        <v>364</v>
      </c>
      <c r="H1058" s="201" t="s">
        <v>486</v>
      </c>
      <c r="I1058" s="202" t="s">
        <v>1406</v>
      </c>
      <c r="J1058" s="202" t="s">
        <v>262</v>
      </c>
      <c r="K1058" s="202" t="s">
        <v>365</v>
      </c>
      <c r="L1058" s="202" t="s">
        <v>1690</v>
      </c>
      <c r="M1058" s="201" t="s">
        <v>4733</v>
      </c>
      <c r="N1058" s="255">
        <v>260000</v>
      </c>
      <c r="O1058" s="265">
        <v>60</v>
      </c>
      <c r="P1058" s="270">
        <v>1</v>
      </c>
      <c r="Q1058" s="255">
        <v>156000</v>
      </c>
      <c r="R1058" s="283">
        <v>156000</v>
      </c>
      <c r="S1058" s="283">
        <v>45180</v>
      </c>
      <c r="T1058" s="287">
        <v>0</v>
      </c>
      <c r="U1058" s="287">
        <v>1</v>
      </c>
      <c r="V1058" s="287">
        <v>0</v>
      </c>
      <c r="W1058" s="283">
        <v>15600</v>
      </c>
      <c r="X1058" s="283">
        <v>0</v>
      </c>
      <c r="Y1058" s="199" t="s">
        <v>1392</v>
      </c>
      <c r="Z1058" s="517" t="s">
        <v>5167</v>
      </c>
      <c r="AA1058" s="493" t="s">
        <v>1485</v>
      </c>
      <c r="AB1058" s="507"/>
    </row>
    <row r="1059" spans="2:28" x14ac:dyDescent="0.15">
      <c r="B1059" s="477" t="s">
        <v>4911</v>
      </c>
      <c r="C1059" s="531">
        <v>43392</v>
      </c>
      <c r="D1059" s="374" t="s">
        <v>4912</v>
      </c>
      <c r="E1059" s="201" t="s">
        <v>1391</v>
      </c>
      <c r="F1059" s="374" t="s">
        <v>4014</v>
      </c>
      <c r="G1059" s="202" t="s">
        <v>370</v>
      </c>
      <c r="H1059" s="201" t="s">
        <v>1134</v>
      </c>
      <c r="I1059" s="202" t="s">
        <v>1393</v>
      </c>
      <c r="J1059" s="202" t="s">
        <v>268</v>
      </c>
      <c r="K1059" s="202" t="s">
        <v>1158</v>
      </c>
      <c r="L1059" s="202" t="s">
        <v>4173</v>
      </c>
      <c r="M1059" s="201" t="s">
        <v>4913</v>
      </c>
      <c r="N1059" s="255">
        <v>130000</v>
      </c>
      <c r="O1059" s="265">
        <v>100</v>
      </c>
      <c r="P1059" s="270">
        <v>1</v>
      </c>
      <c r="Q1059" s="255">
        <v>130000</v>
      </c>
      <c r="R1059" s="283">
        <v>130000</v>
      </c>
      <c r="S1059" s="283">
        <v>41546</v>
      </c>
      <c r="T1059" s="287">
        <v>0</v>
      </c>
      <c r="U1059" s="287">
        <v>1</v>
      </c>
      <c r="V1059" s="287">
        <v>0</v>
      </c>
      <c r="W1059" s="283">
        <v>15000</v>
      </c>
      <c r="X1059" s="283">
        <v>0</v>
      </c>
      <c r="Y1059" s="199" t="s">
        <v>1392</v>
      </c>
      <c r="Z1059" s="517" t="s">
        <v>5167</v>
      </c>
      <c r="AA1059" s="493" t="s">
        <v>1485</v>
      </c>
      <c r="AB1059" s="507"/>
    </row>
    <row r="1060" spans="2:28" x14ac:dyDescent="0.15">
      <c r="B1060" s="472" t="s">
        <v>4914</v>
      </c>
      <c r="C1060" s="532">
        <v>43392</v>
      </c>
      <c r="D1060" s="473" t="s">
        <v>4915</v>
      </c>
      <c r="E1060" s="474" t="s">
        <v>1396</v>
      </c>
      <c r="F1060" s="473" t="s">
        <v>21</v>
      </c>
      <c r="G1060" s="475" t="s">
        <v>50</v>
      </c>
      <c r="H1060" s="474" t="s">
        <v>381</v>
      </c>
      <c r="I1060" s="475" t="s">
        <v>1408</v>
      </c>
      <c r="J1060" s="475" t="s">
        <v>273</v>
      </c>
      <c r="K1060" s="475" t="s">
        <v>1161</v>
      </c>
      <c r="L1060" s="475" t="s">
        <v>4860</v>
      </c>
      <c r="M1060" s="473" t="s">
        <v>4916</v>
      </c>
      <c r="N1060" s="255">
        <v>233333</v>
      </c>
      <c r="O1060" s="265">
        <v>100</v>
      </c>
      <c r="P1060" s="270">
        <v>-1</v>
      </c>
      <c r="Q1060" s="255">
        <v>233333</v>
      </c>
      <c r="R1060" s="283">
        <v>-233333</v>
      </c>
      <c r="S1060" s="283">
        <v>-100224</v>
      </c>
      <c r="T1060" s="287">
        <v>0</v>
      </c>
      <c r="U1060" s="287">
        <v>1</v>
      </c>
      <c r="V1060" s="287">
        <v>0</v>
      </c>
      <c r="W1060" s="283">
        <v>-29999</v>
      </c>
      <c r="X1060" s="283">
        <v>0</v>
      </c>
      <c r="Y1060" s="199" t="s">
        <v>1392</v>
      </c>
      <c r="Z1060" s="517" t="s">
        <v>5532</v>
      </c>
      <c r="AA1060" s="493" t="s">
        <v>1485</v>
      </c>
      <c r="AB1060" s="507"/>
    </row>
    <row r="1061" spans="2:28" x14ac:dyDescent="0.15">
      <c r="B1061" s="327" t="s">
        <v>4935</v>
      </c>
      <c r="C1061" s="527">
        <v>43392</v>
      </c>
      <c r="D1061" s="191" t="s">
        <v>4936</v>
      </c>
      <c r="E1061" s="43" t="s">
        <v>2382</v>
      </c>
      <c r="F1061" s="191" t="s">
        <v>3842</v>
      </c>
      <c r="G1061" s="4" t="s">
        <v>2375</v>
      </c>
      <c r="H1061" s="43"/>
      <c r="I1061" s="4" t="s">
        <v>4937</v>
      </c>
      <c r="J1061" s="4" t="s">
        <v>271</v>
      </c>
      <c r="K1061" s="4" t="s">
        <v>1160</v>
      </c>
      <c r="L1061" s="4" t="s">
        <v>3447</v>
      </c>
      <c r="M1061" s="43" t="s">
        <v>2275</v>
      </c>
      <c r="N1061" s="255">
        <v>170000</v>
      </c>
      <c r="O1061" s="265">
        <v>100</v>
      </c>
      <c r="P1061" s="270">
        <v>1</v>
      </c>
      <c r="Q1061" s="255">
        <v>170000</v>
      </c>
      <c r="R1061" s="283">
        <v>170000</v>
      </c>
      <c r="S1061" s="283">
        <v>42766</v>
      </c>
      <c r="T1061" s="287">
        <v>1</v>
      </c>
      <c r="U1061" s="287">
        <v>0</v>
      </c>
      <c r="V1061" s="287">
        <v>0</v>
      </c>
      <c r="W1061" s="283">
        <v>0</v>
      </c>
      <c r="X1061" s="283">
        <v>0</v>
      </c>
      <c r="Y1061" s="199" t="s">
        <v>1395</v>
      </c>
      <c r="Z1061" s="517" t="s">
        <v>5451</v>
      </c>
      <c r="AA1061" s="493"/>
      <c r="AB1061" s="507"/>
    </row>
    <row r="1062" spans="2:28" x14ac:dyDescent="0.15">
      <c r="B1062" s="327" t="s">
        <v>4938</v>
      </c>
      <c r="C1062" s="527">
        <v>43392</v>
      </c>
      <c r="D1062" s="191" t="s">
        <v>4939</v>
      </c>
      <c r="E1062" s="43" t="s">
        <v>2382</v>
      </c>
      <c r="F1062" s="191" t="s">
        <v>3842</v>
      </c>
      <c r="G1062" s="4" t="s">
        <v>2375</v>
      </c>
      <c r="H1062" s="43"/>
      <c r="I1062" s="4" t="s">
        <v>4940</v>
      </c>
      <c r="J1062" s="4" t="s">
        <v>261</v>
      </c>
      <c r="K1062" s="4" t="s">
        <v>1153</v>
      </c>
      <c r="L1062" s="4" t="s">
        <v>4941</v>
      </c>
      <c r="M1062" s="43" t="s">
        <v>2275</v>
      </c>
      <c r="N1062" s="255">
        <v>130000</v>
      </c>
      <c r="O1062" s="265">
        <v>100</v>
      </c>
      <c r="P1062" s="270">
        <v>1</v>
      </c>
      <c r="Q1062" s="255">
        <v>130000</v>
      </c>
      <c r="R1062" s="283">
        <v>130000</v>
      </c>
      <c r="S1062" s="283">
        <v>33179</v>
      </c>
      <c r="T1062" s="287">
        <v>1</v>
      </c>
      <c r="U1062" s="287">
        <v>0</v>
      </c>
      <c r="V1062" s="287">
        <v>0</v>
      </c>
      <c r="W1062" s="283">
        <v>0</v>
      </c>
      <c r="X1062" s="283">
        <v>0</v>
      </c>
      <c r="Y1062" s="199" t="s">
        <v>1395</v>
      </c>
      <c r="Z1062" s="517" t="s">
        <v>5555</v>
      </c>
      <c r="AA1062" s="493"/>
      <c r="AB1062" s="507"/>
    </row>
    <row r="1063" spans="2:28" x14ac:dyDescent="0.15">
      <c r="B1063" s="472" t="s">
        <v>4930</v>
      </c>
      <c r="C1063" s="532">
        <v>43393</v>
      </c>
      <c r="D1063" s="473" t="s">
        <v>4931</v>
      </c>
      <c r="E1063" s="474" t="s">
        <v>1391</v>
      </c>
      <c r="F1063" s="473" t="s">
        <v>3786</v>
      </c>
      <c r="G1063" s="475" t="s">
        <v>364</v>
      </c>
      <c r="H1063" s="474" t="s">
        <v>473</v>
      </c>
      <c r="I1063" s="475" t="s">
        <v>1400</v>
      </c>
      <c r="J1063" s="475" t="s">
        <v>265</v>
      </c>
      <c r="K1063" s="475" t="s">
        <v>1155</v>
      </c>
      <c r="L1063" s="475" t="s">
        <v>4932</v>
      </c>
      <c r="M1063" s="474" t="s">
        <v>4933</v>
      </c>
      <c r="N1063" s="255">
        <v>229000</v>
      </c>
      <c r="O1063" s="265">
        <v>100</v>
      </c>
      <c r="P1063" s="270">
        <v>1</v>
      </c>
      <c r="Q1063" s="255">
        <v>229000</v>
      </c>
      <c r="R1063" s="283">
        <v>229000</v>
      </c>
      <c r="S1063" s="283">
        <v>76437</v>
      </c>
      <c r="T1063" s="287">
        <v>0</v>
      </c>
      <c r="U1063" s="287">
        <v>1</v>
      </c>
      <c r="V1063" s="287">
        <v>0</v>
      </c>
      <c r="W1063" s="283">
        <v>26423</v>
      </c>
      <c r="X1063" s="283">
        <v>0</v>
      </c>
      <c r="Y1063" s="199" t="s">
        <v>1392</v>
      </c>
      <c r="Z1063" s="517" t="s">
        <v>5544</v>
      </c>
      <c r="AA1063" s="493" t="s">
        <v>1485</v>
      </c>
      <c r="AB1063" s="507"/>
    </row>
    <row r="1064" spans="2:28" x14ac:dyDescent="0.15">
      <c r="B1064" s="327" t="s">
        <v>4965</v>
      </c>
      <c r="C1064" s="527">
        <v>43393</v>
      </c>
      <c r="D1064" s="191" t="s">
        <v>4966</v>
      </c>
      <c r="E1064" s="43" t="s">
        <v>1391</v>
      </c>
      <c r="F1064" s="191" t="s">
        <v>3786</v>
      </c>
      <c r="G1064" s="4" t="s">
        <v>364</v>
      </c>
      <c r="H1064" s="43" t="s">
        <v>420</v>
      </c>
      <c r="I1064" s="4" t="s">
        <v>3509</v>
      </c>
      <c r="J1064" s="4" t="s">
        <v>271</v>
      </c>
      <c r="K1064" s="4" t="s">
        <v>1160</v>
      </c>
      <c r="L1064" s="4" t="s">
        <v>1642</v>
      </c>
      <c r="M1064" s="43" t="s">
        <v>4967</v>
      </c>
      <c r="N1064" s="255">
        <v>239200</v>
      </c>
      <c r="O1064" s="265">
        <v>100</v>
      </c>
      <c r="P1064" s="270">
        <v>1</v>
      </c>
      <c r="Q1064" s="255">
        <v>239200</v>
      </c>
      <c r="R1064" s="283">
        <v>239200</v>
      </c>
      <c r="S1064" s="283">
        <v>72366</v>
      </c>
      <c r="T1064" s="287">
        <v>0</v>
      </c>
      <c r="U1064" s="287">
        <v>1</v>
      </c>
      <c r="V1064" s="287">
        <v>0</v>
      </c>
      <c r="W1064" s="283">
        <v>27600</v>
      </c>
      <c r="X1064" s="283">
        <v>0</v>
      </c>
      <c r="Y1064" s="199" t="s">
        <v>1392</v>
      </c>
      <c r="Z1064" s="517" t="s">
        <v>5166</v>
      </c>
      <c r="AA1064" s="493" t="s">
        <v>1485</v>
      </c>
      <c r="AB1064" s="507"/>
    </row>
    <row r="1065" spans="2:28" x14ac:dyDescent="0.15">
      <c r="B1065" s="327" t="s">
        <v>4968</v>
      </c>
      <c r="C1065" s="527">
        <v>43393</v>
      </c>
      <c r="D1065" s="191" t="s">
        <v>4969</v>
      </c>
      <c r="E1065" s="43" t="s">
        <v>1391</v>
      </c>
      <c r="F1065" s="191" t="s">
        <v>3786</v>
      </c>
      <c r="G1065" s="4" t="s">
        <v>364</v>
      </c>
      <c r="H1065" s="43" t="s">
        <v>476</v>
      </c>
      <c r="I1065" s="4" t="s">
        <v>1405</v>
      </c>
      <c r="J1065" s="4" t="s">
        <v>262</v>
      </c>
      <c r="K1065" s="4" t="s">
        <v>365</v>
      </c>
      <c r="L1065" s="4" t="s">
        <v>1690</v>
      </c>
      <c r="M1065" s="43" t="s">
        <v>4970</v>
      </c>
      <c r="N1065" s="255">
        <v>260000</v>
      </c>
      <c r="O1065" s="265">
        <v>65</v>
      </c>
      <c r="P1065" s="270">
        <v>1</v>
      </c>
      <c r="Q1065" s="255">
        <v>169000</v>
      </c>
      <c r="R1065" s="283">
        <v>169000</v>
      </c>
      <c r="S1065" s="283">
        <v>52655</v>
      </c>
      <c r="T1065" s="287">
        <v>0</v>
      </c>
      <c r="U1065" s="287">
        <v>1</v>
      </c>
      <c r="V1065" s="287">
        <v>0</v>
      </c>
      <c r="W1065" s="283">
        <v>19500</v>
      </c>
      <c r="X1065" s="283">
        <v>0</v>
      </c>
      <c r="Y1065" s="199" t="s">
        <v>1392</v>
      </c>
      <c r="Z1065" s="517" t="s">
        <v>5537</v>
      </c>
      <c r="AA1065" s="493" t="s">
        <v>1485</v>
      </c>
      <c r="AB1065" s="507"/>
    </row>
    <row r="1066" spans="2:28" x14ac:dyDescent="0.15">
      <c r="B1066" s="327" t="s">
        <v>4971</v>
      </c>
      <c r="C1066" s="527">
        <v>43393</v>
      </c>
      <c r="D1066" s="191" t="s">
        <v>4972</v>
      </c>
      <c r="E1066" s="43" t="s">
        <v>1391</v>
      </c>
      <c r="F1066" s="191" t="s">
        <v>3786</v>
      </c>
      <c r="G1066" s="4" t="s">
        <v>364</v>
      </c>
      <c r="H1066" s="43" t="s">
        <v>486</v>
      </c>
      <c r="I1066" s="4" t="s">
        <v>1406</v>
      </c>
      <c r="J1066" s="4" t="s">
        <v>1402</v>
      </c>
      <c r="K1066" s="4" t="s">
        <v>1403</v>
      </c>
      <c r="L1066" s="4" t="s">
        <v>3461</v>
      </c>
      <c r="M1066" s="43" t="s">
        <v>4973</v>
      </c>
      <c r="N1066" s="255">
        <v>290000</v>
      </c>
      <c r="O1066" s="265">
        <v>60</v>
      </c>
      <c r="P1066" s="270">
        <v>1</v>
      </c>
      <c r="Q1066" s="255">
        <v>174000</v>
      </c>
      <c r="R1066" s="283">
        <v>174000</v>
      </c>
      <c r="S1066" s="283">
        <v>39802</v>
      </c>
      <c r="T1066" s="287">
        <v>0</v>
      </c>
      <c r="U1066" s="287">
        <v>1</v>
      </c>
      <c r="V1066" s="287">
        <v>0</v>
      </c>
      <c r="W1066" s="283">
        <v>17400</v>
      </c>
      <c r="X1066" s="283">
        <v>0</v>
      </c>
      <c r="Y1066" s="199" t="s">
        <v>1392</v>
      </c>
      <c r="Z1066" s="517" t="s">
        <v>5167</v>
      </c>
      <c r="AA1066" s="493" t="s">
        <v>1485</v>
      </c>
      <c r="AB1066" s="507"/>
    </row>
    <row r="1067" spans="2:28" x14ac:dyDescent="0.15">
      <c r="B1067" s="327" t="s">
        <v>4974</v>
      </c>
      <c r="C1067" s="527">
        <v>43393</v>
      </c>
      <c r="D1067" s="191" t="s">
        <v>4975</v>
      </c>
      <c r="E1067" s="43" t="s">
        <v>1391</v>
      </c>
      <c r="F1067" s="191" t="s">
        <v>3786</v>
      </c>
      <c r="G1067" s="4" t="s">
        <v>364</v>
      </c>
      <c r="H1067" s="43" t="s">
        <v>486</v>
      </c>
      <c r="I1067" s="4" t="s">
        <v>1406</v>
      </c>
      <c r="J1067" s="4" t="s">
        <v>261</v>
      </c>
      <c r="K1067" s="4" t="s">
        <v>1153</v>
      </c>
      <c r="L1067" s="4" t="s">
        <v>4976</v>
      </c>
      <c r="M1067" s="43" t="s">
        <v>4977</v>
      </c>
      <c r="N1067" s="255">
        <v>300000</v>
      </c>
      <c r="O1067" s="265">
        <v>60</v>
      </c>
      <c r="P1067" s="270">
        <v>1</v>
      </c>
      <c r="Q1067" s="255">
        <v>180000</v>
      </c>
      <c r="R1067" s="283">
        <v>180000</v>
      </c>
      <c r="S1067" s="283">
        <v>48944</v>
      </c>
      <c r="T1067" s="287">
        <v>0</v>
      </c>
      <c r="U1067" s="287">
        <v>1</v>
      </c>
      <c r="V1067" s="287">
        <v>0</v>
      </c>
      <c r="W1067" s="283">
        <v>18000</v>
      </c>
      <c r="X1067" s="283">
        <v>0</v>
      </c>
      <c r="Y1067" s="199" t="s">
        <v>1392</v>
      </c>
      <c r="Z1067" s="517" t="s">
        <v>5167</v>
      </c>
      <c r="AA1067" s="493" t="s">
        <v>1485</v>
      </c>
      <c r="AB1067" s="507"/>
    </row>
    <row r="1068" spans="2:28" x14ac:dyDescent="0.15">
      <c r="B1068" s="327" t="s">
        <v>4986</v>
      </c>
      <c r="C1068" s="527">
        <v>43393</v>
      </c>
      <c r="D1068" s="191" t="s">
        <v>4987</v>
      </c>
      <c r="E1068" s="43" t="s">
        <v>1391</v>
      </c>
      <c r="F1068" s="191" t="s">
        <v>3786</v>
      </c>
      <c r="G1068" s="4" t="s">
        <v>364</v>
      </c>
      <c r="H1068" s="43" t="s">
        <v>1447</v>
      </c>
      <c r="I1068" s="4" t="s">
        <v>1448</v>
      </c>
      <c r="J1068" s="4" t="s">
        <v>262</v>
      </c>
      <c r="K1068" s="4" t="s">
        <v>365</v>
      </c>
      <c r="L1068" s="4" t="s">
        <v>4988</v>
      </c>
      <c r="M1068" s="43" t="s">
        <v>4989</v>
      </c>
      <c r="N1068" s="255">
        <v>285000</v>
      </c>
      <c r="O1068" s="265">
        <v>65</v>
      </c>
      <c r="P1068" s="270">
        <v>1</v>
      </c>
      <c r="Q1068" s="255">
        <v>185250</v>
      </c>
      <c r="R1068" s="283">
        <v>185250</v>
      </c>
      <c r="S1068" s="283">
        <v>61530</v>
      </c>
      <c r="T1068" s="287">
        <v>0</v>
      </c>
      <c r="U1068" s="287">
        <v>1</v>
      </c>
      <c r="V1068" s="287">
        <v>0</v>
      </c>
      <c r="W1068" s="283">
        <v>21375</v>
      </c>
      <c r="X1068" s="283">
        <v>0</v>
      </c>
      <c r="Y1068" s="199" t="s">
        <v>1392</v>
      </c>
      <c r="Z1068" s="517" t="s">
        <v>5544</v>
      </c>
      <c r="AA1068" s="493" t="s">
        <v>1485</v>
      </c>
      <c r="AB1068" s="507"/>
    </row>
    <row r="1069" spans="2:28" x14ac:dyDescent="0.15">
      <c r="B1069" s="477" t="s">
        <v>4917</v>
      </c>
      <c r="C1069" s="531">
        <v>43394</v>
      </c>
      <c r="D1069" s="374" t="s">
        <v>4918</v>
      </c>
      <c r="E1069" s="201" t="s">
        <v>1396</v>
      </c>
      <c r="F1069" s="374" t="s">
        <v>21</v>
      </c>
      <c r="G1069" s="202" t="s">
        <v>50</v>
      </c>
      <c r="H1069" s="201" t="s">
        <v>380</v>
      </c>
      <c r="I1069" s="202" t="s">
        <v>1976</v>
      </c>
      <c r="J1069" s="475" t="s">
        <v>270</v>
      </c>
      <c r="K1069" s="475" t="s">
        <v>539</v>
      </c>
      <c r="L1069" s="475" t="s">
        <v>1707</v>
      </c>
      <c r="M1069" s="474" t="s">
        <v>4919</v>
      </c>
      <c r="N1069" s="255">
        <v>328000</v>
      </c>
      <c r="O1069" s="265">
        <v>60</v>
      </c>
      <c r="P1069" s="270">
        <v>1</v>
      </c>
      <c r="Q1069" s="255">
        <v>196800</v>
      </c>
      <c r="R1069" s="283">
        <v>196800</v>
      </c>
      <c r="S1069" s="283">
        <v>55819</v>
      </c>
      <c r="T1069" s="287">
        <v>0</v>
      </c>
      <c r="U1069" s="287">
        <v>1</v>
      </c>
      <c r="V1069" s="287">
        <v>0</v>
      </c>
      <c r="W1069" s="283">
        <v>19680</v>
      </c>
      <c r="X1069" s="283">
        <v>0</v>
      </c>
      <c r="Y1069" s="199" t="s">
        <v>1392</v>
      </c>
      <c r="Z1069" s="517" t="s">
        <v>5166</v>
      </c>
      <c r="AA1069" s="493" t="s">
        <v>1485</v>
      </c>
      <c r="AB1069" s="507"/>
    </row>
    <row r="1070" spans="2:28" x14ac:dyDescent="0.15">
      <c r="B1070" s="477" t="s">
        <v>4920</v>
      </c>
      <c r="C1070" s="531">
        <v>43394</v>
      </c>
      <c r="D1070" s="374" t="s">
        <v>4921</v>
      </c>
      <c r="E1070" s="201" t="s">
        <v>1396</v>
      </c>
      <c r="F1070" s="374" t="s">
        <v>21</v>
      </c>
      <c r="G1070" s="202" t="s">
        <v>50</v>
      </c>
      <c r="H1070" s="201" t="s">
        <v>380</v>
      </c>
      <c r="I1070" s="202" t="s">
        <v>1976</v>
      </c>
      <c r="J1070" s="475" t="s">
        <v>270</v>
      </c>
      <c r="K1070" s="475" t="s">
        <v>539</v>
      </c>
      <c r="L1070" s="475" t="s">
        <v>3776</v>
      </c>
      <c r="M1070" s="474" t="s">
        <v>4922</v>
      </c>
      <c r="N1070" s="255">
        <v>328000</v>
      </c>
      <c r="O1070" s="265">
        <v>60</v>
      </c>
      <c r="P1070" s="270">
        <v>1</v>
      </c>
      <c r="Q1070" s="255">
        <v>196800</v>
      </c>
      <c r="R1070" s="283">
        <v>196800</v>
      </c>
      <c r="S1070" s="283">
        <v>57813</v>
      </c>
      <c r="T1070" s="287">
        <v>0</v>
      </c>
      <c r="U1070" s="287">
        <v>1</v>
      </c>
      <c r="V1070" s="287">
        <v>0</v>
      </c>
      <c r="W1070" s="283">
        <v>19680</v>
      </c>
      <c r="X1070" s="283">
        <v>0</v>
      </c>
      <c r="Y1070" s="199" t="s">
        <v>1392</v>
      </c>
      <c r="Z1070" s="517" t="s">
        <v>5166</v>
      </c>
      <c r="AA1070" s="493" t="s">
        <v>1485</v>
      </c>
      <c r="AB1070" s="507"/>
    </row>
    <row r="1071" spans="2:28" x14ac:dyDescent="0.15">
      <c r="B1071" s="477" t="s">
        <v>4923</v>
      </c>
      <c r="C1071" s="531">
        <v>43394</v>
      </c>
      <c r="D1071" s="374" t="s">
        <v>4924</v>
      </c>
      <c r="E1071" s="201" t="s">
        <v>1396</v>
      </c>
      <c r="F1071" s="374" t="s">
        <v>21</v>
      </c>
      <c r="G1071" s="202" t="s">
        <v>50</v>
      </c>
      <c r="H1071" s="201" t="s">
        <v>381</v>
      </c>
      <c r="I1071" s="202" t="s">
        <v>1408</v>
      </c>
      <c r="J1071" s="475" t="s">
        <v>271</v>
      </c>
      <c r="K1071" s="475" t="s">
        <v>1160</v>
      </c>
      <c r="L1071" s="475" t="s">
        <v>4925</v>
      </c>
      <c r="M1071" s="474" t="s">
        <v>4926</v>
      </c>
      <c r="N1071" s="255">
        <v>263000</v>
      </c>
      <c r="O1071" s="265">
        <v>100</v>
      </c>
      <c r="P1071" s="270">
        <v>1</v>
      </c>
      <c r="Q1071" s="255">
        <v>263000</v>
      </c>
      <c r="R1071" s="283">
        <v>263000</v>
      </c>
      <c r="S1071" s="283">
        <v>89857</v>
      </c>
      <c r="T1071" s="287">
        <v>0</v>
      </c>
      <c r="U1071" s="287">
        <v>1</v>
      </c>
      <c r="V1071" s="287">
        <v>0</v>
      </c>
      <c r="W1071" s="283">
        <v>33814</v>
      </c>
      <c r="X1071" s="283">
        <v>0</v>
      </c>
      <c r="Y1071" s="199" t="s">
        <v>1392</v>
      </c>
      <c r="Z1071" s="517" t="s">
        <v>5166</v>
      </c>
      <c r="AA1071" s="493" t="s">
        <v>1485</v>
      </c>
      <c r="AB1071" s="507"/>
    </row>
    <row r="1072" spans="2:28" x14ac:dyDescent="0.15">
      <c r="B1072" s="477" t="s">
        <v>4927</v>
      </c>
      <c r="C1072" s="531">
        <v>43394</v>
      </c>
      <c r="D1072" s="374" t="s">
        <v>4928</v>
      </c>
      <c r="E1072" s="201" t="s">
        <v>1396</v>
      </c>
      <c r="F1072" s="374" t="s">
        <v>21</v>
      </c>
      <c r="G1072" s="202" t="s">
        <v>50</v>
      </c>
      <c r="H1072" s="201" t="s">
        <v>381</v>
      </c>
      <c r="I1072" s="202" t="s">
        <v>1408</v>
      </c>
      <c r="J1072" s="475" t="s">
        <v>273</v>
      </c>
      <c r="K1072" s="475" t="s">
        <v>1161</v>
      </c>
      <c r="L1072" s="475" t="s">
        <v>4860</v>
      </c>
      <c r="M1072" s="474" t="s">
        <v>4929</v>
      </c>
      <c r="N1072" s="255">
        <v>233333</v>
      </c>
      <c r="O1072" s="265">
        <v>100</v>
      </c>
      <c r="P1072" s="270">
        <v>1</v>
      </c>
      <c r="Q1072" s="255">
        <v>233333</v>
      </c>
      <c r="R1072" s="283">
        <v>233333</v>
      </c>
      <c r="S1072" s="283">
        <v>100224</v>
      </c>
      <c r="T1072" s="287">
        <v>0</v>
      </c>
      <c r="U1072" s="287">
        <v>1</v>
      </c>
      <c r="V1072" s="287">
        <v>0</v>
      </c>
      <c r="W1072" s="283">
        <v>29999</v>
      </c>
      <c r="X1072" s="283">
        <v>0</v>
      </c>
      <c r="Y1072" s="199" t="s">
        <v>1392</v>
      </c>
      <c r="Z1072" s="517" t="s">
        <v>5166</v>
      </c>
      <c r="AA1072" s="493" t="s">
        <v>1485</v>
      </c>
      <c r="AB1072" s="507"/>
    </row>
    <row r="1073" spans="2:28" x14ac:dyDescent="0.15">
      <c r="B1073" s="333" t="s">
        <v>4946</v>
      </c>
      <c r="C1073" s="528">
        <v>43394</v>
      </c>
      <c r="D1073" s="198" t="s">
        <v>4948</v>
      </c>
      <c r="E1073" s="53" t="s">
        <v>1396</v>
      </c>
      <c r="F1073" s="198" t="s">
        <v>21</v>
      </c>
      <c r="G1073" s="3" t="s">
        <v>50</v>
      </c>
      <c r="H1073" s="53" t="s">
        <v>381</v>
      </c>
      <c r="I1073" s="3" t="s">
        <v>1408</v>
      </c>
      <c r="J1073" s="4" t="s">
        <v>272</v>
      </c>
      <c r="K1073" s="4" t="s">
        <v>363</v>
      </c>
      <c r="L1073" s="4" t="s">
        <v>4947</v>
      </c>
      <c r="M1073" s="43" t="s">
        <v>4703</v>
      </c>
      <c r="N1073" s="255">
        <v>380000</v>
      </c>
      <c r="O1073" s="265">
        <v>100</v>
      </c>
      <c r="P1073" s="270">
        <v>1</v>
      </c>
      <c r="Q1073" s="255">
        <v>380000</v>
      </c>
      <c r="R1073" s="283">
        <v>380000</v>
      </c>
      <c r="S1073" s="283">
        <v>98571</v>
      </c>
      <c r="T1073" s="287">
        <v>0</v>
      </c>
      <c r="U1073" s="287">
        <v>1</v>
      </c>
      <c r="V1073" s="287">
        <v>0</v>
      </c>
      <c r="W1073" s="283">
        <v>43846</v>
      </c>
      <c r="X1073" s="283">
        <v>0</v>
      </c>
      <c r="Y1073" s="199" t="s">
        <v>1392</v>
      </c>
      <c r="Z1073" s="517" t="s">
        <v>5166</v>
      </c>
      <c r="AA1073" s="493"/>
      <c r="AB1073" s="507"/>
    </row>
    <row r="1074" spans="2:28" x14ac:dyDescent="0.15">
      <c r="B1074" s="333" t="s">
        <v>4949</v>
      </c>
      <c r="C1074" s="528">
        <v>43394</v>
      </c>
      <c r="D1074" s="198" t="s">
        <v>4904</v>
      </c>
      <c r="E1074" s="53" t="s">
        <v>1396</v>
      </c>
      <c r="F1074" s="198" t="s">
        <v>21</v>
      </c>
      <c r="G1074" s="3" t="s">
        <v>50</v>
      </c>
      <c r="H1074" s="53" t="s">
        <v>380</v>
      </c>
      <c r="I1074" s="3" t="s">
        <v>1976</v>
      </c>
      <c r="J1074" s="4" t="s">
        <v>272</v>
      </c>
      <c r="K1074" s="4" t="s">
        <v>363</v>
      </c>
      <c r="L1074" s="4" t="s">
        <v>4950</v>
      </c>
      <c r="M1074" s="43" t="s">
        <v>4864</v>
      </c>
      <c r="N1074" s="255">
        <v>380000</v>
      </c>
      <c r="O1074" s="265">
        <v>100</v>
      </c>
      <c r="P1074" s="270">
        <v>1</v>
      </c>
      <c r="Q1074" s="255">
        <v>380000</v>
      </c>
      <c r="R1074" s="283">
        <v>380000</v>
      </c>
      <c r="S1074" s="283">
        <v>98571</v>
      </c>
      <c r="T1074" s="287">
        <v>0</v>
      </c>
      <c r="U1074" s="287">
        <v>1</v>
      </c>
      <c r="V1074" s="287">
        <v>0</v>
      </c>
      <c r="W1074" s="283">
        <v>43846</v>
      </c>
      <c r="X1074" s="283">
        <v>0</v>
      </c>
      <c r="Y1074" s="199" t="s">
        <v>1392</v>
      </c>
      <c r="Z1074" s="517" t="s">
        <v>5166</v>
      </c>
      <c r="AA1074" s="493"/>
      <c r="AB1074" s="507"/>
    </row>
    <row r="1075" spans="2:28" x14ac:dyDescent="0.15">
      <c r="B1075" s="477" t="s">
        <v>4953</v>
      </c>
      <c r="C1075" s="531">
        <v>43394</v>
      </c>
      <c r="D1075" s="374" t="s">
        <v>4954</v>
      </c>
      <c r="E1075" s="201" t="s">
        <v>1396</v>
      </c>
      <c r="F1075" s="374" t="s">
        <v>21</v>
      </c>
      <c r="G1075" s="202" t="s">
        <v>50</v>
      </c>
      <c r="H1075" s="201" t="s">
        <v>381</v>
      </c>
      <c r="I1075" s="202" t="s">
        <v>1408</v>
      </c>
      <c r="J1075" s="475" t="s">
        <v>271</v>
      </c>
      <c r="K1075" s="475" t="s">
        <v>1160</v>
      </c>
      <c r="L1075" s="475" t="s">
        <v>1503</v>
      </c>
      <c r="M1075" s="474" t="s">
        <v>4675</v>
      </c>
      <c r="N1075" s="255">
        <v>234000</v>
      </c>
      <c r="O1075" s="265">
        <v>100</v>
      </c>
      <c r="P1075" s="270">
        <v>1</v>
      </c>
      <c r="Q1075" s="255">
        <v>234000</v>
      </c>
      <c r="R1075" s="283">
        <v>234000</v>
      </c>
      <c r="S1075" s="283">
        <v>56536</v>
      </c>
      <c r="T1075" s="287">
        <v>0</v>
      </c>
      <c r="U1075" s="287">
        <v>1</v>
      </c>
      <c r="V1075" s="287">
        <v>0</v>
      </c>
      <c r="W1075" s="283">
        <v>27000</v>
      </c>
      <c r="X1075" s="283">
        <v>0</v>
      </c>
      <c r="Y1075" s="199" t="s">
        <v>1392</v>
      </c>
      <c r="Z1075" s="517" t="s">
        <v>5166</v>
      </c>
      <c r="AA1075" s="493"/>
      <c r="AB1075" s="507"/>
    </row>
    <row r="1076" spans="2:28" x14ac:dyDescent="0.15">
      <c r="B1076" s="477" t="s">
        <v>4956</v>
      </c>
      <c r="C1076" s="531">
        <v>43394</v>
      </c>
      <c r="D1076" s="374" t="s">
        <v>4958</v>
      </c>
      <c r="E1076" s="201" t="s">
        <v>1396</v>
      </c>
      <c r="F1076" s="374" t="s">
        <v>21</v>
      </c>
      <c r="G1076" s="202" t="s">
        <v>50</v>
      </c>
      <c r="H1076" s="201" t="s">
        <v>381</v>
      </c>
      <c r="I1076" s="202" t="s">
        <v>1408</v>
      </c>
      <c r="J1076" s="475" t="s">
        <v>270</v>
      </c>
      <c r="K1076" s="475" t="s">
        <v>539</v>
      </c>
      <c r="L1076" s="475" t="s">
        <v>1704</v>
      </c>
      <c r="M1076" s="474" t="s">
        <v>4957</v>
      </c>
      <c r="N1076" s="255">
        <v>308000</v>
      </c>
      <c r="O1076" s="265">
        <v>65</v>
      </c>
      <c r="P1076" s="270">
        <v>1</v>
      </c>
      <c r="Q1076" s="255">
        <v>200200</v>
      </c>
      <c r="R1076" s="283">
        <v>200200</v>
      </c>
      <c r="S1076" s="283">
        <v>65299</v>
      </c>
      <c r="T1076" s="287">
        <v>0</v>
      </c>
      <c r="U1076" s="287">
        <v>1</v>
      </c>
      <c r="V1076" s="287">
        <v>0</v>
      </c>
      <c r="W1076" s="283">
        <v>23100</v>
      </c>
      <c r="X1076" s="283">
        <v>0</v>
      </c>
      <c r="Y1076" s="199" t="s">
        <v>1392</v>
      </c>
      <c r="Z1076" s="517" t="s">
        <v>5166</v>
      </c>
      <c r="AA1076" s="493"/>
      <c r="AB1076" s="507"/>
    </row>
    <row r="1077" spans="2:28" x14ac:dyDescent="0.15">
      <c r="B1077" s="477" t="s">
        <v>4959</v>
      </c>
      <c r="C1077" s="531">
        <v>43394</v>
      </c>
      <c r="D1077" s="374" t="s">
        <v>4961</v>
      </c>
      <c r="E1077" s="201" t="s">
        <v>1396</v>
      </c>
      <c r="F1077" s="374" t="s">
        <v>21</v>
      </c>
      <c r="G1077" s="202" t="s">
        <v>50</v>
      </c>
      <c r="H1077" s="201" t="s">
        <v>381</v>
      </c>
      <c r="I1077" s="202" t="s">
        <v>1408</v>
      </c>
      <c r="J1077" s="475" t="s">
        <v>271</v>
      </c>
      <c r="K1077" s="475" t="s">
        <v>1160</v>
      </c>
      <c r="L1077" s="475" t="s">
        <v>4960</v>
      </c>
      <c r="M1077" s="474" t="s">
        <v>4321</v>
      </c>
      <c r="N1077" s="255">
        <v>210000</v>
      </c>
      <c r="O1077" s="265">
        <v>100</v>
      </c>
      <c r="P1077" s="270">
        <v>1</v>
      </c>
      <c r="Q1077" s="255">
        <v>210000</v>
      </c>
      <c r="R1077" s="283">
        <v>210000</v>
      </c>
      <c r="S1077" s="283">
        <v>50920</v>
      </c>
      <c r="T1077" s="287">
        <v>0</v>
      </c>
      <c r="U1077" s="287">
        <v>1</v>
      </c>
      <c r="V1077" s="287">
        <v>0</v>
      </c>
      <c r="W1077" s="283">
        <v>24230</v>
      </c>
      <c r="X1077" s="283">
        <v>0</v>
      </c>
      <c r="Y1077" s="199" t="s">
        <v>1392</v>
      </c>
      <c r="Z1077" s="517" t="s">
        <v>5543</v>
      </c>
      <c r="AA1077" s="493"/>
      <c r="AB1077" s="507"/>
    </row>
    <row r="1078" spans="2:28" x14ac:dyDescent="0.15">
      <c r="B1078" s="333" t="s">
        <v>4942</v>
      </c>
      <c r="C1078" s="528">
        <v>43395</v>
      </c>
      <c r="D1078" s="198" t="s">
        <v>4943</v>
      </c>
      <c r="E1078" s="53" t="s">
        <v>1391</v>
      </c>
      <c r="F1078" s="198" t="s">
        <v>3783</v>
      </c>
      <c r="G1078" s="3" t="s">
        <v>362</v>
      </c>
      <c r="H1078" s="53" t="s">
        <v>689</v>
      </c>
      <c r="I1078" s="3" t="s">
        <v>1394</v>
      </c>
      <c r="J1078" s="4" t="s">
        <v>262</v>
      </c>
      <c r="K1078" s="4" t="s">
        <v>365</v>
      </c>
      <c r="L1078" s="4" t="s">
        <v>1690</v>
      </c>
      <c r="M1078" s="43" t="s">
        <v>4544</v>
      </c>
      <c r="N1078" s="255">
        <v>260000</v>
      </c>
      <c r="O1078" s="265">
        <v>50</v>
      </c>
      <c r="P1078" s="270">
        <v>1</v>
      </c>
      <c r="Q1078" s="255">
        <v>130000</v>
      </c>
      <c r="R1078" s="283">
        <v>130000</v>
      </c>
      <c r="S1078" s="283">
        <v>35080</v>
      </c>
      <c r="T1078" s="287">
        <v>1</v>
      </c>
      <c r="U1078" s="287">
        <v>0</v>
      </c>
      <c r="V1078" s="287">
        <v>0</v>
      </c>
      <c r="W1078" s="283">
        <v>0</v>
      </c>
      <c r="X1078" s="283">
        <v>0</v>
      </c>
      <c r="Y1078" s="199" t="s">
        <v>1395</v>
      </c>
      <c r="Z1078" s="517" t="s">
        <v>5166</v>
      </c>
      <c r="AA1078" s="493" t="s">
        <v>1485</v>
      </c>
      <c r="AB1078" s="507"/>
    </row>
    <row r="1079" spans="2:28" x14ac:dyDescent="0.15">
      <c r="B1079" s="333" t="s">
        <v>4944</v>
      </c>
      <c r="C1079" s="528">
        <v>43395</v>
      </c>
      <c r="D1079" s="198" t="s">
        <v>4945</v>
      </c>
      <c r="E1079" s="53" t="s">
        <v>1391</v>
      </c>
      <c r="F1079" s="198" t="s">
        <v>3783</v>
      </c>
      <c r="G1079" s="3" t="s">
        <v>362</v>
      </c>
      <c r="H1079" s="53" t="s">
        <v>689</v>
      </c>
      <c r="I1079" s="3" t="s">
        <v>1394</v>
      </c>
      <c r="J1079" s="4" t="s">
        <v>262</v>
      </c>
      <c r="K1079" s="4" t="s">
        <v>365</v>
      </c>
      <c r="L1079" s="4" t="s">
        <v>1690</v>
      </c>
      <c r="M1079" s="43" t="s">
        <v>4544</v>
      </c>
      <c r="N1079" s="255">
        <v>260000</v>
      </c>
      <c r="O1079" s="265">
        <v>55</v>
      </c>
      <c r="P1079" s="270">
        <v>-1</v>
      </c>
      <c r="Q1079" s="255">
        <v>143000</v>
      </c>
      <c r="R1079" s="283">
        <v>-143000</v>
      </c>
      <c r="S1079" s="283">
        <v>-48080</v>
      </c>
      <c r="T1079" s="287">
        <v>-1</v>
      </c>
      <c r="U1079" s="287">
        <v>0</v>
      </c>
      <c r="V1079" s="287">
        <v>0</v>
      </c>
      <c r="W1079" s="283">
        <v>0</v>
      </c>
      <c r="X1079" s="283">
        <v>0</v>
      </c>
      <c r="Y1079" s="199" t="s">
        <v>1395</v>
      </c>
      <c r="Z1079" s="517" t="s">
        <v>5166</v>
      </c>
      <c r="AA1079" s="493" t="s">
        <v>1485</v>
      </c>
      <c r="AB1079" s="507"/>
    </row>
    <row r="1080" spans="2:28" x14ac:dyDescent="0.15">
      <c r="B1080" s="333" t="s">
        <v>4962</v>
      </c>
      <c r="C1080" s="528">
        <v>43399</v>
      </c>
      <c r="D1080" s="198" t="s">
        <v>4963</v>
      </c>
      <c r="E1080" s="53" t="s">
        <v>1396</v>
      </c>
      <c r="F1080" s="198" t="s">
        <v>21</v>
      </c>
      <c r="G1080" s="3" t="s">
        <v>50</v>
      </c>
      <c r="H1080" s="53" t="s">
        <v>1434</v>
      </c>
      <c r="I1080" s="3" t="s">
        <v>1435</v>
      </c>
      <c r="J1080" s="4" t="s">
        <v>298</v>
      </c>
      <c r="K1080" s="4" t="s">
        <v>1168</v>
      </c>
      <c r="L1080" s="4" t="s">
        <v>4349</v>
      </c>
      <c r="M1080" s="43"/>
      <c r="N1080" s="255">
        <v>3500</v>
      </c>
      <c r="O1080" s="265">
        <v>65</v>
      </c>
      <c r="P1080" s="270">
        <v>13</v>
      </c>
      <c r="Q1080" s="255">
        <v>2275</v>
      </c>
      <c r="R1080" s="283">
        <v>29575</v>
      </c>
      <c r="S1080" s="283">
        <v>10309</v>
      </c>
      <c r="T1080" s="287">
        <v>0</v>
      </c>
      <c r="U1080" s="287">
        <v>0</v>
      </c>
      <c r="V1080" s="287">
        <v>0</v>
      </c>
      <c r="W1080" s="283">
        <v>3406</v>
      </c>
      <c r="X1080" s="283">
        <v>0</v>
      </c>
      <c r="Y1080" s="199" t="s">
        <v>1392</v>
      </c>
      <c r="Z1080" s="517" t="s">
        <v>5167</v>
      </c>
      <c r="AA1080" s="493" t="s">
        <v>1485</v>
      </c>
      <c r="AB1080" s="507"/>
    </row>
    <row r="1081" spans="2:28" x14ac:dyDescent="0.15">
      <c r="B1081" s="333" t="s">
        <v>4964</v>
      </c>
      <c r="C1081" s="528">
        <v>43399</v>
      </c>
      <c r="D1081" s="198" t="s">
        <v>4963</v>
      </c>
      <c r="E1081" s="53" t="s">
        <v>1396</v>
      </c>
      <c r="F1081" s="198" t="s">
        <v>21</v>
      </c>
      <c r="G1081" s="3" t="s">
        <v>50</v>
      </c>
      <c r="H1081" s="53" t="s">
        <v>1434</v>
      </c>
      <c r="I1081" s="3" t="s">
        <v>1435</v>
      </c>
      <c r="J1081" s="4" t="s">
        <v>296</v>
      </c>
      <c r="K1081" s="4" t="s">
        <v>1167</v>
      </c>
      <c r="L1081" s="4" t="s">
        <v>2542</v>
      </c>
      <c r="M1081" s="43"/>
      <c r="N1081" s="255">
        <v>3500</v>
      </c>
      <c r="O1081" s="265">
        <v>65</v>
      </c>
      <c r="P1081" s="270">
        <v>2</v>
      </c>
      <c r="Q1081" s="255">
        <v>2275</v>
      </c>
      <c r="R1081" s="283">
        <v>4550</v>
      </c>
      <c r="S1081" s="283">
        <v>1626</v>
      </c>
      <c r="T1081" s="287">
        <v>0</v>
      </c>
      <c r="U1081" s="287">
        <v>0</v>
      </c>
      <c r="V1081" s="287">
        <v>0</v>
      </c>
      <c r="W1081" s="283">
        <v>524</v>
      </c>
      <c r="X1081" s="283">
        <v>0</v>
      </c>
      <c r="Y1081" s="199" t="s">
        <v>1392</v>
      </c>
      <c r="Z1081" s="517" t="s">
        <v>5167</v>
      </c>
      <c r="AA1081" s="493" t="s">
        <v>1485</v>
      </c>
      <c r="AB1081" s="507"/>
    </row>
    <row r="1082" spans="2:28" x14ac:dyDescent="0.15">
      <c r="B1082" s="333" t="s">
        <v>4978</v>
      </c>
      <c r="C1082" s="528">
        <v>43399</v>
      </c>
      <c r="D1082" s="198" t="s">
        <v>4979</v>
      </c>
      <c r="E1082" s="53" t="s">
        <v>1396</v>
      </c>
      <c r="F1082" s="198" t="s">
        <v>21</v>
      </c>
      <c r="G1082" s="3" t="s">
        <v>50</v>
      </c>
      <c r="H1082" s="53" t="s">
        <v>381</v>
      </c>
      <c r="I1082" s="3" t="s">
        <v>1408</v>
      </c>
      <c r="J1082" s="4" t="s">
        <v>265</v>
      </c>
      <c r="K1082" s="4" t="s">
        <v>1155</v>
      </c>
      <c r="L1082" s="4" t="s">
        <v>1743</v>
      </c>
      <c r="M1082" s="43" t="s">
        <v>4980</v>
      </c>
      <c r="N1082" s="255">
        <v>395000</v>
      </c>
      <c r="O1082" s="265">
        <v>60</v>
      </c>
      <c r="P1082" s="270">
        <v>1</v>
      </c>
      <c r="Q1082" s="255">
        <v>237000</v>
      </c>
      <c r="R1082" s="283">
        <v>237000</v>
      </c>
      <c r="S1082" s="283">
        <v>76140</v>
      </c>
      <c r="T1082" s="287">
        <v>0</v>
      </c>
      <c r="U1082" s="287">
        <v>1</v>
      </c>
      <c r="V1082" s="287">
        <v>0</v>
      </c>
      <c r="W1082" s="283">
        <v>23700</v>
      </c>
      <c r="X1082" s="283">
        <v>0</v>
      </c>
      <c r="Y1082" s="199" t="s">
        <v>1392</v>
      </c>
      <c r="Z1082" s="517" t="s">
        <v>5166</v>
      </c>
      <c r="AA1082" s="493" t="s">
        <v>1485</v>
      </c>
      <c r="AB1082" s="507"/>
    </row>
    <row r="1083" spans="2:28" x14ac:dyDescent="0.15">
      <c r="B1083" s="333" t="s">
        <v>4990</v>
      </c>
      <c r="C1083" s="528">
        <v>43399</v>
      </c>
      <c r="D1083" s="198" t="s">
        <v>4991</v>
      </c>
      <c r="E1083" s="53" t="s">
        <v>2382</v>
      </c>
      <c r="F1083" s="198" t="s">
        <v>3842</v>
      </c>
      <c r="G1083" s="3" t="s">
        <v>2375</v>
      </c>
      <c r="H1083" s="53"/>
      <c r="I1083" s="3" t="s">
        <v>4992</v>
      </c>
      <c r="J1083" s="4" t="s">
        <v>298</v>
      </c>
      <c r="K1083" s="4" t="s">
        <v>1168</v>
      </c>
      <c r="L1083" s="4" t="s">
        <v>1929</v>
      </c>
      <c r="M1083" s="43"/>
      <c r="N1083" s="255">
        <v>28000</v>
      </c>
      <c r="O1083" s="265">
        <v>100</v>
      </c>
      <c r="P1083" s="270">
        <v>1</v>
      </c>
      <c r="Q1083" s="255">
        <v>28000</v>
      </c>
      <c r="R1083" s="283">
        <v>28000</v>
      </c>
      <c r="S1083" s="283">
        <v>23900</v>
      </c>
      <c r="T1083" s="287">
        <v>0</v>
      </c>
      <c r="U1083" s="287">
        <v>0</v>
      </c>
      <c r="V1083" s="287">
        <v>0</v>
      </c>
      <c r="W1083" s="283">
        <v>0</v>
      </c>
      <c r="X1083" s="283">
        <v>0</v>
      </c>
      <c r="Y1083" s="199" t="s">
        <v>1395</v>
      </c>
      <c r="Z1083" s="517" t="s">
        <v>5451</v>
      </c>
      <c r="AA1083" s="493"/>
      <c r="AB1083" s="507"/>
    </row>
    <row r="1084" spans="2:28" x14ac:dyDescent="0.15">
      <c r="B1084" s="333" t="s">
        <v>4993</v>
      </c>
      <c r="C1084" s="528">
        <v>43399</v>
      </c>
      <c r="D1084" s="198" t="s">
        <v>4994</v>
      </c>
      <c r="E1084" s="53" t="s">
        <v>2382</v>
      </c>
      <c r="F1084" s="198" t="s">
        <v>3842</v>
      </c>
      <c r="G1084" s="3" t="s">
        <v>2375</v>
      </c>
      <c r="H1084" s="53"/>
      <c r="I1084" s="3" t="s">
        <v>4992</v>
      </c>
      <c r="J1084" s="4" t="s">
        <v>298</v>
      </c>
      <c r="K1084" s="4" t="s">
        <v>1168</v>
      </c>
      <c r="L1084" s="4" t="s">
        <v>1430</v>
      </c>
      <c r="M1084" s="43"/>
      <c r="N1084" s="255">
        <v>12000</v>
      </c>
      <c r="O1084" s="265">
        <v>100</v>
      </c>
      <c r="P1084" s="270">
        <v>1</v>
      </c>
      <c r="Q1084" s="255">
        <v>12000</v>
      </c>
      <c r="R1084" s="283">
        <v>12000</v>
      </c>
      <c r="S1084" s="283">
        <v>4300</v>
      </c>
      <c r="T1084" s="287">
        <v>0</v>
      </c>
      <c r="U1084" s="287">
        <v>0</v>
      </c>
      <c r="V1084" s="287">
        <v>0</v>
      </c>
      <c r="W1084" s="283">
        <v>0</v>
      </c>
      <c r="X1084" s="283">
        <v>0</v>
      </c>
      <c r="Y1084" s="199" t="s">
        <v>1395</v>
      </c>
      <c r="Z1084" s="517" t="s">
        <v>5451</v>
      </c>
      <c r="AA1084" s="493"/>
      <c r="AB1084" s="507"/>
    </row>
    <row r="1085" spans="2:28" x14ac:dyDescent="0.15">
      <c r="B1085" s="333" t="s">
        <v>4993</v>
      </c>
      <c r="C1085" s="528">
        <v>43399</v>
      </c>
      <c r="D1085" s="198" t="s">
        <v>4994</v>
      </c>
      <c r="E1085" s="53" t="s">
        <v>2382</v>
      </c>
      <c r="F1085" s="198" t="s">
        <v>3842</v>
      </c>
      <c r="G1085" s="3" t="s">
        <v>2375</v>
      </c>
      <c r="H1085" s="53"/>
      <c r="I1085" s="3" t="s">
        <v>4992</v>
      </c>
      <c r="J1085" s="4" t="s">
        <v>298</v>
      </c>
      <c r="K1085" s="4" t="s">
        <v>1168</v>
      </c>
      <c r="L1085" s="4" t="s">
        <v>4995</v>
      </c>
      <c r="M1085" s="43"/>
      <c r="N1085" s="255">
        <v>900</v>
      </c>
      <c r="O1085" s="265">
        <v>100</v>
      </c>
      <c r="P1085" s="270">
        <v>4</v>
      </c>
      <c r="Q1085" s="255">
        <v>900</v>
      </c>
      <c r="R1085" s="283">
        <v>3600</v>
      </c>
      <c r="S1085" s="283">
        <v>3600</v>
      </c>
      <c r="T1085" s="287">
        <v>0</v>
      </c>
      <c r="U1085" s="287">
        <v>0</v>
      </c>
      <c r="V1085" s="287">
        <v>0</v>
      </c>
      <c r="W1085" s="283">
        <v>0</v>
      </c>
      <c r="X1085" s="283">
        <v>0</v>
      </c>
      <c r="Y1085" s="199" t="s">
        <v>1395</v>
      </c>
      <c r="Z1085" s="517" t="s">
        <v>5451</v>
      </c>
      <c r="AA1085" s="493"/>
      <c r="AB1085" s="507"/>
    </row>
    <row r="1086" spans="2:28" x14ac:dyDescent="0.15">
      <c r="B1086" s="333" t="s">
        <v>4993</v>
      </c>
      <c r="C1086" s="528">
        <v>43399</v>
      </c>
      <c r="D1086" s="198" t="s">
        <v>4994</v>
      </c>
      <c r="E1086" s="53" t="s">
        <v>2382</v>
      </c>
      <c r="F1086" s="198" t="s">
        <v>3842</v>
      </c>
      <c r="G1086" s="3" t="s">
        <v>2375</v>
      </c>
      <c r="H1086" s="53"/>
      <c r="I1086" s="3" t="s">
        <v>4992</v>
      </c>
      <c r="J1086" s="4" t="s">
        <v>298</v>
      </c>
      <c r="K1086" s="4" t="s">
        <v>1168</v>
      </c>
      <c r="L1086" s="4" t="s">
        <v>4996</v>
      </c>
      <c r="M1086" s="43"/>
      <c r="N1086" s="255">
        <v>2000</v>
      </c>
      <c r="O1086" s="265">
        <v>100</v>
      </c>
      <c r="P1086" s="270">
        <v>1</v>
      </c>
      <c r="Q1086" s="255">
        <v>2000</v>
      </c>
      <c r="R1086" s="283">
        <v>2000</v>
      </c>
      <c r="S1086" s="283">
        <v>2000</v>
      </c>
      <c r="T1086" s="287">
        <v>0</v>
      </c>
      <c r="U1086" s="287">
        <v>0</v>
      </c>
      <c r="V1086" s="287">
        <v>0</v>
      </c>
      <c r="W1086" s="283">
        <v>0</v>
      </c>
      <c r="X1086" s="283">
        <v>0</v>
      </c>
      <c r="Y1086" s="199" t="s">
        <v>1395</v>
      </c>
      <c r="Z1086" s="517" t="s">
        <v>5451</v>
      </c>
      <c r="AA1086" s="493"/>
      <c r="AB1086" s="507"/>
    </row>
    <row r="1087" spans="2:28" x14ac:dyDescent="0.15">
      <c r="B1087" s="333" t="s">
        <v>4993</v>
      </c>
      <c r="C1087" s="528">
        <v>43399</v>
      </c>
      <c r="D1087" s="198" t="s">
        <v>4994</v>
      </c>
      <c r="E1087" s="53" t="s">
        <v>2382</v>
      </c>
      <c r="F1087" s="198" t="s">
        <v>3842</v>
      </c>
      <c r="G1087" s="3" t="s">
        <v>2375</v>
      </c>
      <c r="H1087" s="53"/>
      <c r="I1087" s="3" t="s">
        <v>4992</v>
      </c>
      <c r="J1087" s="4" t="s">
        <v>298</v>
      </c>
      <c r="K1087" s="4" t="s">
        <v>1168</v>
      </c>
      <c r="L1087" s="4" t="s">
        <v>1412</v>
      </c>
      <c r="M1087" s="43"/>
      <c r="N1087" s="255">
        <v>2400</v>
      </c>
      <c r="O1087" s="265">
        <v>100</v>
      </c>
      <c r="P1087" s="270">
        <v>1</v>
      </c>
      <c r="Q1087" s="255">
        <v>2400</v>
      </c>
      <c r="R1087" s="283">
        <v>2400</v>
      </c>
      <c r="S1087" s="283">
        <v>2400</v>
      </c>
      <c r="T1087" s="287">
        <v>0</v>
      </c>
      <c r="U1087" s="287">
        <v>0</v>
      </c>
      <c r="V1087" s="287">
        <v>0</v>
      </c>
      <c r="W1087" s="283">
        <v>0</v>
      </c>
      <c r="X1087" s="283">
        <v>0</v>
      </c>
      <c r="Y1087" s="199" t="s">
        <v>1395</v>
      </c>
      <c r="Z1087" s="517" t="s">
        <v>5555</v>
      </c>
      <c r="AA1087" s="493"/>
      <c r="AB1087" s="507"/>
    </row>
    <row r="1088" spans="2:28" x14ac:dyDescent="0.15">
      <c r="B1088" s="333" t="s">
        <v>4993</v>
      </c>
      <c r="C1088" s="528">
        <v>43399</v>
      </c>
      <c r="D1088" s="198" t="s">
        <v>4994</v>
      </c>
      <c r="E1088" s="53" t="s">
        <v>2382</v>
      </c>
      <c r="F1088" s="198" t="s">
        <v>3842</v>
      </c>
      <c r="G1088" s="3" t="s">
        <v>2375</v>
      </c>
      <c r="H1088" s="53"/>
      <c r="I1088" s="3" t="s">
        <v>4992</v>
      </c>
      <c r="J1088" s="4" t="s">
        <v>299</v>
      </c>
      <c r="K1088" s="4" t="s">
        <v>373</v>
      </c>
      <c r="L1088" s="4" t="s">
        <v>1541</v>
      </c>
      <c r="M1088" s="43"/>
      <c r="N1088" s="255">
        <v>15000</v>
      </c>
      <c r="O1088" s="265">
        <v>100</v>
      </c>
      <c r="P1088" s="270">
        <v>1</v>
      </c>
      <c r="Q1088" s="255">
        <v>15000</v>
      </c>
      <c r="R1088" s="283">
        <v>15000</v>
      </c>
      <c r="S1088" s="283">
        <v>0</v>
      </c>
      <c r="T1088" s="287">
        <v>0</v>
      </c>
      <c r="U1088" s="287">
        <v>0</v>
      </c>
      <c r="V1088" s="287">
        <v>0</v>
      </c>
      <c r="W1088" s="283">
        <v>0</v>
      </c>
      <c r="X1088" s="283">
        <v>0</v>
      </c>
      <c r="Y1088" s="199" t="s">
        <v>1395</v>
      </c>
      <c r="Z1088" s="517" t="s">
        <v>5451</v>
      </c>
      <c r="AA1088" s="493"/>
      <c r="AB1088" s="507"/>
    </row>
    <row r="1089" spans="2:28" x14ac:dyDescent="0.15">
      <c r="B1089" s="333" t="s">
        <v>4997</v>
      </c>
      <c r="C1089" s="528">
        <v>43399</v>
      </c>
      <c r="D1089" s="198" t="s">
        <v>4998</v>
      </c>
      <c r="E1089" s="53" t="s">
        <v>2382</v>
      </c>
      <c r="F1089" s="198" t="s">
        <v>3842</v>
      </c>
      <c r="G1089" s="3" t="s">
        <v>2375</v>
      </c>
      <c r="H1089" s="53"/>
      <c r="I1089" s="3" t="s">
        <v>4815</v>
      </c>
      <c r="J1089" s="4" t="s">
        <v>299</v>
      </c>
      <c r="K1089" s="4" t="s">
        <v>373</v>
      </c>
      <c r="L1089" s="4" t="s">
        <v>4999</v>
      </c>
      <c r="M1089" s="43"/>
      <c r="N1089" s="255">
        <v>70000</v>
      </c>
      <c r="O1089" s="265">
        <v>100</v>
      </c>
      <c r="P1089" s="270">
        <v>1</v>
      </c>
      <c r="Q1089" s="255">
        <v>70000</v>
      </c>
      <c r="R1089" s="283">
        <v>70000</v>
      </c>
      <c r="S1089" s="283">
        <v>42000</v>
      </c>
      <c r="T1089" s="287">
        <v>0</v>
      </c>
      <c r="U1089" s="287">
        <v>0</v>
      </c>
      <c r="V1089" s="287">
        <v>0</v>
      </c>
      <c r="W1089" s="283">
        <v>0</v>
      </c>
      <c r="X1089" s="283">
        <v>0</v>
      </c>
      <c r="Y1089" s="199" t="s">
        <v>1395</v>
      </c>
      <c r="Z1089" s="517" t="s">
        <v>5555</v>
      </c>
      <c r="AA1089" s="493"/>
      <c r="AB1089" s="507"/>
    </row>
    <row r="1090" spans="2:28" x14ac:dyDescent="0.15">
      <c r="B1090" s="333" t="s">
        <v>5000</v>
      </c>
      <c r="C1090" s="528">
        <v>43401</v>
      </c>
      <c r="D1090" s="198" t="s">
        <v>5001</v>
      </c>
      <c r="E1090" s="53" t="s">
        <v>1391</v>
      </c>
      <c r="F1090" s="198" t="s">
        <v>3783</v>
      </c>
      <c r="G1090" s="3" t="s">
        <v>362</v>
      </c>
      <c r="H1090" s="53" t="s">
        <v>689</v>
      </c>
      <c r="I1090" s="3" t="s">
        <v>1394</v>
      </c>
      <c r="J1090" s="4" t="s">
        <v>262</v>
      </c>
      <c r="K1090" s="4" t="s">
        <v>365</v>
      </c>
      <c r="L1090" s="4" t="s">
        <v>1738</v>
      </c>
      <c r="M1090" s="43" t="s">
        <v>5002</v>
      </c>
      <c r="N1090" s="255">
        <v>260000</v>
      </c>
      <c r="O1090" s="265">
        <v>55</v>
      </c>
      <c r="P1090" s="270">
        <v>1</v>
      </c>
      <c r="Q1090" s="255">
        <v>143000</v>
      </c>
      <c r="R1090" s="283">
        <v>143000</v>
      </c>
      <c r="S1090" s="283">
        <v>43155</v>
      </c>
      <c r="T1090" s="287">
        <v>1</v>
      </c>
      <c r="U1090" s="287">
        <v>0</v>
      </c>
      <c r="V1090" s="287">
        <v>0</v>
      </c>
      <c r="W1090" s="283">
        <v>0</v>
      </c>
      <c r="X1090" s="283">
        <v>0</v>
      </c>
      <c r="Y1090" s="199" t="s">
        <v>1395</v>
      </c>
      <c r="Z1090" s="517" t="s">
        <v>5532</v>
      </c>
      <c r="AA1090" s="493" t="s">
        <v>1485</v>
      </c>
      <c r="AB1090" s="507"/>
    </row>
    <row r="1091" spans="2:28" x14ac:dyDescent="0.15">
      <c r="B1091" s="477" t="s">
        <v>4951</v>
      </c>
      <c r="C1091" s="531">
        <v>43405</v>
      </c>
      <c r="D1091" s="374" t="s">
        <v>4955</v>
      </c>
      <c r="E1091" s="201" t="s">
        <v>1391</v>
      </c>
      <c r="F1091" s="374" t="s">
        <v>4014</v>
      </c>
      <c r="G1091" s="202" t="s">
        <v>370</v>
      </c>
      <c r="H1091" s="201" t="s">
        <v>1134</v>
      </c>
      <c r="I1091" s="202" t="s">
        <v>1393</v>
      </c>
      <c r="J1091" s="202" t="s">
        <v>268</v>
      </c>
      <c r="K1091" s="202" t="s">
        <v>1158</v>
      </c>
      <c r="L1091" s="202" t="s">
        <v>4810</v>
      </c>
      <c r="M1091" s="474" t="s">
        <v>4952</v>
      </c>
      <c r="N1091" s="255">
        <v>130000</v>
      </c>
      <c r="O1091" s="265">
        <v>100</v>
      </c>
      <c r="P1091" s="270">
        <v>1</v>
      </c>
      <c r="Q1091" s="255">
        <v>130000</v>
      </c>
      <c r="R1091" s="283">
        <v>130000</v>
      </c>
      <c r="S1091" s="283">
        <v>41546</v>
      </c>
      <c r="T1091" s="287">
        <v>0</v>
      </c>
      <c r="U1091" s="287">
        <v>1</v>
      </c>
      <c r="V1091" s="287">
        <v>0</v>
      </c>
      <c r="W1091" s="283">
        <v>15000</v>
      </c>
      <c r="X1091" s="283">
        <v>0</v>
      </c>
      <c r="Y1091" s="199" t="s">
        <v>1392</v>
      </c>
      <c r="Z1091" s="517" t="s">
        <v>5167</v>
      </c>
      <c r="AA1091" s="493"/>
      <c r="AB1091" s="507"/>
    </row>
    <row r="1092" spans="2:28" x14ac:dyDescent="0.15">
      <c r="B1092" s="333" t="s">
        <v>5003</v>
      </c>
      <c r="C1092" s="528">
        <v>43405</v>
      </c>
      <c r="D1092" s="198" t="s">
        <v>5004</v>
      </c>
      <c r="E1092" s="53" t="s">
        <v>1391</v>
      </c>
      <c r="F1092" s="198" t="s">
        <v>3955</v>
      </c>
      <c r="G1092" s="3" t="s">
        <v>1421</v>
      </c>
      <c r="H1092" s="53" t="s">
        <v>3478</v>
      </c>
      <c r="I1092" s="3" t="s">
        <v>3479</v>
      </c>
      <c r="J1092" s="4" t="s">
        <v>271</v>
      </c>
      <c r="K1092" s="4" t="s">
        <v>1160</v>
      </c>
      <c r="L1092" s="4" t="s">
        <v>1594</v>
      </c>
      <c r="M1092" s="43" t="s">
        <v>5005</v>
      </c>
      <c r="N1092" s="255">
        <v>358000</v>
      </c>
      <c r="O1092" s="265">
        <v>55</v>
      </c>
      <c r="P1092" s="270">
        <v>1</v>
      </c>
      <c r="Q1092" s="255">
        <v>196900</v>
      </c>
      <c r="R1092" s="283">
        <v>196900</v>
      </c>
      <c r="S1092" s="283">
        <v>68166</v>
      </c>
      <c r="T1092" s="287">
        <v>1</v>
      </c>
      <c r="U1092" s="287">
        <v>0</v>
      </c>
      <c r="V1092" s="287">
        <v>0</v>
      </c>
      <c r="W1092" s="283">
        <v>0</v>
      </c>
      <c r="X1092" s="283">
        <v>0</v>
      </c>
      <c r="Y1092" s="199" t="s">
        <v>1395</v>
      </c>
      <c r="Z1092" s="517" t="s">
        <v>5546</v>
      </c>
      <c r="AA1092" s="493" t="s">
        <v>1485</v>
      </c>
      <c r="AB1092" s="507"/>
    </row>
    <row r="1093" spans="2:28" x14ac:dyDescent="0.15">
      <c r="B1093" s="333" t="s">
        <v>5006</v>
      </c>
      <c r="C1093" s="528">
        <v>43405</v>
      </c>
      <c r="D1093" s="198" t="s">
        <v>5007</v>
      </c>
      <c r="E1093" s="53" t="s">
        <v>1391</v>
      </c>
      <c r="F1093" s="198" t="s">
        <v>3955</v>
      </c>
      <c r="G1093" s="3" t="s">
        <v>1421</v>
      </c>
      <c r="H1093" s="53" t="s">
        <v>3478</v>
      </c>
      <c r="I1093" s="3" t="s">
        <v>3479</v>
      </c>
      <c r="J1093" s="4" t="s">
        <v>271</v>
      </c>
      <c r="K1093" s="4" t="s">
        <v>1160</v>
      </c>
      <c r="L1093" s="4" t="s">
        <v>1642</v>
      </c>
      <c r="M1093" s="43" t="s">
        <v>5008</v>
      </c>
      <c r="N1093" s="255">
        <v>358000</v>
      </c>
      <c r="O1093" s="265">
        <v>55</v>
      </c>
      <c r="P1093" s="270">
        <v>1</v>
      </c>
      <c r="Q1093" s="255">
        <v>196900</v>
      </c>
      <c r="R1093" s="283">
        <v>196900</v>
      </c>
      <c r="S1093" s="283">
        <v>68166</v>
      </c>
      <c r="T1093" s="287">
        <v>1</v>
      </c>
      <c r="U1093" s="287">
        <v>0</v>
      </c>
      <c r="V1093" s="287">
        <v>0</v>
      </c>
      <c r="W1093" s="283">
        <v>0</v>
      </c>
      <c r="X1093" s="283">
        <v>0</v>
      </c>
      <c r="Y1093" s="199" t="s">
        <v>1395</v>
      </c>
      <c r="Z1093" s="517" t="s">
        <v>5449</v>
      </c>
      <c r="AA1093" s="493" t="s">
        <v>1485</v>
      </c>
      <c r="AB1093" s="507"/>
    </row>
    <row r="1094" spans="2:28" x14ac:dyDescent="0.15">
      <c r="B1094" s="333" t="s">
        <v>5013</v>
      </c>
      <c r="C1094" s="528">
        <v>43405</v>
      </c>
      <c r="D1094" s="198" t="s">
        <v>5014</v>
      </c>
      <c r="E1094" s="53" t="s">
        <v>1391</v>
      </c>
      <c r="F1094" s="198" t="s">
        <v>4014</v>
      </c>
      <c r="G1094" s="3" t="s">
        <v>370</v>
      </c>
      <c r="H1094" s="53" t="s">
        <v>5009</v>
      </c>
      <c r="I1094" s="3" t="s">
        <v>5011</v>
      </c>
      <c r="J1094" s="4" t="s">
        <v>298</v>
      </c>
      <c r="K1094" s="4" t="s">
        <v>1168</v>
      </c>
      <c r="L1094" s="4" t="s">
        <v>1412</v>
      </c>
      <c r="M1094" s="43"/>
      <c r="N1094" s="255">
        <v>2400</v>
      </c>
      <c r="O1094" s="265">
        <v>65</v>
      </c>
      <c r="P1094" s="270">
        <v>1</v>
      </c>
      <c r="Q1094" s="255">
        <v>1560</v>
      </c>
      <c r="R1094" s="283">
        <v>1560</v>
      </c>
      <c r="S1094" s="283">
        <v>760</v>
      </c>
      <c r="T1094" s="287">
        <v>0</v>
      </c>
      <c r="U1094" s="287">
        <v>0</v>
      </c>
      <c r="V1094" s="287">
        <v>0</v>
      </c>
      <c r="W1094" s="283">
        <v>0</v>
      </c>
      <c r="X1094" s="283">
        <v>0</v>
      </c>
      <c r="Y1094" s="199" t="s">
        <v>1395</v>
      </c>
      <c r="Z1094" s="517" t="s">
        <v>5449</v>
      </c>
      <c r="AA1094" s="493" t="s">
        <v>1485</v>
      </c>
      <c r="AB1094" s="507"/>
    </row>
    <row r="1095" spans="2:28" x14ac:dyDescent="0.15">
      <c r="B1095" s="333" t="s">
        <v>5013</v>
      </c>
      <c r="C1095" s="528">
        <v>43405</v>
      </c>
      <c r="D1095" s="198" t="s">
        <v>5014</v>
      </c>
      <c r="E1095" s="53" t="s">
        <v>1391</v>
      </c>
      <c r="F1095" s="198" t="s">
        <v>4014</v>
      </c>
      <c r="G1095" s="3" t="s">
        <v>370</v>
      </c>
      <c r="H1095" s="53" t="s">
        <v>5009</v>
      </c>
      <c r="I1095" s="3" t="s">
        <v>5011</v>
      </c>
      <c r="J1095" s="4"/>
      <c r="K1095" s="4"/>
      <c r="L1095" s="4" t="s">
        <v>1520</v>
      </c>
      <c r="M1095" s="43"/>
      <c r="N1095" s="255">
        <v>600</v>
      </c>
      <c r="O1095" s="265">
        <v>100</v>
      </c>
      <c r="P1095" s="270">
        <v>1</v>
      </c>
      <c r="Q1095" s="255">
        <v>600</v>
      </c>
      <c r="R1095" s="283">
        <v>600</v>
      </c>
      <c r="S1095" s="283">
        <v>0</v>
      </c>
      <c r="T1095" s="287">
        <v>0</v>
      </c>
      <c r="U1095" s="287">
        <v>0</v>
      </c>
      <c r="V1095" s="287">
        <v>0</v>
      </c>
      <c r="W1095" s="283">
        <v>0</v>
      </c>
      <c r="X1095" s="283">
        <v>0</v>
      </c>
      <c r="Y1095" s="199" t="s">
        <v>5015</v>
      </c>
      <c r="Z1095" s="517" t="s">
        <v>5449</v>
      </c>
      <c r="AA1095" s="493" t="s">
        <v>1485</v>
      </c>
      <c r="AB1095" s="507"/>
    </row>
    <row r="1096" spans="2:28" x14ac:dyDescent="0.15">
      <c r="B1096" s="333" t="s">
        <v>5016</v>
      </c>
      <c r="C1096" s="528">
        <v>43405</v>
      </c>
      <c r="D1096" s="198" t="s">
        <v>5017</v>
      </c>
      <c r="E1096" s="53" t="s">
        <v>1391</v>
      </c>
      <c r="F1096" s="198" t="s">
        <v>3783</v>
      </c>
      <c r="G1096" s="3" t="s">
        <v>362</v>
      </c>
      <c r="H1096" s="53" t="s">
        <v>695</v>
      </c>
      <c r="I1096" s="3" t="s">
        <v>1506</v>
      </c>
      <c r="J1096" s="4" t="s">
        <v>262</v>
      </c>
      <c r="K1096" s="4" t="s">
        <v>365</v>
      </c>
      <c r="L1096" s="4" t="s">
        <v>1690</v>
      </c>
      <c r="M1096" s="43" t="s">
        <v>5018</v>
      </c>
      <c r="N1096" s="255">
        <v>260000</v>
      </c>
      <c r="O1096" s="265">
        <v>55</v>
      </c>
      <c r="P1096" s="270">
        <v>1</v>
      </c>
      <c r="Q1096" s="255">
        <v>143000</v>
      </c>
      <c r="R1096" s="283">
        <v>143000</v>
      </c>
      <c r="S1096" s="283">
        <v>53845</v>
      </c>
      <c r="T1096" s="287">
        <v>1</v>
      </c>
      <c r="U1096" s="287">
        <v>0</v>
      </c>
      <c r="V1096" s="287">
        <v>0</v>
      </c>
      <c r="W1096" s="283">
        <v>0</v>
      </c>
      <c r="X1096" s="283">
        <v>0</v>
      </c>
      <c r="Y1096" s="199" t="s">
        <v>1395</v>
      </c>
      <c r="Z1096" s="517" t="s">
        <v>5166</v>
      </c>
      <c r="AA1096" s="493" t="s">
        <v>1485</v>
      </c>
      <c r="AB1096" s="507"/>
    </row>
    <row r="1097" spans="2:28" x14ac:dyDescent="0.15">
      <c r="B1097" s="333" t="s">
        <v>4986</v>
      </c>
      <c r="C1097" s="528">
        <v>43406</v>
      </c>
      <c r="D1097" s="198" t="s">
        <v>4987</v>
      </c>
      <c r="E1097" s="53" t="s">
        <v>1396</v>
      </c>
      <c r="F1097" s="198" t="s">
        <v>3784</v>
      </c>
      <c r="G1097" s="3" t="s">
        <v>1110</v>
      </c>
      <c r="H1097" s="53" t="s">
        <v>801</v>
      </c>
      <c r="I1097" s="3" t="s">
        <v>1920</v>
      </c>
      <c r="J1097" s="4" t="s">
        <v>268</v>
      </c>
      <c r="K1097" s="4" t="s">
        <v>1158</v>
      </c>
      <c r="L1097" s="4" t="s">
        <v>5019</v>
      </c>
      <c r="M1097" s="43" t="s">
        <v>5020</v>
      </c>
      <c r="N1097" s="255">
        <v>130000</v>
      </c>
      <c r="O1097" s="265">
        <v>100</v>
      </c>
      <c r="P1097" s="270">
        <v>1</v>
      </c>
      <c r="Q1097" s="255">
        <v>130000</v>
      </c>
      <c r="R1097" s="283">
        <v>130000</v>
      </c>
      <c r="S1097" s="283">
        <v>41546</v>
      </c>
      <c r="T1097" s="287">
        <v>0</v>
      </c>
      <c r="U1097" s="287">
        <v>1</v>
      </c>
      <c r="V1097" s="287">
        <v>0</v>
      </c>
      <c r="W1097" s="283">
        <v>15000</v>
      </c>
      <c r="X1097" s="283">
        <v>0</v>
      </c>
      <c r="Y1097" s="199" t="s">
        <v>1392</v>
      </c>
      <c r="Z1097" s="517" t="s">
        <v>5449</v>
      </c>
      <c r="AA1097" s="493" t="s">
        <v>1485</v>
      </c>
      <c r="AB1097" s="507"/>
    </row>
    <row r="1098" spans="2:28" x14ac:dyDescent="0.15">
      <c r="B1098" s="333" t="s">
        <v>4990</v>
      </c>
      <c r="C1098" s="528">
        <v>43406</v>
      </c>
      <c r="D1098" s="198" t="s">
        <v>4991</v>
      </c>
      <c r="E1098" s="53" t="s">
        <v>1396</v>
      </c>
      <c r="F1098" s="198" t="s">
        <v>3784</v>
      </c>
      <c r="G1098" s="3" t="s">
        <v>1110</v>
      </c>
      <c r="H1098" s="53" t="s">
        <v>802</v>
      </c>
      <c r="I1098" s="3" t="s">
        <v>1417</v>
      </c>
      <c r="J1098" s="4" t="s">
        <v>268</v>
      </c>
      <c r="K1098" s="4" t="s">
        <v>1158</v>
      </c>
      <c r="L1098" s="4" t="s">
        <v>5019</v>
      </c>
      <c r="M1098" s="43" t="s">
        <v>5021</v>
      </c>
      <c r="N1098" s="255">
        <v>130000</v>
      </c>
      <c r="O1098" s="265">
        <v>100</v>
      </c>
      <c r="P1098" s="270">
        <v>1</v>
      </c>
      <c r="Q1098" s="255">
        <v>130000</v>
      </c>
      <c r="R1098" s="283">
        <v>130000</v>
      </c>
      <c r="S1098" s="283">
        <v>41546</v>
      </c>
      <c r="T1098" s="287">
        <v>0</v>
      </c>
      <c r="U1098" s="287">
        <v>1</v>
      </c>
      <c r="V1098" s="287">
        <v>0</v>
      </c>
      <c r="W1098" s="283">
        <v>15000</v>
      </c>
      <c r="X1098" s="283">
        <v>0</v>
      </c>
      <c r="Y1098" s="199" t="s">
        <v>1392</v>
      </c>
      <c r="Z1098" s="517" t="s">
        <v>5535</v>
      </c>
      <c r="AA1098" s="493" t="s">
        <v>1485</v>
      </c>
      <c r="AB1098" s="507"/>
    </row>
    <row r="1099" spans="2:28" x14ac:dyDescent="0.15">
      <c r="B1099" s="333" t="s">
        <v>4993</v>
      </c>
      <c r="C1099" s="528">
        <v>43406</v>
      </c>
      <c r="D1099" s="198" t="s">
        <v>4994</v>
      </c>
      <c r="E1099" s="53" t="s">
        <v>1396</v>
      </c>
      <c r="F1099" s="198" t="s">
        <v>3784</v>
      </c>
      <c r="G1099" s="3" t="s">
        <v>1110</v>
      </c>
      <c r="H1099" s="53" t="s">
        <v>801</v>
      </c>
      <c r="I1099" s="3" t="s">
        <v>1920</v>
      </c>
      <c r="J1099" s="4" t="s">
        <v>268</v>
      </c>
      <c r="K1099" s="4" t="s">
        <v>1158</v>
      </c>
      <c r="L1099" s="4" t="s">
        <v>5022</v>
      </c>
      <c r="M1099" s="43" t="s">
        <v>5023</v>
      </c>
      <c r="N1099" s="255">
        <v>130000</v>
      </c>
      <c r="O1099" s="265">
        <v>100</v>
      </c>
      <c r="P1099" s="270">
        <v>1</v>
      </c>
      <c r="Q1099" s="255">
        <v>130000</v>
      </c>
      <c r="R1099" s="283">
        <v>130000</v>
      </c>
      <c r="S1099" s="283">
        <v>41546</v>
      </c>
      <c r="T1099" s="287">
        <v>0</v>
      </c>
      <c r="U1099" s="287">
        <v>1</v>
      </c>
      <c r="V1099" s="287">
        <v>0</v>
      </c>
      <c r="W1099" s="283">
        <v>15000</v>
      </c>
      <c r="X1099" s="283">
        <v>0</v>
      </c>
      <c r="Y1099" s="199" t="s">
        <v>1392</v>
      </c>
      <c r="Z1099" s="517" t="s">
        <v>5533</v>
      </c>
      <c r="AA1099" s="493" t="s">
        <v>1485</v>
      </c>
      <c r="AB1099" s="507"/>
    </row>
    <row r="1100" spans="2:28" x14ac:dyDescent="0.15">
      <c r="B1100" s="333" t="s">
        <v>4997</v>
      </c>
      <c r="C1100" s="528">
        <v>43406</v>
      </c>
      <c r="D1100" s="198" t="s">
        <v>4998</v>
      </c>
      <c r="E1100" s="53" t="s">
        <v>1396</v>
      </c>
      <c r="F1100" s="198" t="s">
        <v>3784</v>
      </c>
      <c r="G1100" s="3" t="s">
        <v>1110</v>
      </c>
      <c r="H1100" s="53" t="s">
        <v>802</v>
      </c>
      <c r="I1100" s="3" t="s">
        <v>1417</v>
      </c>
      <c r="J1100" s="4" t="s">
        <v>268</v>
      </c>
      <c r="K1100" s="4" t="s">
        <v>1158</v>
      </c>
      <c r="L1100" s="4" t="s">
        <v>5022</v>
      </c>
      <c r="M1100" s="43" t="s">
        <v>5024</v>
      </c>
      <c r="N1100" s="255">
        <v>130000</v>
      </c>
      <c r="O1100" s="265">
        <v>100</v>
      </c>
      <c r="P1100" s="270">
        <v>1</v>
      </c>
      <c r="Q1100" s="255">
        <v>130000</v>
      </c>
      <c r="R1100" s="283">
        <v>130000</v>
      </c>
      <c r="S1100" s="283">
        <v>41546</v>
      </c>
      <c r="T1100" s="287">
        <v>0</v>
      </c>
      <c r="U1100" s="287">
        <v>1</v>
      </c>
      <c r="V1100" s="287">
        <v>0</v>
      </c>
      <c r="W1100" s="283">
        <v>15000</v>
      </c>
      <c r="X1100" s="283">
        <v>0</v>
      </c>
      <c r="Y1100" s="199" t="s">
        <v>1392</v>
      </c>
      <c r="Z1100" s="517" t="s">
        <v>5167</v>
      </c>
      <c r="AA1100" s="493" t="s">
        <v>1485</v>
      </c>
      <c r="AB1100" s="507"/>
    </row>
    <row r="1101" spans="2:28" x14ac:dyDescent="0.15">
      <c r="B1101" s="333" t="s">
        <v>5000</v>
      </c>
      <c r="C1101" s="528">
        <v>43406</v>
      </c>
      <c r="D1101" s="198" t="s">
        <v>5001</v>
      </c>
      <c r="E1101" s="53" t="s">
        <v>1396</v>
      </c>
      <c r="F1101" s="198" t="s">
        <v>3784</v>
      </c>
      <c r="G1101" s="3" t="s">
        <v>1110</v>
      </c>
      <c r="H1101" s="53" t="s">
        <v>801</v>
      </c>
      <c r="I1101" s="3" t="s">
        <v>1920</v>
      </c>
      <c r="J1101" s="4" t="s">
        <v>268</v>
      </c>
      <c r="K1101" s="4" t="s">
        <v>1158</v>
      </c>
      <c r="L1101" s="4" t="s">
        <v>4810</v>
      </c>
      <c r="M1101" s="43" t="s">
        <v>5025</v>
      </c>
      <c r="N1101" s="255">
        <v>130000</v>
      </c>
      <c r="O1101" s="265">
        <v>100</v>
      </c>
      <c r="P1101" s="270">
        <v>1</v>
      </c>
      <c r="Q1101" s="255">
        <v>130000</v>
      </c>
      <c r="R1101" s="283">
        <v>130000</v>
      </c>
      <c r="S1101" s="283">
        <v>41546</v>
      </c>
      <c r="T1101" s="287">
        <v>0</v>
      </c>
      <c r="U1101" s="287">
        <v>1</v>
      </c>
      <c r="V1101" s="287">
        <v>0</v>
      </c>
      <c r="W1101" s="283">
        <v>15000</v>
      </c>
      <c r="X1101" s="283">
        <v>0</v>
      </c>
      <c r="Y1101" s="199" t="s">
        <v>1392</v>
      </c>
      <c r="Z1101" s="517" t="s">
        <v>5449</v>
      </c>
      <c r="AA1101" s="493" t="s">
        <v>1485</v>
      </c>
      <c r="AB1101" s="507"/>
    </row>
    <row r="1102" spans="2:28" x14ac:dyDescent="0.15">
      <c r="B1102" s="333" t="s">
        <v>5003</v>
      </c>
      <c r="C1102" s="528">
        <v>43406</v>
      </c>
      <c r="D1102" s="198" t="s">
        <v>5004</v>
      </c>
      <c r="E1102" s="53" t="s">
        <v>1396</v>
      </c>
      <c r="F1102" s="198" t="s">
        <v>3784</v>
      </c>
      <c r="G1102" s="3" t="s">
        <v>1110</v>
      </c>
      <c r="H1102" s="53" t="s">
        <v>802</v>
      </c>
      <c r="I1102" s="3" t="s">
        <v>1417</v>
      </c>
      <c r="J1102" s="4" t="s">
        <v>268</v>
      </c>
      <c r="K1102" s="4" t="s">
        <v>1158</v>
      </c>
      <c r="L1102" s="4" t="s">
        <v>4810</v>
      </c>
      <c r="M1102" s="43" t="s">
        <v>5026</v>
      </c>
      <c r="N1102" s="255">
        <v>130000</v>
      </c>
      <c r="O1102" s="265">
        <v>100</v>
      </c>
      <c r="P1102" s="270">
        <v>1</v>
      </c>
      <c r="Q1102" s="255">
        <v>130000</v>
      </c>
      <c r="R1102" s="283">
        <v>130000</v>
      </c>
      <c r="S1102" s="283">
        <v>41546</v>
      </c>
      <c r="T1102" s="287">
        <v>0</v>
      </c>
      <c r="U1102" s="287">
        <v>1</v>
      </c>
      <c r="V1102" s="287">
        <v>0</v>
      </c>
      <c r="W1102" s="283">
        <v>15000</v>
      </c>
      <c r="X1102" s="283">
        <v>0</v>
      </c>
      <c r="Y1102" s="199" t="s">
        <v>1392</v>
      </c>
      <c r="Z1102" s="517" t="s">
        <v>5167</v>
      </c>
      <c r="AA1102" s="493" t="s">
        <v>1485</v>
      </c>
      <c r="AB1102" s="507"/>
    </row>
    <row r="1103" spans="2:28" x14ac:dyDescent="0.15">
      <c r="B1103" s="333" t="s">
        <v>5006</v>
      </c>
      <c r="C1103" s="528">
        <v>43406</v>
      </c>
      <c r="D1103" s="198" t="s">
        <v>5007</v>
      </c>
      <c r="E1103" s="53" t="s">
        <v>1396</v>
      </c>
      <c r="F1103" s="198" t="s">
        <v>3784</v>
      </c>
      <c r="G1103" s="3" t="s">
        <v>1110</v>
      </c>
      <c r="H1103" s="53" t="s">
        <v>801</v>
      </c>
      <c r="I1103" s="3" t="s">
        <v>1920</v>
      </c>
      <c r="J1103" s="4" t="s">
        <v>268</v>
      </c>
      <c r="K1103" s="4" t="s">
        <v>1158</v>
      </c>
      <c r="L1103" s="4" t="s">
        <v>5022</v>
      </c>
      <c r="M1103" s="43" t="s">
        <v>5027</v>
      </c>
      <c r="N1103" s="255">
        <v>130000</v>
      </c>
      <c r="O1103" s="265">
        <v>100</v>
      </c>
      <c r="P1103" s="270">
        <v>1</v>
      </c>
      <c r="Q1103" s="255">
        <v>130000</v>
      </c>
      <c r="R1103" s="283">
        <v>130000</v>
      </c>
      <c r="S1103" s="283">
        <v>41546</v>
      </c>
      <c r="T1103" s="287">
        <v>0</v>
      </c>
      <c r="U1103" s="287">
        <v>1</v>
      </c>
      <c r="V1103" s="287">
        <v>0</v>
      </c>
      <c r="W1103" s="283">
        <v>15000</v>
      </c>
      <c r="X1103" s="283">
        <v>0</v>
      </c>
      <c r="Y1103" s="199" t="s">
        <v>1392</v>
      </c>
      <c r="Z1103" s="517" t="s">
        <v>5449</v>
      </c>
      <c r="AA1103" s="493" t="s">
        <v>1485</v>
      </c>
      <c r="AB1103" s="507"/>
    </row>
    <row r="1104" spans="2:28" x14ac:dyDescent="0.15">
      <c r="B1104" s="333" t="s">
        <v>5035</v>
      </c>
      <c r="C1104" s="528">
        <v>43406</v>
      </c>
      <c r="D1104" s="198" t="s">
        <v>5036</v>
      </c>
      <c r="E1104" s="53" t="s">
        <v>1396</v>
      </c>
      <c r="F1104" s="198" t="s">
        <v>3784</v>
      </c>
      <c r="G1104" s="3" t="s">
        <v>1110</v>
      </c>
      <c r="H1104" s="53" t="s">
        <v>803</v>
      </c>
      <c r="I1104" s="3" t="s">
        <v>1542</v>
      </c>
      <c r="J1104" s="4" t="s">
        <v>268</v>
      </c>
      <c r="K1104" s="4" t="s">
        <v>1158</v>
      </c>
      <c r="L1104" s="4" t="s">
        <v>4810</v>
      </c>
      <c r="M1104" s="43" t="s">
        <v>5037</v>
      </c>
      <c r="N1104" s="255">
        <v>130000</v>
      </c>
      <c r="O1104" s="265">
        <v>100</v>
      </c>
      <c r="P1104" s="270">
        <v>1</v>
      </c>
      <c r="Q1104" s="255">
        <v>130000</v>
      </c>
      <c r="R1104" s="283">
        <v>130000</v>
      </c>
      <c r="S1104" s="283">
        <v>56546</v>
      </c>
      <c r="T1104" s="287">
        <v>1</v>
      </c>
      <c r="U1104" s="287">
        <v>0</v>
      </c>
      <c r="V1104" s="287">
        <v>0</v>
      </c>
      <c r="W1104" s="283">
        <v>0</v>
      </c>
      <c r="X1104" s="283">
        <v>0</v>
      </c>
      <c r="Y1104" s="199" t="s">
        <v>1395</v>
      </c>
      <c r="Z1104" s="517" t="s">
        <v>5449</v>
      </c>
      <c r="AA1104" s="493" t="s">
        <v>1485</v>
      </c>
      <c r="AB1104" s="507"/>
    </row>
    <row r="1105" spans="2:30" x14ac:dyDescent="0.15">
      <c r="B1105" s="333" t="s">
        <v>5035</v>
      </c>
      <c r="C1105" s="528">
        <v>43406</v>
      </c>
      <c r="D1105" s="198" t="s">
        <v>5036</v>
      </c>
      <c r="E1105" s="53" t="s">
        <v>1396</v>
      </c>
      <c r="F1105" s="198" t="s">
        <v>3784</v>
      </c>
      <c r="G1105" s="3" t="s">
        <v>1110</v>
      </c>
      <c r="H1105" s="53" t="s">
        <v>803</v>
      </c>
      <c r="I1105" s="3" t="s">
        <v>1542</v>
      </c>
      <c r="J1105" s="4" t="s">
        <v>268</v>
      </c>
      <c r="K1105" s="4" t="s">
        <v>1158</v>
      </c>
      <c r="L1105" s="4" t="s">
        <v>5019</v>
      </c>
      <c r="M1105" s="43" t="s">
        <v>5038</v>
      </c>
      <c r="N1105" s="255">
        <v>130000</v>
      </c>
      <c r="O1105" s="265">
        <v>100</v>
      </c>
      <c r="P1105" s="270">
        <v>1</v>
      </c>
      <c r="Q1105" s="255">
        <v>130000</v>
      </c>
      <c r="R1105" s="283">
        <v>130000</v>
      </c>
      <c r="S1105" s="283">
        <v>56546</v>
      </c>
      <c r="T1105" s="287">
        <v>1</v>
      </c>
      <c r="U1105" s="287">
        <v>0</v>
      </c>
      <c r="V1105" s="287">
        <v>0</v>
      </c>
      <c r="W1105" s="283">
        <v>0</v>
      </c>
      <c r="X1105" s="283">
        <v>0</v>
      </c>
      <c r="Y1105" s="199" t="s">
        <v>1395</v>
      </c>
      <c r="Z1105" s="517" t="s">
        <v>5449</v>
      </c>
      <c r="AA1105" s="493" t="s">
        <v>1485</v>
      </c>
      <c r="AB1105" s="507"/>
    </row>
    <row r="1106" spans="2:30" x14ac:dyDescent="0.15">
      <c r="B1106" s="333" t="s">
        <v>5035</v>
      </c>
      <c r="C1106" s="528">
        <v>43406</v>
      </c>
      <c r="D1106" s="198" t="s">
        <v>5036</v>
      </c>
      <c r="E1106" s="53" t="s">
        <v>1396</v>
      </c>
      <c r="F1106" s="198" t="s">
        <v>3784</v>
      </c>
      <c r="G1106" s="3" t="s">
        <v>1110</v>
      </c>
      <c r="H1106" s="53" t="s">
        <v>803</v>
      </c>
      <c r="I1106" s="3" t="s">
        <v>1542</v>
      </c>
      <c r="J1106" s="4" t="s">
        <v>268</v>
      </c>
      <c r="K1106" s="4" t="s">
        <v>1158</v>
      </c>
      <c r="L1106" s="4" t="s">
        <v>5022</v>
      </c>
      <c r="M1106" s="43" t="s">
        <v>5039</v>
      </c>
      <c r="N1106" s="255">
        <v>130000</v>
      </c>
      <c r="O1106" s="265">
        <v>100</v>
      </c>
      <c r="P1106" s="270">
        <v>1</v>
      </c>
      <c r="Q1106" s="255">
        <v>130000</v>
      </c>
      <c r="R1106" s="283">
        <v>130000</v>
      </c>
      <c r="S1106" s="283">
        <v>56546</v>
      </c>
      <c r="T1106" s="287">
        <v>1</v>
      </c>
      <c r="U1106" s="287">
        <v>0</v>
      </c>
      <c r="V1106" s="287">
        <v>0</v>
      </c>
      <c r="W1106" s="283">
        <v>0</v>
      </c>
      <c r="X1106" s="283">
        <v>0</v>
      </c>
      <c r="Y1106" s="199" t="s">
        <v>1395</v>
      </c>
      <c r="Z1106" s="517" t="s">
        <v>5533</v>
      </c>
      <c r="AA1106" s="493" t="s">
        <v>1485</v>
      </c>
      <c r="AB1106" s="507"/>
    </row>
    <row r="1107" spans="2:30" x14ac:dyDescent="0.15">
      <c r="B1107" s="333" t="s">
        <v>5040</v>
      </c>
      <c r="C1107" s="528">
        <v>43410</v>
      </c>
      <c r="D1107" s="198" t="s">
        <v>5041</v>
      </c>
      <c r="E1107" s="53" t="s">
        <v>1391</v>
      </c>
      <c r="F1107" s="198" t="s">
        <v>3786</v>
      </c>
      <c r="G1107" s="3" t="s">
        <v>364</v>
      </c>
      <c r="H1107" s="53" t="s">
        <v>518</v>
      </c>
      <c r="I1107" s="3" t="s">
        <v>2759</v>
      </c>
      <c r="J1107" s="4" t="s">
        <v>262</v>
      </c>
      <c r="K1107" s="4" t="s">
        <v>365</v>
      </c>
      <c r="L1107" s="4" t="s">
        <v>3735</v>
      </c>
      <c r="M1107" s="43" t="s">
        <v>5042</v>
      </c>
      <c r="N1107" s="255">
        <v>130000</v>
      </c>
      <c r="O1107" s="265">
        <v>100</v>
      </c>
      <c r="P1107" s="270">
        <v>1</v>
      </c>
      <c r="Q1107" s="255">
        <v>130000</v>
      </c>
      <c r="R1107" s="283">
        <v>130000</v>
      </c>
      <c r="S1107" s="283">
        <v>52820</v>
      </c>
      <c r="T1107" s="287">
        <v>1</v>
      </c>
      <c r="U1107" s="287">
        <v>0</v>
      </c>
      <c r="V1107" s="287">
        <v>0</v>
      </c>
      <c r="W1107" s="283">
        <v>0</v>
      </c>
      <c r="X1107" s="283">
        <v>0</v>
      </c>
      <c r="Y1107" s="199" t="s">
        <v>1395</v>
      </c>
      <c r="Z1107" s="517" t="s">
        <v>5170</v>
      </c>
      <c r="AA1107" s="493" t="s">
        <v>1485</v>
      </c>
      <c r="AB1107" s="507"/>
    </row>
    <row r="1108" spans="2:30" x14ac:dyDescent="0.15">
      <c r="B1108" s="327" t="s">
        <v>5043</v>
      </c>
      <c r="C1108" s="527">
        <v>43411</v>
      </c>
      <c r="D1108" s="191" t="s">
        <v>5044</v>
      </c>
      <c r="E1108" s="43" t="s">
        <v>1396</v>
      </c>
      <c r="F1108" s="191" t="s">
        <v>3789</v>
      </c>
      <c r="G1108" s="4" t="s">
        <v>368</v>
      </c>
      <c r="H1108" s="43" t="s">
        <v>792</v>
      </c>
      <c r="I1108" s="4" t="s">
        <v>1413</v>
      </c>
      <c r="J1108" s="4" t="s">
        <v>262</v>
      </c>
      <c r="K1108" s="4" t="s">
        <v>365</v>
      </c>
      <c r="L1108" s="4" t="s">
        <v>5045</v>
      </c>
      <c r="M1108" s="43" t="s">
        <v>4000</v>
      </c>
      <c r="N1108" s="255">
        <v>195000</v>
      </c>
      <c r="O1108" s="265">
        <v>100</v>
      </c>
      <c r="P1108" s="270">
        <v>-1</v>
      </c>
      <c r="Q1108" s="255">
        <v>195000</v>
      </c>
      <c r="R1108" s="283">
        <v>-195000</v>
      </c>
      <c r="S1108" s="283">
        <v>-65822</v>
      </c>
      <c r="T1108" s="287">
        <v>0</v>
      </c>
      <c r="U1108" s="287">
        <v>-1</v>
      </c>
      <c r="V1108" s="287">
        <v>0</v>
      </c>
      <c r="W1108" s="283">
        <v>-22500</v>
      </c>
      <c r="X1108" s="283">
        <v>0</v>
      </c>
      <c r="Y1108" s="199" t="s">
        <v>1392</v>
      </c>
      <c r="Z1108" s="517" t="s">
        <v>5532</v>
      </c>
      <c r="AA1108" s="493"/>
      <c r="AB1108" s="507"/>
    </row>
    <row r="1109" spans="2:30" x14ac:dyDescent="0.15">
      <c r="B1109" s="327" t="s">
        <v>5046</v>
      </c>
      <c r="C1109" s="527">
        <v>43413</v>
      </c>
      <c r="D1109" s="191" t="s">
        <v>5047</v>
      </c>
      <c r="E1109" s="43" t="s">
        <v>1396</v>
      </c>
      <c r="F1109" s="191" t="s">
        <v>21</v>
      </c>
      <c r="G1109" s="4" t="s">
        <v>50</v>
      </c>
      <c r="H1109" s="43" t="s">
        <v>1434</v>
      </c>
      <c r="I1109" s="4" t="s">
        <v>1435</v>
      </c>
      <c r="J1109" s="4" t="s">
        <v>299</v>
      </c>
      <c r="K1109" s="4" t="s">
        <v>373</v>
      </c>
      <c r="L1109" s="4" t="s">
        <v>1861</v>
      </c>
      <c r="M1109" s="43"/>
      <c r="N1109" s="255">
        <v>3000</v>
      </c>
      <c r="O1109" s="265">
        <v>100</v>
      </c>
      <c r="P1109" s="270">
        <v>1</v>
      </c>
      <c r="Q1109" s="255">
        <v>3000</v>
      </c>
      <c r="R1109" s="283">
        <v>3000</v>
      </c>
      <c r="S1109" s="283">
        <v>1154</v>
      </c>
      <c r="T1109" s="287">
        <v>0</v>
      </c>
      <c r="U1109" s="287">
        <v>0</v>
      </c>
      <c r="V1109" s="287">
        <v>0</v>
      </c>
      <c r="W1109" s="283">
        <v>1846</v>
      </c>
      <c r="X1109" s="283">
        <v>0</v>
      </c>
      <c r="Y1109" s="199" t="s">
        <v>1392</v>
      </c>
      <c r="Z1109" s="517" t="s">
        <v>5167</v>
      </c>
      <c r="AA1109" s="493" t="s">
        <v>1485</v>
      </c>
      <c r="AB1109" s="507"/>
    </row>
    <row r="1110" spans="2:30" x14ac:dyDescent="0.15">
      <c r="B1110" s="327" t="s">
        <v>5046</v>
      </c>
      <c r="C1110" s="527">
        <v>43413</v>
      </c>
      <c r="D1110" s="191" t="s">
        <v>5047</v>
      </c>
      <c r="E1110" s="43" t="s">
        <v>1396</v>
      </c>
      <c r="F1110" s="191" t="s">
        <v>21</v>
      </c>
      <c r="G1110" s="4" t="s">
        <v>50</v>
      </c>
      <c r="H1110" s="43" t="s">
        <v>1434</v>
      </c>
      <c r="I1110" s="4" t="s">
        <v>1435</v>
      </c>
      <c r="J1110" s="4" t="s">
        <v>298</v>
      </c>
      <c r="K1110" s="4" t="s">
        <v>1168</v>
      </c>
      <c r="L1110" s="4" t="s">
        <v>4615</v>
      </c>
      <c r="M1110" s="43"/>
      <c r="N1110" s="255">
        <v>500</v>
      </c>
      <c r="O1110" s="265">
        <v>100</v>
      </c>
      <c r="P1110" s="270">
        <v>1</v>
      </c>
      <c r="Q1110" s="255">
        <v>500</v>
      </c>
      <c r="R1110" s="283">
        <v>500</v>
      </c>
      <c r="S1110" s="283">
        <v>0</v>
      </c>
      <c r="T1110" s="287">
        <v>0</v>
      </c>
      <c r="U1110" s="287">
        <v>0</v>
      </c>
      <c r="V1110" s="287">
        <v>0</v>
      </c>
      <c r="W1110" s="283">
        <v>57</v>
      </c>
      <c r="X1110" s="283">
        <v>0</v>
      </c>
      <c r="Y1110" s="199" t="s">
        <v>1392</v>
      </c>
      <c r="Z1110" s="517" t="s">
        <v>5167</v>
      </c>
      <c r="AA1110" s="493" t="s">
        <v>1485</v>
      </c>
      <c r="AB1110" s="507"/>
    </row>
    <row r="1111" spans="2:30" x14ac:dyDescent="0.15">
      <c r="B1111" s="327" t="s">
        <v>5046</v>
      </c>
      <c r="C1111" s="527">
        <v>43413</v>
      </c>
      <c r="D1111" s="191" t="s">
        <v>5047</v>
      </c>
      <c r="E1111" s="43" t="s">
        <v>1396</v>
      </c>
      <c r="F1111" s="191" t="s">
        <v>21</v>
      </c>
      <c r="G1111" s="4" t="s">
        <v>50</v>
      </c>
      <c r="H1111" s="43" t="s">
        <v>1434</v>
      </c>
      <c r="I1111" s="4" t="s">
        <v>1435</v>
      </c>
      <c r="J1111" s="4"/>
      <c r="K1111" s="4"/>
      <c r="L1111" s="4" t="s">
        <v>1520</v>
      </c>
      <c r="M1111" s="43"/>
      <c r="N1111" s="255">
        <v>700</v>
      </c>
      <c r="O1111" s="265">
        <v>100</v>
      </c>
      <c r="P1111" s="270">
        <v>1</v>
      </c>
      <c r="Q1111" s="255">
        <v>700</v>
      </c>
      <c r="R1111" s="283">
        <v>700</v>
      </c>
      <c r="S1111" s="283">
        <v>0</v>
      </c>
      <c r="T1111" s="287">
        <v>0</v>
      </c>
      <c r="U1111" s="287">
        <v>0</v>
      </c>
      <c r="V1111" s="287">
        <v>0</v>
      </c>
      <c r="W1111" s="283">
        <v>0</v>
      </c>
      <c r="X1111" s="283">
        <v>0</v>
      </c>
      <c r="Y1111" s="199" t="s">
        <v>5048</v>
      </c>
      <c r="Z1111" s="517" t="s">
        <v>5167</v>
      </c>
      <c r="AA1111" s="493" t="s">
        <v>1485</v>
      </c>
      <c r="AB1111" s="507"/>
    </row>
    <row r="1112" spans="2:30" x14ac:dyDescent="0.15">
      <c r="B1112" s="327" t="s">
        <v>5051</v>
      </c>
      <c r="C1112" s="527">
        <v>43417</v>
      </c>
      <c r="D1112" s="191" t="s">
        <v>5052</v>
      </c>
      <c r="E1112" s="43" t="s">
        <v>1391</v>
      </c>
      <c r="F1112" s="191" t="s">
        <v>3786</v>
      </c>
      <c r="G1112" s="4" t="s">
        <v>364</v>
      </c>
      <c r="H1112" s="43" t="s">
        <v>508</v>
      </c>
      <c r="I1112" s="4" t="s">
        <v>4343</v>
      </c>
      <c r="J1112" s="4" t="s">
        <v>268</v>
      </c>
      <c r="K1112" s="4" t="s">
        <v>1158</v>
      </c>
      <c r="L1112" s="4" t="s">
        <v>2084</v>
      </c>
      <c r="M1112" s="43" t="s">
        <v>5053</v>
      </c>
      <c r="N1112" s="255">
        <v>270000</v>
      </c>
      <c r="O1112" s="265">
        <v>60</v>
      </c>
      <c r="P1112" s="270">
        <v>1</v>
      </c>
      <c r="Q1112" s="255">
        <v>162000</v>
      </c>
      <c r="R1112" s="283">
        <v>162000</v>
      </c>
      <c r="S1112" s="283">
        <v>66929</v>
      </c>
      <c r="T1112" s="287">
        <v>1</v>
      </c>
      <c r="U1112" s="287">
        <v>0</v>
      </c>
      <c r="V1112" s="287">
        <v>0</v>
      </c>
      <c r="W1112" s="283">
        <v>0</v>
      </c>
      <c r="X1112" s="283">
        <v>0</v>
      </c>
      <c r="Y1112" s="199" t="s">
        <v>1395</v>
      </c>
      <c r="Z1112" s="517" t="s">
        <v>5534</v>
      </c>
      <c r="AA1112" s="493" t="s">
        <v>1485</v>
      </c>
      <c r="AB1112" s="507"/>
      <c r="AD1112" s="283"/>
    </row>
    <row r="1113" spans="2:30" x14ac:dyDescent="0.15">
      <c r="B1113" s="327" t="s">
        <v>5054</v>
      </c>
      <c r="C1113" s="527">
        <v>43417</v>
      </c>
      <c r="D1113" s="191" t="s">
        <v>5055</v>
      </c>
      <c r="E1113" s="43" t="s">
        <v>1391</v>
      </c>
      <c r="F1113" s="191" t="s">
        <v>3955</v>
      </c>
      <c r="G1113" s="4" t="s">
        <v>1421</v>
      </c>
      <c r="H1113" s="43" t="s">
        <v>3478</v>
      </c>
      <c r="I1113" s="4" t="s">
        <v>3479</v>
      </c>
      <c r="J1113" s="4" t="s">
        <v>268</v>
      </c>
      <c r="K1113" s="4" t="s">
        <v>1158</v>
      </c>
      <c r="L1113" s="4" t="s">
        <v>1949</v>
      </c>
      <c r="M1113" s="43" t="s">
        <v>5056</v>
      </c>
      <c r="N1113" s="255">
        <v>270000</v>
      </c>
      <c r="O1113" s="265">
        <v>55</v>
      </c>
      <c r="P1113" s="270">
        <v>1</v>
      </c>
      <c r="Q1113" s="255">
        <v>148500</v>
      </c>
      <c r="R1113" s="283">
        <v>148500</v>
      </c>
      <c r="S1113" s="283">
        <v>53429</v>
      </c>
      <c r="T1113" s="287">
        <v>1</v>
      </c>
      <c r="U1113" s="287">
        <v>0</v>
      </c>
      <c r="V1113" s="287">
        <v>0</v>
      </c>
      <c r="W1113" s="283">
        <v>0</v>
      </c>
      <c r="X1113" s="283">
        <v>0</v>
      </c>
      <c r="Y1113" s="199" t="s">
        <v>1395</v>
      </c>
      <c r="Z1113" s="517" t="s">
        <v>5449</v>
      </c>
      <c r="AA1113" s="493" t="s">
        <v>1485</v>
      </c>
      <c r="AB1113" s="507"/>
    </row>
    <row r="1114" spans="2:30" x14ac:dyDescent="0.15">
      <c r="B1114" s="327" t="s">
        <v>5057</v>
      </c>
      <c r="C1114" s="527">
        <v>43417</v>
      </c>
      <c r="D1114" s="191" t="s">
        <v>5058</v>
      </c>
      <c r="E1114" s="43" t="s">
        <v>2382</v>
      </c>
      <c r="F1114" s="191" t="s">
        <v>3842</v>
      </c>
      <c r="G1114" s="4" t="s">
        <v>2375</v>
      </c>
      <c r="H1114" s="43"/>
      <c r="I1114" s="4" t="s">
        <v>5059</v>
      </c>
      <c r="J1114" s="4" t="s">
        <v>299</v>
      </c>
      <c r="K1114" s="4" t="s">
        <v>373</v>
      </c>
      <c r="L1114" s="4" t="s">
        <v>5060</v>
      </c>
      <c r="M1114" s="43"/>
      <c r="N1114" s="255">
        <v>90000</v>
      </c>
      <c r="O1114" s="265">
        <v>100</v>
      </c>
      <c r="P1114" s="270">
        <v>1</v>
      </c>
      <c r="Q1114" s="255">
        <v>90000</v>
      </c>
      <c r="R1114" s="283">
        <v>90000</v>
      </c>
      <c r="S1114" s="283">
        <v>99350</v>
      </c>
      <c r="T1114" s="287">
        <v>0</v>
      </c>
      <c r="U1114" s="287">
        <v>0</v>
      </c>
      <c r="V1114" s="287">
        <v>0</v>
      </c>
      <c r="W1114" s="283">
        <v>0</v>
      </c>
      <c r="X1114" s="283">
        <v>0</v>
      </c>
      <c r="Y1114" s="199" t="s">
        <v>1395</v>
      </c>
      <c r="Z1114" s="517" t="s">
        <v>5555</v>
      </c>
      <c r="AA1114" s="493"/>
      <c r="AB1114" s="507"/>
    </row>
    <row r="1115" spans="2:30" x14ac:dyDescent="0.15">
      <c r="B1115" s="327" t="s">
        <v>5057</v>
      </c>
      <c r="C1115" s="527">
        <v>43417</v>
      </c>
      <c r="D1115" s="191" t="s">
        <v>5058</v>
      </c>
      <c r="E1115" s="43" t="s">
        <v>2382</v>
      </c>
      <c r="F1115" s="191" t="s">
        <v>3842</v>
      </c>
      <c r="G1115" s="4" t="s">
        <v>2375</v>
      </c>
      <c r="H1115" s="43"/>
      <c r="I1115" s="4" t="s">
        <v>5059</v>
      </c>
      <c r="J1115" s="4" t="s">
        <v>299</v>
      </c>
      <c r="K1115" s="4" t="s">
        <v>373</v>
      </c>
      <c r="L1115" s="4" t="s">
        <v>1493</v>
      </c>
      <c r="M1115" s="43"/>
      <c r="N1115" s="255">
        <v>15000</v>
      </c>
      <c r="O1115" s="265">
        <v>100</v>
      </c>
      <c r="P1115" s="270">
        <v>1</v>
      </c>
      <c r="Q1115" s="255">
        <v>15000</v>
      </c>
      <c r="R1115" s="283">
        <v>15000</v>
      </c>
      <c r="S1115" s="283">
        <v>0</v>
      </c>
      <c r="T1115" s="287">
        <v>0</v>
      </c>
      <c r="U1115" s="287">
        <v>0</v>
      </c>
      <c r="V1115" s="287">
        <v>0</v>
      </c>
      <c r="W1115" s="283">
        <v>0</v>
      </c>
      <c r="X1115" s="283">
        <v>0</v>
      </c>
      <c r="Y1115" s="199" t="s">
        <v>1395</v>
      </c>
      <c r="Z1115" s="517" t="s">
        <v>5451</v>
      </c>
      <c r="AA1115" s="493"/>
      <c r="AB1115" s="507"/>
    </row>
    <row r="1116" spans="2:30" x14ac:dyDescent="0.15">
      <c r="B1116" s="327" t="s">
        <v>5061</v>
      </c>
      <c r="C1116" s="527">
        <v>43417</v>
      </c>
      <c r="D1116" s="191" t="s">
        <v>5063</v>
      </c>
      <c r="E1116" s="43" t="s">
        <v>2382</v>
      </c>
      <c r="F1116" s="191" t="s">
        <v>3842</v>
      </c>
      <c r="G1116" s="4" t="s">
        <v>2375</v>
      </c>
      <c r="H1116" s="43"/>
      <c r="I1116" s="4" t="s">
        <v>5059</v>
      </c>
      <c r="J1116" s="4" t="s">
        <v>298</v>
      </c>
      <c r="K1116" s="4" t="s">
        <v>1168</v>
      </c>
      <c r="L1116" s="4" t="s">
        <v>5062</v>
      </c>
      <c r="M1116" s="43"/>
      <c r="N1116" s="255">
        <v>43850</v>
      </c>
      <c r="O1116" s="265">
        <v>100</v>
      </c>
      <c r="P1116" s="270">
        <v>1</v>
      </c>
      <c r="Q1116" s="255">
        <v>43850</v>
      </c>
      <c r="R1116" s="283">
        <v>43850</v>
      </c>
      <c r="S1116" s="283">
        <v>0</v>
      </c>
      <c r="T1116" s="287">
        <v>0</v>
      </c>
      <c r="U1116" s="287">
        <v>0</v>
      </c>
      <c r="V1116" s="287">
        <v>0</v>
      </c>
      <c r="W1116" s="283">
        <v>0</v>
      </c>
      <c r="X1116" s="283">
        <v>0</v>
      </c>
      <c r="Y1116" s="199" t="s">
        <v>1395</v>
      </c>
      <c r="Z1116" s="517" t="s">
        <v>5547</v>
      </c>
      <c r="AA1116" s="493"/>
      <c r="AB1116" s="507"/>
    </row>
    <row r="1117" spans="2:30" x14ac:dyDescent="0.15">
      <c r="B1117" s="333" t="s">
        <v>4981</v>
      </c>
      <c r="C1117" s="528">
        <v>43418</v>
      </c>
      <c r="D1117" s="198" t="s">
        <v>4982</v>
      </c>
      <c r="E1117" s="53" t="s">
        <v>1396</v>
      </c>
      <c r="F1117" s="198" t="s">
        <v>21</v>
      </c>
      <c r="G1117" s="3" t="s">
        <v>50</v>
      </c>
      <c r="H1117" s="53" t="s">
        <v>1434</v>
      </c>
      <c r="I1117" s="3" t="s">
        <v>1435</v>
      </c>
      <c r="J1117" s="4" t="s">
        <v>265</v>
      </c>
      <c r="K1117" s="4" t="s">
        <v>1155</v>
      </c>
      <c r="L1117" s="4" t="s">
        <v>4983</v>
      </c>
      <c r="M1117" s="43" t="s">
        <v>4984</v>
      </c>
      <c r="N1117" s="255">
        <v>216000</v>
      </c>
      <c r="O1117" s="265">
        <v>100</v>
      </c>
      <c r="P1117" s="270">
        <v>1</v>
      </c>
      <c r="Q1117" s="255">
        <v>216000</v>
      </c>
      <c r="R1117" s="283">
        <v>216000</v>
      </c>
      <c r="S1117" s="283">
        <v>74737</v>
      </c>
      <c r="T1117" s="287">
        <v>0</v>
      </c>
      <c r="U1117" s="287">
        <v>1</v>
      </c>
      <c r="V1117" s="287">
        <v>0</v>
      </c>
      <c r="W1117" s="283">
        <v>24923</v>
      </c>
      <c r="X1117" s="283">
        <v>0</v>
      </c>
      <c r="Y1117" s="199" t="s">
        <v>1392</v>
      </c>
      <c r="Z1117" s="517" t="s">
        <v>5167</v>
      </c>
      <c r="AA1117" s="493" t="s">
        <v>1485</v>
      </c>
      <c r="AB1117" s="507"/>
    </row>
    <row r="1118" spans="2:30" x14ac:dyDescent="0.15">
      <c r="B1118" s="333" t="s">
        <v>5064</v>
      </c>
      <c r="C1118" s="528">
        <v>43419</v>
      </c>
      <c r="D1118" s="198" t="s">
        <v>5065</v>
      </c>
      <c r="E1118" s="53" t="s">
        <v>1396</v>
      </c>
      <c r="F1118" s="198" t="s">
        <v>21</v>
      </c>
      <c r="G1118" s="3" t="s">
        <v>50</v>
      </c>
      <c r="H1118" s="53" t="s">
        <v>381</v>
      </c>
      <c r="I1118" s="3" t="s">
        <v>1408</v>
      </c>
      <c r="J1118" s="3" t="s">
        <v>272</v>
      </c>
      <c r="K1118" s="3" t="s">
        <v>363</v>
      </c>
      <c r="L1118" s="3" t="s">
        <v>5066</v>
      </c>
      <c r="M1118" s="53" t="s">
        <v>5067</v>
      </c>
      <c r="N1118" s="255">
        <v>232000</v>
      </c>
      <c r="O1118" s="265">
        <v>100</v>
      </c>
      <c r="P1118" s="270">
        <v>1</v>
      </c>
      <c r="Q1118" s="255">
        <v>232000</v>
      </c>
      <c r="R1118" s="283">
        <v>232000</v>
      </c>
      <c r="S1118" s="283">
        <v>33417</v>
      </c>
      <c r="T1118" s="287">
        <v>0</v>
      </c>
      <c r="U1118" s="287">
        <v>1</v>
      </c>
      <c r="V1118" s="287">
        <v>0</v>
      </c>
      <c r="W1118" s="283">
        <v>22098</v>
      </c>
      <c r="X1118" s="283">
        <v>0</v>
      </c>
      <c r="Y1118" s="199" t="s">
        <v>1392</v>
      </c>
      <c r="Z1118" s="517" t="s">
        <v>5166</v>
      </c>
      <c r="AA1118" s="493" t="s">
        <v>1485</v>
      </c>
      <c r="AB1118" s="507"/>
    </row>
    <row r="1119" spans="2:30" x14ac:dyDescent="0.15">
      <c r="B1119" s="327" t="s">
        <v>5070</v>
      </c>
      <c r="C1119" s="527">
        <v>43419</v>
      </c>
      <c r="D1119" s="191" t="s">
        <v>5071</v>
      </c>
      <c r="E1119" s="43" t="s">
        <v>1396</v>
      </c>
      <c r="F1119" s="191" t="s">
        <v>21</v>
      </c>
      <c r="G1119" s="4" t="s">
        <v>50</v>
      </c>
      <c r="H1119" s="43" t="s">
        <v>379</v>
      </c>
      <c r="I1119" s="4" t="s">
        <v>2551</v>
      </c>
      <c r="J1119" s="4" t="s">
        <v>265</v>
      </c>
      <c r="K1119" s="4" t="s">
        <v>1155</v>
      </c>
      <c r="L1119" s="4" t="s">
        <v>5029</v>
      </c>
      <c r="M1119" s="43" t="s">
        <v>5030</v>
      </c>
      <c r="N1119" s="255">
        <v>340000</v>
      </c>
      <c r="O1119" s="265">
        <v>60</v>
      </c>
      <c r="P1119" s="270">
        <v>1</v>
      </c>
      <c r="Q1119" s="255">
        <v>204000</v>
      </c>
      <c r="R1119" s="283">
        <v>204000</v>
      </c>
      <c r="S1119" s="283">
        <v>56885</v>
      </c>
      <c r="T1119" s="287">
        <v>0</v>
      </c>
      <c r="U1119" s="287">
        <v>1</v>
      </c>
      <c r="V1119" s="287">
        <v>0</v>
      </c>
      <c r="W1119" s="283">
        <v>20400</v>
      </c>
      <c r="X1119" s="283">
        <v>0</v>
      </c>
      <c r="Y1119" s="199" t="s">
        <v>1392</v>
      </c>
      <c r="Z1119" s="517" t="s">
        <v>5542</v>
      </c>
      <c r="AA1119" s="493" t="s">
        <v>1485</v>
      </c>
      <c r="AB1119" s="507"/>
    </row>
    <row r="1120" spans="2:30" x14ac:dyDescent="0.15">
      <c r="B1120" s="327" t="s">
        <v>5072</v>
      </c>
      <c r="C1120" s="527">
        <v>43420</v>
      </c>
      <c r="D1120" s="191" t="s">
        <v>5073</v>
      </c>
      <c r="E1120" s="43" t="s">
        <v>1396</v>
      </c>
      <c r="F1120" s="191" t="s">
        <v>3789</v>
      </c>
      <c r="G1120" s="4" t="s">
        <v>368</v>
      </c>
      <c r="H1120" s="43" t="s">
        <v>792</v>
      </c>
      <c r="I1120" s="4" t="s">
        <v>1413</v>
      </c>
      <c r="J1120" s="4" t="s">
        <v>262</v>
      </c>
      <c r="K1120" s="4" t="s">
        <v>365</v>
      </c>
      <c r="L1120" s="4" t="s">
        <v>1690</v>
      </c>
      <c r="M1120" s="43" t="s">
        <v>5074</v>
      </c>
      <c r="N1120" s="255">
        <v>162000</v>
      </c>
      <c r="O1120" s="265">
        <v>100</v>
      </c>
      <c r="P1120" s="270">
        <v>1</v>
      </c>
      <c r="Q1120" s="255">
        <v>162000</v>
      </c>
      <c r="R1120" s="283">
        <v>162000</v>
      </c>
      <c r="S1120" s="283">
        <v>48955</v>
      </c>
      <c r="T1120" s="287">
        <v>0</v>
      </c>
      <c r="U1120" s="287">
        <v>1</v>
      </c>
      <c r="V1120" s="287">
        <v>0</v>
      </c>
      <c r="W1120" s="283">
        <v>18692</v>
      </c>
      <c r="X1120" s="283">
        <v>0</v>
      </c>
      <c r="Y1120" s="199" t="s">
        <v>1392</v>
      </c>
      <c r="Z1120" s="517" t="s">
        <v>5166</v>
      </c>
      <c r="AA1120" s="493" t="s">
        <v>1485</v>
      </c>
      <c r="AB1120" s="507"/>
    </row>
    <row r="1121" spans="2:28" x14ac:dyDescent="0.15">
      <c r="B1121" s="327" t="s">
        <v>5075</v>
      </c>
      <c r="C1121" s="527">
        <v>43420</v>
      </c>
      <c r="D1121" s="191" t="s">
        <v>5076</v>
      </c>
      <c r="E1121" s="43" t="s">
        <v>1396</v>
      </c>
      <c r="F1121" s="191" t="s">
        <v>3789</v>
      </c>
      <c r="G1121" s="4" t="s">
        <v>368</v>
      </c>
      <c r="H1121" s="43" t="s">
        <v>792</v>
      </c>
      <c r="I1121" s="4" t="s">
        <v>1413</v>
      </c>
      <c r="J1121" s="4" t="s">
        <v>262</v>
      </c>
      <c r="K1121" s="4" t="s">
        <v>365</v>
      </c>
      <c r="L1121" s="4" t="s">
        <v>5077</v>
      </c>
      <c r="M1121" s="43" t="s">
        <v>5078</v>
      </c>
      <c r="N1121" s="255">
        <v>174000</v>
      </c>
      <c r="O1121" s="265">
        <v>100</v>
      </c>
      <c r="P1121" s="270">
        <v>1</v>
      </c>
      <c r="Q1121" s="255">
        <v>174000</v>
      </c>
      <c r="R1121" s="283">
        <v>174000</v>
      </c>
      <c r="S1121" s="283">
        <v>57755</v>
      </c>
      <c r="T1121" s="287">
        <v>0</v>
      </c>
      <c r="U1121" s="287">
        <v>1</v>
      </c>
      <c r="V1121" s="287">
        <v>0</v>
      </c>
      <c r="W1121" s="283">
        <v>17400</v>
      </c>
      <c r="X1121" s="283">
        <v>0</v>
      </c>
      <c r="Y1121" s="199" t="s">
        <v>1392</v>
      </c>
      <c r="Z1121" s="517" t="s">
        <v>5542</v>
      </c>
      <c r="AA1121" s="493" t="s">
        <v>1485</v>
      </c>
      <c r="AB1121" s="507"/>
    </row>
    <row r="1122" spans="2:28" x14ac:dyDescent="0.15">
      <c r="B1122" s="327" t="s">
        <v>5079</v>
      </c>
      <c r="C1122" s="527">
        <v>43420</v>
      </c>
      <c r="D1122" s="191" t="s">
        <v>5080</v>
      </c>
      <c r="E1122" s="43" t="s">
        <v>1396</v>
      </c>
      <c r="F1122" s="191" t="s">
        <v>3789</v>
      </c>
      <c r="G1122" s="4" t="s">
        <v>368</v>
      </c>
      <c r="H1122" s="43" t="s">
        <v>792</v>
      </c>
      <c r="I1122" s="4" t="s">
        <v>1413</v>
      </c>
      <c r="J1122" s="4" t="s">
        <v>262</v>
      </c>
      <c r="K1122" s="4" t="s">
        <v>365</v>
      </c>
      <c r="L1122" s="4" t="s">
        <v>2289</v>
      </c>
      <c r="M1122" s="43" t="s">
        <v>5081</v>
      </c>
      <c r="N1122" s="255">
        <v>174000</v>
      </c>
      <c r="O1122" s="265">
        <v>100</v>
      </c>
      <c r="P1122" s="270">
        <v>1</v>
      </c>
      <c r="Q1122" s="255">
        <v>174000</v>
      </c>
      <c r="R1122" s="283">
        <v>174000</v>
      </c>
      <c r="S1122" s="283">
        <v>59655</v>
      </c>
      <c r="T1122" s="287">
        <v>0</v>
      </c>
      <c r="U1122" s="287">
        <v>1</v>
      </c>
      <c r="V1122" s="287">
        <v>0</v>
      </c>
      <c r="W1122" s="283">
        <v>17400</v>
      </c>
      <c r="X1122" s="283">
        <v>0</v>
      </c>
      <c r="Y1122" s="199" t="s">
        <v>1392</v>
      </c>
      <c r="Z1122" s="517" t="s">
        <v>5166</v>
      </c>
      <c r="AA1122" s="493" t="s">
        <v>1485</v>
      </c>
      <c r="AB1122" s="507"/>
    </row>
    <row r="1123" spans="2:28" x14ac:dyDescent="0.15">
      <c r="B1123" s="327" t="s">
        <v>5082</v>
      </c>
      <c r="C1123" s="527">
        <v>43420</v>
      </c>
      <c r="D1123" s="191" t="s">
        <v>5083</v>
      </c>
      <c r="E1123" s="43" t="s">
        <v>1396</v>
      </c>
      <c r="F1123" s="191" t="s">
        <v>3789</v>
      </c>
      <c r="G1123" s="4" t="s">
        <v>368</v>
      </c>
      <c r="H1123" s="43" t="s">
        <v>792</v>
      </c>
      <c r="I1123" s="4" t="s">
        <v>1413</v>
      </c>
      <c r="J1123" s="4" t="s">
        <v>262</v>
      </c>
      <c r="K1123" s="4" t="s">
        <v>365</v>
      </c>
      <c r="L1123" s="4" t="s">
        <v>5084</v>
      </c>
      <c r="M1123" s="43" t="s">
        <v>5085</v>
      </c>
      <c r="N1123" s="255">
        <v>180000</v>
      </c>
      <c r="O1123" s="265">
        <v>100</v>
      </c>
      <c r="P1123" s="270">
        <v>1</v>
      </c>
      <c r="Q1123" s="255">
        <v>180000</v>
      </c>
      <c r="R1123" s="283">
        <v>180000</v>
      </c>
      <c r="S1123" s="283">
        <v>60655</v>
      </c>
      <c r="T1123" s="287">
        <v>0</v>
      </c>
      <c r="U1123" s="287">
        <v>1</v>
      </c>
      <c r="V1123" s="287">
        <v>0</v>
      </c>
      <c r="W1123" s="283">
        <v>18000</v>
      </c>
      <c r="X1123" s="283">
        <v>0</v>
      </c>
      <c r="Y1123" s="199" t="s">
        <v>1392</v>
      </c>
      <c r="Z1123" s="517" t="s">
        <v>5166</v>
      </c>
      <c r="AA1123" s="493" t="s">
        <v>1485</v>
      </c>
      <c r="AB1123" s="507"/>
    </row>
    <row r="1124" spans="2:28" x14ac:dyDescent="0.15">
      <c r="B1124" s="327" t="s">
        <v>5086</v>
      </c>
      <c r="C1124" s="527">
        <v>43420</v>
      </c>
      <c r="D1124" s="191" t="s">
        <v>5087</v>
      </c>
      <c r="E1124" s="43" t="s">
        <v>1396</v>
      </c>
      <c r="F1124" s="191" t="s">
        <v>3789</v>
      </c>
      <c r="G1124" s="4" t="s">
        <v>368</v>
      </c>
      <c r="H1124" s="43" t="s">
        <v>792</v>
      </c>
      <c r="I1124" s="4" t="s">
        <v>1413</v>
      </c>
      <c r="J1124" s="4" t="s">
        <v>262</v>
      </c>
      <c r="K1124" s="4" t="s">
        <v>365</v>
      </c>
      <c r="L1124" s="4" t="s">
        <v>4081</v>
      </c>
      <c r="M1124" s="43" t="s">
        <v>5088</v>
      </c>
      <c r="N1124" s="255">
        <v>174000</v>
      </c>
      <c r="O1124" s="265">
        <v>100</v>
      </c>
      <c r="P1124" s="270">
        <v>1</v>
      </c>
      <c r="Q1124" s="255">
        <v>174000</v>
      </c>
      <c r="R1124" s="283">
        <v>174000</v>
      </c>
      <c r="S1124" s="283">
        <v>57755</v>
      </c>
      <c r="T1124" s="287">
        <v>0</v>
      </c>
      <c r="U1124" s="287">
        <v>1</v>
      </c>
      <c r="V1124" s="287">
        <v>0</v>
      </c>
      <c r="W1124" s="283">
        <v>17400</v>
      </c>
      <c r="X1124" s="283">
        <v>0</v>
      </c>
      <c r="Y1124" s="199" t="s">
        <v>1392</v>
      </c>
      <c r="Z1124" s="517" t="s">
        <v>5166</v>
      </c>
      <c r="AA1124" s="493" t="s">
        <v>1485</v>
      </c>
      <c r="AB1124" s="507"/>
    </row>
    <row r="1125" spans="2:28" x14ac:dyDescent="0.15">
      <c r="B1125" s="327" t="s">
        <v>5089</v>
      </c>
      <c r="C1125" s="527">
        <v>43420</v>
      </c>
      <c r="D1125" s="191" t="s">
        <v>5090</v>
      </c>
      <c r="E1125" s="43" t="s">
        <v>2382</v>
      </c>
      <c r="F1125" s="191" t="s">
        <v>3842</v>
      </c>
      <c r="G1125" s="4" t="s">
        <v>2375</v>
      </c>
      <c r="H1125" s="43"/>
      <c r="I1125" s="4" t="s">
        <v>5091</v>
      </c>
      <c r="J1125" s="4" t="s">
        <v>262</v>
      </c>
      <c r="K1125" s="4" t="s">
        <v>365</v>
      </c>
      <c r="L1125" s="4" t="s">
        <v>5092</v>
      </c>
      <c r="M1125" s="43" t="s">
        <v>2275</v>
      </c>
      <c r="N1125" s="255">
        <v>316000</v>
      </c>
      <c r="O1125" s="265">
        <v>100</v>
      </c>
      <c r="P1125" s="270">
        <v>1</v>
      </c>
      <c r="Q1125" s="255">
        <v>316000</v>
      </c>
      <c r="R1125" s="283">
        <v>316000</v>
      </c>
      <c r="S1125" s="283">
        <v>208155</v>
      </c>
      <c r="T1125" s="287">
        <v>1</v>
      </c>
      <c r="U1125" s="287">
        <v>0</v>
      </c>
      <c r="V1125" s="287">
        <v>0</v>
      </c>
      <c r="W1125" s="283">
        <v>0</v>
      </c>
      <c r="X1125" s="283">
        <v>0</v>
      </c>
      <c r="Y1125" s="199" t="s">
        <v>1395</v>
      </c>
      <c r="Z1125" s="517" t="s">
        <v>5451</v>
      </c>
      <c r="AA1125" s="493"/>
      <c r="AB1125" s="507"/>
    </row>
    <row r="1126" spans="2:28" x14ac:dyDescent="0.15">
      <c r="B1126" s="327" t="s">
        <v>5093</v>
      </c>
      <c r="C1126" s="527">
        <v>43420</v>
      </c>
      <c r="D1126" s="191" t="s">
        <v>5094</v>
      </c>
      <c r="E1126" s="43" t="s">
        <v>1391</v>
      </c>
      <c r="F1126" s="191" t="s">
        <v>2834</v>
      </c>
      <c r="G1126" s="4" t="s">
        <v>3559</v>
      </c>
      <c r="H1126" s="43"/>
      <c r="I1126" s="4"/>
      <c r="J1126" s="4" t="s">
        <v>298</v>
      </c>
      <c r="K1126" s="4" t="s">
        <v>1168</v>
      </c>
      <c r="L1126" s="4" t="s">
        <v>5095</v>
      </c>
      <c r="M1126" s="43"/>
      <c r="N1126" s="255">
        <v>3500</v>
      </c>
      <c r="O1126" s="265">
        <v>65</v>
      </c>
      <c r="P1126" s="270">
        <v>5</v>
      </c>
      <c r="Q1126" s="255">
        <v>2275</v>
      </c>
      <c r="R1126" s="283">
        <v>11375</v>
      </c>
      <c r="S1126" s="283">
        <v>5275</v>
      </c>
      <c r="T1126" s="287">
        <v>0</v>
      </c>
      <c r="U1126" s="287">
        <v>0</v>
      </c>
      <c r="V1126" s="287">
        <v>0</v>
      </c>
      <c r="W1126" s="283">
        <v>0</v>
      </c>
      <c r="X1126" s="283">
        <v>0</v>
      </c>
      <c r="Y1126" s="199" t="s">
        <v>1395</v>
      </c>
      <c r="Z1126" s="517" t="s">
        <v>5170</v>
      </c>
      <c r="AA1126" s="493" t="s">
        <v>1485</v>
      </c>
      <c r="AB1126" s="507"/>
    </row>
    <row r="1127" spans="2:28" x14ac:dyDescent="0.15">
      <c r="B1127" s="327" t="s">
        <v>5096</v>
      </c>
      <c r="C1127" s="527">
        <v>43420</v>
      </c>
      <c r="D1127" s="191" t="s">
        <v>5097</v>
      </c>
      <c r="E1127" s="43" t="s">
        <v>1391</v>
      </c>
      <c r="F1127" s="191" t="s">
        <v>3786</v>
      </c>
      <c r="G1127" s="4" t="s">
        <v>364</v>
      </c>
      <c r="H1127" s="43" t="s">
        <v>493</v>
      </c>
      <c r="I1127" s="4" t="s">
        <v>4350</v>
      </c>
      <c r="J1127" s="4" t="s">
        <v>297</v>
      </c>
      <c r="K1127" s="4" t="s">
        <v>369</v>
      </c>
      <c r="L1127" s="4" t="s">
        <v>1509</v>
      </c>
      <c r="M1127" s="43"/>
      <c r="N1127" s="255">
        <v>200</v>
      </c>
      <c r="O1127" s="265">
        <v>50</v>
      </c>
      <c r="P1127" s="270">
        <v>100</v>
      </c>
      <c r="Q1127" s="255">
        <v>100</v>
      </c>
      <c r="R1127" s="283">
        <v>10000</v>
      </c>
      <c r="S1127" s="283">
        <v>5700</v>
      </c>
      <c r="T1127" s="287">
        <v>0</v>
      </c>
      <c r="U1127" s="287">
        <v>0</v>
      </c>
      <c r="V1127" s="287">
        <v>0</v>
      </c>
      <c r="W1127" s="283">
        <v>1500</v>
      </c>
      <c r="X1127" s="283">
        <v>0</v>
      </c>
      <c r="Y1127" s="199" t="s">
        <v>1392</v>
      </c>
      <c r="Z1127" s="517" t="s">
        <v>5167</v>
      </c>
      <c r="AA1127" s="493" t="s">
        <v>1485</v>
      </c>
      <c r="AB1127" s="507"/>
    </row>
    <row r="1128" spans="2:28" x14ac:dyDescent="0.15">
      <c r="B1128" s="327" t="s">
        <v>5098</v>
      </c>
      <c r="C1128" s="527">
        <v>43420</v>
      </c>
      <c r="D1128" s="191" t="s">
        <v>5099</v>
      </c>
      <c r="E1128" s="43" t="s">
        <v>1391</v>
      </c>
      <c r="F1128" s="191" t="s">
        <v>3955</v>
      </c>
      <c r="G1128" s="4" t="s">
        <v>1421</v>
      </c>
      <c r="H1128" s="43" t="s">
        <v>3478</v>
      </c>
      <c r="I1128" s="4" t="s">
        <v>3479</v>
      </c>
      <c r="J1128" s="4" t="s">
        <v>270</v>
      </c>
      <c r="K1128" s="4" t="s">
        <v>539</v>
      </c>
      <c r="L1128" s="4" t="s">
        <v>2524</v>
      </c>
      <c r="M1128" s="43" t="s">
        <v>2321</v>
      </c>
      <c r="N1128" s="255">
        <v>328000</v>
      </c>
      <c r="O1128" s="265">
        <v>55</v>
      </c>
      <c r="P1128" s="270">
        <v>-1</v>
      </c>
      <c r="Q1128" s="255">
        <v>180400</v>
      </c>
      <c r="R1128" s="283">
        <v>-180400</v>
      </c>
      <c r="S1128" s="283">
        <v>-62599</v>
      </c>
      <c r="T1128" s="287">
        <v>-1</v>
      </c>
      <c r="U1128" s="287">
        <v>0</v>
      </c>
      <c r="V1128" s="287">
        <v>0</v>
      </c>
      <c r="W1128" s="283">
        <v>0</v>
      </c>
      <c r="X1128" s="283">
        <v>0</v>
      </c>
      <c r="Y1128" s="199" t="s">
        <v>1395</v>
      </c>
      <c r="Z1128" s="517" t="s">
        <v>5449</v>
      </c>
      <c r="AA1128" s="493" t="s">
        <v>1485</v>
      </c>
      <c r="AB1128" s="507"/>
    </row>
    <row r="1129" spans="2:28" x14ac:dyDescent="0.15">
      <c r="B1129" s="327" t="s">
        <v>5100</v>
      </c>
      <c r="C1129" s="527">
        <v>43420</v>
      </c>
      <c r="D1129" s="191" t="s">
        <v>5101</v>
      </c>
      <c r="E1129" s="43" t="s">
        <v>2382</v>
      </c>
      <c r="F1129" s="191" t="s">
        <v>3842</v>
      </c>
      <c r="G1129" s="4" t="s">
        <v>2375</v>
      </c>
      <c r="H1129" s="43"/>
      <c r="I1129" s="4" t="s">
        <v>5102</v>
      </c>
      <c r="J1129" s="4" t="s">
        <v>298</v>
      </c>
      <c r="K1129" s="4" t="s">
        <v>1168</v>
      </c>
      <c r="L1129" s="4" t="s">
        <v>5103</v>
      </c>
      <c r="M1129" s="43"/>
      <c r="N1129" s="255">
        <v>16000</v>
      </c>
      <c r="O1129" s="265">
        <v>100</v>
      </c>
      <c r="P1129" s="270">
        <v>1</v>
      </c>
      <c r="Q1129" s="255">
        <v>16000</v>
      </c>
      <c r="R1129" s="283">
        <v>16000</v>
      </c>
      <c r="S1129" s="283">
        <v>11000</v>
      </c>
      <c r="T1129" s="287">
        <v>0</v>
      </c>
      <c r="U1129" s="287">
        <v>0</v>
      </c>
      <c r="V1129" s="287">
        <v>0</v>
      </c>
      <c r="W1129" s="283">
        <v>0</v>
      </c>
      <c r="X1129" s="283">
        <v>0</v>
      </c>
      <c r="Y1129" s="199" t="s">
        <v>1395</v>
      </c>
      <c r="Z1129" s="517" t="s">
        <v>5561</v>
      </c>
      <c r="AA1129" s="493"/>
      <c r="AB1129" s="507"/>
    </row>
    <row r="1130" spans="2:28" x14ac:dyDescent="0.15">
      <c r="B1130" s="327" t="s">
        <v>5100</v>
      </c>
      <c r="C1130" s="527">
        <v>43420</v>
      </c>
      <c r="D1130" s="191" t="s">
        <v>5101</v>
      </c>
      <c r="E1130" s="43" t="s">
        <v>2382</v>
      </c>
      <c r="F1130" s="191" t="s">
        <v>3842</v>
      </c>
      <c r="G1130" s="4" t="s">
        <v>2375</v>
      </c>
      <c r="H1130" s="43"/>
      <c r="I1130" s="4" t="s">
        <v>5102</v>
      </c>
      <c r="J1130" s="4" t="s">
        <v>296</v>
      </c>
      <c r="K1130" s="4" t="s">
        <v>1167</v>
      </c>
      <c r="L1130" s="4" t="s">
        <v>5104</v>
      </c>
      <c r="M1130" s="43"/>
      <c r="N1130" s="255">
        <v>3500</v>
      </c>
      <c r="O1130" s="265">
        <v>100</v>
      </c>
      <c r="P1130" s="270">
        <v>1</v>
      </c>
      <c r="Q1130" s="255">
        <v>3500</v>
      </c>
      <c r="R1130" s="283">
        <v>3500</v>
      </c>
      <c r="S1130" s="283">
        <v>2300</v>
      </c>
      <c r="T1130" s="287">
        <v>0</v>
      </c>
      <c r="U1130" s="287">
        <v>0</v>
      </c>
      <c r="V1130" s="287">
        <v>0</v>
      </c>
      <c r="W1130" s="283">
        <v>0</v>
      </c>
      <c r="X1130" s="283">
        <v>0</v>
      </c>
      <c r="Y1130" s="199" t="s">
        <v>1395</v>
      </c>
      <c r="Z1130" s="517" t="s">
        <v>5547</v>
      </c>
      <c r="AA1130" s="493"/>
      <c r="AB1130" s="507"/>
    </row>
    <row r="1131" spans="2:28" x14ac:dyDescent="0.15">
      <c r="B1131" s="327" t="s">
        <v>5105</v>
      </c>
      <c r="C1131" s="527">
        <v>43420</v>
      </c>
      <c r="D1131" s="191" t="s">
        <v>5106</v>
      </c>
      <c r="E1131" s="43" t="s">
        <v>1391</v>
      </c>
      <c r="F1131" s="191" t="s">
        <v>3783</v>
      </c>
      <c r="G1131" s="4" t="s">
        <v>362</v>
      </c>
      <c r="H1131" s="43" t="s">
        <v>689</v>
      </c>
      <c r="I1131" s="4" t="s">
        <v>1394</v>
      </c>
      <c r="J1131" s="4" t="s">
        <v>261</v>
      </c>
      <c r="K1131" s="4" t="s">
        <v>1153</v>
      </c>
      <c r="L1131" s="4" t="s">
        <v>4547</v>
      </c>
      <c r="M1131" s="43" t="s">
        <v>4548</v>
      </c>
      <c r="N1131" s="255">
        <v>223000</v>
      </c>
      <c r="O1131" s="265">
        <v>100</v>
      </c>
      <c r="P1131" s="270">
        <v>-1</v>
      </c>
      <c r="Q1131" s="255">
        <v>223000</v>
      </c>
      <c r="R1131" s="283">
        <v>-223000</v>
      </c>
      <c r="S1131" s="283">
        <v>-106804</v>
      </c>
      <c r="T1131" s="287">
        <v>-1</v>
      </c>
      <c r="U1131" s="287">
        <v>0</v>
      </c>
      <c r="V1131" s="287">
        <v>0</v>
      </c>
      <c r="W1131" s="283">
        <v>0</v>
      </c>
      <c r="X1131" s="283">
        <v>0</v>
      </c>
      <c r="Y1131" s="199" t="s">
        <v>1395</v>
      </c>
      <c r="Z1131" s="517" t="s">
        <v>5166</v>
      </c>
      <c r="AA1131" s="493" t="s">
        <v>1485</v>
      </c>
      <c r="AB1131" s="507"/>
    </row>
    <row r="1132" spans="2:28" x14ac:dyDescent="0.15">
      <c r="B1132" s="327" t="s">
        <v>5107</v>
      </c>
      <c r="C1132" s="527">
        <v>43420</v>
      </c>
      <c r="D1132" s="191" t="s">
        <v>5108</v>
      </c>
      <c r="E1132" s="43" t="s">
        <v>1391</v>
      </c>
      <c r="F1132" s="191" t="s">
        <v>3783</v>
      </c>
      <c r="G1132" s="4" t="s">
        <v>362</v>
      </c>
      <c r="H1132" s="43" t="s">
        <v>689</v>
      </c>
      <c r="I1132" s="4" t="s">
        <v>1394</v>
      </c>
      <c r="J1132" s="4" t="s">
        <v>261</v>
      </c>
      <c r="K1132" s="4" t="s">
        <v>1153</v>
      </c>
      <c r="L1132" s="4" t="s">
        <v>4547</v>
      </c>
      <c r="M1132" s="43" t="s">
        <v>4548</v>
      </c>
      <c r="N1132" s="255">
        <v>223000</v>
      </c>
      <c r="O1132" s="265">
        <v>100</v>
      </c>
      <c r="P1132" s="270">
        <v>1</v>
      </c>
      <c r="Q1132" s="255">
        <v>223000</v>
      </c>
      <c r="R1132" s="283">
        <v>223000</v>
      </c>
      <c r="S1132" s="283">
        <v>106804</v>
      </c>
      <c r="T1132" s="287">
        <v>1</v>
      </c>
      <c r="U1132" s="287">
        <v>0</v>
      </c>
      <c r="V1132" s="287">
        <v>0</v>
      </c>
      <c r="W1132" s="283">
        <v>0</v>
      </c>
      <c r="X1132" s="283">
        <v>0</v>
      </c>
      <c r="Y1132" s="199" t="s">
        <v>1395</v>
      </c>
      <c r="Z1132" s="517" t="s">
        <v>5166</v>
      </c>
      <c r="AA1132" s="493" t="s">
        <v>1485</v>
      </c>
      <c r="AB1132" s="507"/>
    </row>
    <row r="1133" spans="2:28" x14ac:dyDescent="0.15">
      <c r="B1133" s="327" t="s">
        <v>5109</v>
      </c>
      <c r="C1133" s="527">
        <v>43420</v>
      </c>
      <c r="D1133" s="191" t="s">
        <v>5110</v>
      </c>
      <c r="E1133" s="43" t="s">
        <v>1391</v>
      </c>
      <c r="F1133" s="191" t="s">
        <v>3786</v>
      </c>
      <c r="G1133" s="4" t="s">
        <v>364</v>
      </c>
      <c r="H1133" s="43" t="s">
        <v>423</v>
      </c>
      <c r="I1133" s="4" t="s">
        <v>1439</v>
      </c>
      <c r="J1133" s="4" t="s">
        <v>262</v>
      </c>
      <c r="K1133" s="4" t="s">
        <v>365</v>
      </c>
      <c r="L1133" s="4" t="s">
        <v>1738</v>
      </c>
      <c r="M1133" s="43" t="s">
        <v>4004</v>
      </c>
      <c r="N1133" s="255">
        <v>270000</v>
      </c>
      <c r="O1133" s="265">
        <v>55</v>
      </c>
      <c r="P1133" s="270">
        <v>1</v>
      </c>
      <c r="Q1133" s="255">
        <v>148500</v>
      </c>
      <c r="R1133" s="283">
        <v>148500</v>
      </c>
      <c r="S1133" s="283">
        <v>38892</v>
      </c>
      <c r="T1133" s="287">
        <v>0</v>
      </c>
      <c r="U1133" s="287">
        <v>1</v>
      </c>
      <c r="V1133" s="287">
        <v>0</v>
      </c>
      <c r="W1133" s="283">
        <v>12150</v>
      </c>
      <c r="X1133" s="283">
        <v>0</v>
      </c>
      <c r="Y1133" s="199" t="s">
        <v>1392</v>
      </c>
      <c r="Z1133" s="517" t="s">
        <v>5166</v>
      </c>
      <c r="AA1133" s="493" t="s">
        <v>1485</v>
      </c>
      <c r="AB1133" s="507"/>
    </row>
    <row r="1134" spans="2:28" x14ac:dyDescent="0.15">
      <c r="B1134" s="327" t="s">
        <v>5111</v>
      </c>
      <c r="C1134" s="527">
        <v>43420</v>
      </c>
      <c r="D1134" s="191" t="s">
        <v>5112</v>
      </c>
      <c r="E1134" s="43" t="s">
        <v>1391</v>
      </c>
      <c r="F1134" s="191" t="s">
        <v>3786</v>
      </c>
      <c r="G1134" s="4" t="s">
        <v>364</v>
      </c>
      <c r="H1134" s="43" t="s">
        <v>486</v>
      </c>
      <c r="I1134" s="4" t="s">
        <v>1406</v>
      </c>
      <c r="J1134" s="4" t="s">
        <v>299</v>
      </c>
      <c r="K1134" s="4" t="s">
        <v>373</v>
      </c>
      <c r="L1134" s="4" t="s">
        <v>5113</v>
      </c>
      <c r="M1134" s="43"/>
      <c r="N1134" s="255">
        <v>25100</v>
      </c>
      <c r="O1134" s="265">
        <v>100</v>
      </c>
      <c r="P1134" s="270">
        <v>1</v>
      </c>
      <c r="Q1134" s="255">
        <v>25100</v>
      </c>
      <c r="R1134" s="283">
        <v>25100</v>
      </c>
      <c r="S1134" s="283">
        <v>8898</v>
      </c>
      <c r="T1134" s="287">
        <v>0</v>
      </c>
      <c r="U1134" s="287">
        <v>0</v>
      </c>
      <c r="V1134" s="287">
        <v>0</v>
      </c>
      <c r="W1134" s="283">
        <v>8402</v>
      </c>
      <c r="X1134" s="283">
        <v>0</v>
      </c>
      <c r="Y1134" s="199" t="s">
        <v>1392</v>
      </c>
      <c r="Z1134" s="517" t="s">
        <v>5167</v>
      </c>
      <c r="AA1134" s="493" t="s">
        <v>1485</v>
      </c>
      <c r="AB1134" s="507"/>
    </row>
    <row r="1135" spans="2:28" x14ac:dyDescent="0.15">
      <c r="B1135" s="327" t="s">
        <v>5049</v>
      </c>
      <c r="C1135" s="527">
        <v>43421</v>
      </c>
      <c r="D1135" s="191" t="s">
        <v>5050</v>
      </c>
      <c r="E1135" s="43" t="s">
        <v>1396</v>
      </c>
      <c r="F1135" s="191" t="s">
        <v>3789</v>
      </c>
      <c r="G1135" s="4" t="s">
        <v>368</v>
      </c>
      <c r="H1135" s="43" t="s">
        <v>792</v>
      </c>
      <c r="I1135" s="4" t="s">
        <v>1413</v>
      </c>
      <c r="J1135" s="4" t="s">
        <v>262</v>
      </c>
      <c r="K1135" s="4" t="s">
        <v>365</v>
      </c>
      <c r="L1135" s="4" t="s">
        <v>1738</v>
      </c>
      <c r="M1135" s="43" t="s">
        <v>4004</v>
      </c>
      <c r="N1135" s="255">
        <v>270000</v>
      </c>
      <c r="O1135" s="265">
        <v>55</v>
      </c>
      <c r="P1135" s="270">
        <v>-1</v>
      </c>
      <c r="Q1135" s="255">
        <v>148500</v>
      </c>
      <c r="R1135" s="283">
        <v>-148500</v>
      </c>
      <c r="S1135" s="283">
        <v>-38892</v>
      </c>
      <c r="T1135" s="287">
        <v>0</v>
      </c>
      <c r="U1135" s="287">
        <v>-1</v>
      </c>
      <c r="V1135" s="287">
        <v>0</v>
      </c>
      <c r="W1135" s="283">
        <v>-12150</v>
      </c>
      <c r="X1135" s="283">
        <v>0</v>
      </c>
      <c r="Y1135" s="199" t="s">
        <v>1392</v>
      </c>
      <c r="Z1135" s="517" t="s">
        <v>5166</v>
      </c>
      <c r="AA1135" s="493"/>
      <c r="AB1135" s="507"/>
    </row>
    <row r="1136" spans="2:28" x14ac:dyDescent="0.15">
      <c r="B1136" s="327" t="s">
        <v>5114</v>
      </c>
      <c r="C1136" s="527">
        <v>43424</v>
      </c>
      <c r="D1136" s="191" t="s">
        <v>5115</v>
      </c>
      <c r="E1136" s="43" t="s">
        <v>1391</v>
      </c>
      <c r="F1136" s="191" t="s">
        <v>5116</v>
      </c>
      <c r="G1136" s="4" t="s">
        <v>2315</v>
      </c>
      <c r="H1136" s="43" t="s">
        <v>1131</v>
      </c>
      <c r="I1136" s="4" t="s">
        <v>4985</v>
      </c>
      <c r="J1136" s="4" t="s">
        <v>299</v>
      </c>
      <c r="K1136" s="4" t="s">
        <v>373</v>
      </c>
      <c r="L1136" s="4" t="s">
        <v>4341</v>
      </c>
      <c r="M1136" s="43"/>
      <c r="N1136" s="255">
        <v>24700</v>
      </c>
      <c r="O1136" s="265">
        <v>100</v>
      </c>
      <c r="P1136" s="270">
        <v>1</v>
      </c>
      <c r="Q1136" s="255">
        <v>24700</v>
      </c>
      <c r="R1136" s="283">
        <v>24700</v>
      </c>
      <c r="S1136" s="283">
        <v>3750</v>
      </c>
      <c r="T1136" s="287">
        <v>0</v>
      </c>
      <c r="U1136" s="287">
        <v>0</v>
      </c>
      <c r="V1136" s="287">
        <v>0</v>
      </c>
      <c r="W1136" s="283">
        <v>2850</v>
      </c>
      <c r="X1136" s="283">
        <v>0</v>
      </c>
      <c r="Y1136" s="199" t="s">
        <v>1392</v>
      </c>
      <c r="Z1136" s="517" t="s">
        <v>5167</v>
      </c>
      <c r="AA1136" s="493" t="s">
        <v>1485</v>
      </c>
      <c r="AB1136" s="507"/>
    </row>
    <row r="1137" spans="2:30" x14ac:dyDescent="0.15">
      <c r="B1137" s="327" t="s">
        <v>5117</v>
      </c>
      <c r="C1137" s="527">
        <v>43424</v>
      </c>
      <c r="D1137" s="191" t="s">
        <v>5118</v>
      </c>
      <c r="E1137" s="43" t="s">
        <v>1391</v>
      </c>
      <c r="F1137" s="191" t="s">
        <v>3786</v>
      </c>
      <c r="G1137" s="4" t="s">
        <v>364</v>
      </c>
      <c r="H1137" s="43" t="s">
        <v>508</v>
      </c>
      <c r="I1137" s="4" t="s">
        <v>4343</v>
      </c>
      <c r="J1137" s="4" t="s">
        <v>297</v>
      </c>
      <c r="K1137" s="4" t="s">
        <v>369</v>
      </c>
      <c r="L1137" s="4" t="s">
        <v>1484</v>
      </c>
      <c r="M1137" s="43"/>
      <c r="N1137" s="255">
        <v>200</v>
      </c>
      <c r="O1137" s="265">
        <v>50</v>
      </c>
      <c r="P1137" s="270">
        <v>100</v>
      </c>
      <c r="Q1137" s="255">
        <v>100</v>
      </c>
      <c r="R1137" s="283">
        <v>10000</v>
      </c>
      <c r="S1137" s="283">
        <v>7200</v>
      </c>
      <c r="T1137" s="287">
        <v>0</v>
      </c>
      <c r="U1137" s="287">
        <v>0</v>
      </c>
      <c r="V1137" s="287">
        <v>0</v>
      </c>
      <c r="W1137" s="283">
        <v>0</v>
      </c>
      <c r="X1137" s="283">
        <v>0</v>
      </c>
      <c r="Y1137" s="199" t="s">
        <v>1395</v>
      </c>
      <c r="Z1137" s="517" t="s">
        <v>5534</v>
      </c>
      <c r="AA1137" s="493" t="s">
        <v>1485</v>
      </c>
      <c r="AB1137" s="507"/>
      <c r="AD1137" s="283"/>
    </row>
    <row r="1138" spans="2:30" x14ac:dyDescent="0.15">
      <c r="B1138" s="327" t="s">
        <v>5117</v>
      </c>
      <c r="C1138" s="527">
        <v>43424</v>
      </c>
      <c r="D1138" s="191" t="s">
        <v>5118</v>
      </c>
      <c r="E1138" s="43" t="s">
        <v>1391</v>
      </c>
      <c r="F1138" s="191" t="s">
        <v>3786</v>
      </c>
      <c r="G1138" s="4" t="s">
        <v>364</v>
      </c>
      <c r="H1138" s="43" t="s">
        <v>508</v>
      </c>
      <c r="I1138" s="4" t="s">
        <v>4343</v>
      </c>
      <c r="J1138" s="4" t="s">
        <v>297</v>
      </c>
      <c r="K1138" s="4" t="s">
        <v>369</v>
      </c>
      <c r="L1138" s="4" t="s">
        <v>1509</v>
      </c>
      <c r="M1138" s="43"/>
      <c r="N1138" s="255">
        <v>200</v>
      </c>
      <c r="O1138" s="265">
        <v>50</v>
      </c>
      <c r="P1138" s="270">
        <v>100</v>
      </c>
      <c r="Q1138" s="255">
        <v>100</v>
      </c>
      <c r="R1138" s="283">
        <v>10000</v>
      </c>
      <c r="S1138" s="283">
        <v>7200</v>
      </c>
      <c r="T1138" s="287">
        <v>0</v>
      </c>
      <c r="U1138" s="287">
        <v>0</v>
      </c>
      <c r="V1138" s="287">
        <v>0</v>
      </c>
      <c r="W1138" s="283">
        <v>0</v>
      </c>
      <c r="X1138" s="283">
        <v>0</v>
      </c>
      <c r="Y1138" s="199" t="s">
        <v>1395</v>
      </c>
      <c r="Z1138" s="517" t="s">
        <v>5534</v>
      </c>
      <c r="AA1138" s="493" t="s">
        <v>1485</v>
      </c>
      <c r="AB1138" s="507"/>
      <c r="AD1138" s="283"/>
    </row>
    <row r="1139" spans="2:30" x14ac:dyDescent="0.15">
      <c r="B1139" s="327" t="s">
        <v>5119</v>
      </c>
      <c r="C1139" s="527">
        <v>43424</v>
      </c>
      <c r="D1139" s="191" t="s">
        <v>5120</v>
      </c>
      <c r="E1139" s="43" t="s">
        <v>1391</v>
      </c>
      <c r="F1139" s="191" t="s">
        <v>3786</v>
      </c>
      <c r="G1139" s="4" t="s">
        <v>364</v>
      </c>
      <c r="H1139" s="43" t="s">
        <v>476</v>
      </c>
      <c r="I1139" s="4" t="s">
        <v>1405</v>
      </c>
      <c r="J1139" s="4" t="s">
        <v>262</v>
      </c>
      <c r="K1139" s="4" t="s">
        <v>365</v>
      </c>
      <c r="L1139" s="4" t="s">
        <v>4576</v>
      </c>
      <c r="M1139" s="43" t="s">
        <v>4000</v>
      </c>
      <c r="N1139" s="255">
        <v>210000</v>
      </c>
      <c r="O1139" s="265">
        <v>100</v>
      </c>
      <c r="P1139" s="270">
        <v>1</v>
      </c>
      <c r="Q1139" s="255">
        <v>210000</v>
      </c>
      <c r="R1139" s="283">
        <v>210000</v>
      </c>
      <c r="S1139" s="283">
        <v>76322</v>
      </c>
      <c r="T1139" s="287">
        <v>0</v>
      </c>
      <c r="U1139" s="287">
        <v>1</v>
      </c>
      <c r="V1139" s="287">
        <v>0</v>
      </c>
      <c r="W1139" s="283">
        <v>27000</v>
      </c>
      <c r="X1139" s="283">
        <v>0</v>
      </c>
      <c r="Y1139" s="199" t="s">
        <v>1392</v>
      </c>
      <c r="Z1139" s="517" t="s">
        <v>5541</v>
      </c>
      <c r="AA1139" s="493" t="s">
        <v>1485</v>
      </c>
      <c r="AB1139" s="507"/>
    </row>
    <row r="1140" spans="2:30" x14ac:dyDescent="0.15">
      <c r="B1140" s="327" t="s">
        <v>5130</v>
      </c>
      <c r="C1140" s="527">
        <v>43424</v>
      </c>
      <c r="D1140" s="191" t="s">
        <v>5131</v>
      </c>
      <c r="E1140" s="43" t="s">
        <v>1391</v>
      </c>
      <c r="F1140" s="191" t="s">
        <v>4154</v>
      </c>
      <c r="G1140" s="4" t="s">
        <v>371</v>
      </c>
      <c r="H1140" s="43" t="s">
        <v>383</v>
      </c>
      <c r="I1140" s="4" t="s">
        <v>5128</v>
      </c>
      <c r="J1140" s="4" t="s">
        <v>298</v>
      </c>
      <c r="K1140" s="4" t="s">
        <v>1168</v>
      </c>
      <c r="L1140" s="4" t="s">
        <v>5132</v>
      </c>
      <c r="M1140" s="43"/>
      <c r="N1140" s="255">
        <v>2160</v>
      </c>
      <c r="O1140" s="265">
        <v>65</v>
      </c>
      <c r="P1140" s="270">
        <v>1</v>
      </c>
      <c r="Q1140" s="255">
        <v>1404</v>
      </c>
      <c r="R1140" s="283">
        <v>1404</v>
      </c>
      <c r="S1140" s="283">
        <v>0</v>
      </c>
      <c r="T1140" s="287">
        <v>0</v>
      </c>
      <c r="U1140" s="287">
        <v>0</v>
      </c>
      <c r="V1140" s="287">
        <v>0</v>
      </c>
      <c r="W1140" s="283">
        <v>0</v>
      </c>
      <c r="X1140" s="283">
        <v>0</v>
      </c>
      <c r="Y1140" s="199" t="s">
        <v>1392</v>
      </c>
      <c r="Z1140" s="517" t="s">
        <v>5166</v>
      </c>
      <c r="AA1140" s="493" t="s">
        <v>1485</v>
      </c>
      <c r="AB1140" s="507"/>
    </row>
    <row r="1141" spans="2:30" x14ac:dyDescent="0.15">
      <c r="B1141" s="327" t="s">
        <v>5135</v>
      </c>
      <c r="C1141" s="527">
        <v>43424</v>
      </c>
      <c r="D1141" s="191" t="s">
        <v>5136</v>
      </c>
      <c r="E1141" s="43" t="s">
        <v>1391</v>
      </c>
      <c r="F1141" s="191" t="s">
        <v>3786</v>
      </c>
      <c r="G1141" s="4" t="s">
        <v>364</v>
      </c>
      <c r="H1141" s="43" t="s">
        <v>506</v>
      </c>
      <c r="I1141" s="4" t="s">
        <v>1433</v>
      </c>
      <c r="J1141" s="4" t="s">
        <v>262</v>
      </c>
      <c r="K1141" s="4" t="s">
        <v>365</v>
      </c>
      <c r="L1141" s="4" t="s">
        <v>3735</v>
      </c>
      <c r="M1141" s="43" t="s">
        <v>5137</v>
      </c>
      <c r="N1141" s="255">
        <v>130000</v>
      </c>
      <c r="O1141" s="265">
        <v>100</v>
      </c>
      <c r="P1141" s="270">
        <v>1</v>
      </c>
      <c r="Q1141" s="255">
        <v>130000</v>
      </c>
      <c r="R1141" s="283">
        <v>130000</v>
      </c>
      <c r="S1141" s="283">
        <v>52820</v>
      </c>
      <c r="T1141" s="287">
        <v>1</v>
      </c>
      <c r="U1141" s="287">
        <v>0</v>
      </c>
      <c r="V1141" s="287">
        <v>0</v>
      </c>
      <c r="W1141" s="283">
        <v>0</v>
      </c>
      <c r="X1141" s="283">
        <v>0</v>
      </c>
      <c r="Y1141" s="199" t="s">
        <v>1395</v>
      </c>
      <c r="Z1141" s="517" t="s">
        <v>5534</v>
      </c>
      <c r="AA1141" s="493" t="s">
        <v>1485</v>
      </c>
      <c r="AB1141" s="507"/>
      <c r="AD1141" s="283"/>
    </row>
    <row r="1142" spans="2:30" x14ac:dyDescent="0.15">
      <c r="B1142" s="327" t="s">
        <v>5138</v>
      </c>
      <c r="C1142" s="527">
        <v>43424</v>
      </c>
      <c r="D1142" s="191" t="s">
        <v>5139</v>
      </c>
      <c r="E1142" s="43" t="s">
        <v>1391</v>
      </c>
      <c r="F1142" s="191" t="s">
        <v>3786</v>
      </c>
      <c r="G1142" s="4" t="s">
        <v>364</v>
      </c>
      <c r="H1142" s="43" t="s">
        <v>506</v>
      </c>
      <c r="I1142" s="4" t="s">
        <v>1433</v>
      </c>
      <c r="J1142" s="4" t="s">
        <v>262</v>
      </c>
      <c r="K1142" s="4" t="s">
        <v>365</v>
      </c>
      <c r="L1142" s="4" t="s">
        <v>5140</v>
      </c>
      <c r="M1142" s="191" t="s">
        <v>5141</v>
      </c>
      <c r="N1142" s="255">
        <v>130000</v>
      </c>
      <c r="O1142" s="265">
        <v>100</v>
      </c>
      <c r="P1142" s="270">
        <v>1</v>
      </c>
      <c r="Q1142" s="255">
        <v>130000</v>
      </c>
      <c r="R1142" s="283">
        <v>130000</v>
      </c>
      <c r="S1142" s="283">
        <v>52820</v>
      </c>
      <c r="T1142" s="287">
        <v>1</v>
      </c>
      <c r="U1142" s="287">
        <v>0</v>
      </c>
      <c r="V1142" s="287">
        <v>0</v>
      </c>
      <c r="W1142" s="283">
        <v>0</v>
      </c>
      <c r="X1142" s="283">
        <v>0</v>
      </c>
      <c r="Y1142" s="199" t="s">
        <v>1395</v>
      </c>
      <c r="Z1142" s="517" t="s">
        <v>5534</v>
      </c>
      <c r="AA1142" s="493" t="s">
        <v>1485</v>
      </c>
      <c r="AB1142" s="507"/>
      <c r="AD1142" s="283"/>
    </row>
    <row r="1143" spans="2:30" x14ac:dyDescent="0.15">
      <c r="B1143" s="327" t="s">
        <v>5142</v>
      </c>
      <c r="C1143" s="527">
        <v>43424</v>
      </c>
      <c r="D1143" s="191" t="s">
        <v>5143</v>
      </c>
      <c r="E1143" s="43" t="s">
        <v>1391</v>
      </c>
      <c r="F1143" s="191" t="s">
        <v>3786</v>
      </c>
      <c r="G1143" s="4" t="s">
        <v>364</v>
      </c>
      <c r="H1143" s="43" t="s">
        <v>504</v>
      </c>
      <c r="I1143" s="4" t="s">
        <v>1436</v>
      </c>
      <c r="J1143" s="4" t="s">
        <v>262</v>
      </c>
      <c r="K1143" s="4" t="s">
        <v>365</v>
      </c>
      <c r="L1143" s="4" t="s">
        <v>5140</v>
      </c>
      <c r="M1143" s="43" t="s">
        <v>5144</v>
      </c>
      <c r="N1143" s="255">
        <v>130000</v>
      </c>
      <c r="O1143" s="265">
        <v>100</v>
      </c>
      <c r="P1143" s="270">
        <v>1</v>
      </c>
      <c r="Q1143" s="255">
        <v>130000</v>
      </c>
      <c r="R1143" s="283">
        <v>130000</v>
      </c>
      <c r="S1143" s="283">
        <v>52820</v>
      </c>
      <c r="T1143" s="287">
        <v>1</v>
      </c>
      <c r="U1143" s="287">
        <v>0</v>
      </c>
      <c r="V1143" s="287">
        <v>0</v>
      </c>
      <c r="W1143" s="283">
        <v>0</v>
      </c>
      <c r="X1143" s="283">
        <v>0</v>
      </c>
      <c r="Y1143" s="199" t="s">
        <v>1395</v>
      </c>
      <c r="Z1143" s="517" t="s">
        <v>5534</v>
      </c>
      <c r="AA1143" s="493" t="s">
        <v>1485</v>
      </c>
      <c r="AB1143" s="507"/>
      <c r="AD1143" s="283"/>
    </row>
    <row r="1144" spans="2:30" x14ac:dyDescent="0.15">
      <c r="B1144" s="327" t="s">
        <v>5148</v>
      </c>
      <c r="C1144" s="527">
        <v>43424</v>
      </c>
      <c r="D1144" s="191" t="s">
        <v>5149</v>
      </c>
      <c r="E1144" s="43" t="s">
        <v>1396</v>
      </c>
      <c r="F1144" s="191" t="s">
        <v>21</v>
      </c>
      <c r="G1144" s="4" t="s">
        <v>50</v>
      </c>
      <c r="H1144" s="43" t="s">
        <v>2685</v>
      </c>
      <c r="I1144" s="4" t="s">
        <v>2376</v>
      </c>
      <c r="J1144" s="4"/>
      <c r="K1144" s="4"/>
      <c r="L1144" s="4" t="s">
        <v>2686</v>
      </c>
      <c r="M1144" s="43"/>
      <c r="N1144" s="255">
        <v>276018</v>
      </c>
      <c r="O1144" s="265">
        <v>100</v>
      </c>
      <c r="P1144" s="270">
        <v>-1</v>
      </c>
      <c r="Q1144" s="255">
        <v>276018</v>
      </c>
      <c r="R1144" s="283">
        <v>-276018</v>
      </c>
      <c r="S1144" s="283">
        <v>-276018</v>
      </c>
      <c r="T1144" s="287">
        <v>0</v>
      </c>
      <c r="U1144" s="287">
        <v>0</v>
      </c>
      <c r="V1144" s="287">
        <v>0</v>
      </c>
      <c r="W1144" s="283">
        <v>0</v>
      </c>
      <c r="X1144" s="283">
        <v>0</v>
      </c>
      <c r="Y1144" s="199" t="s">
        <v>1392</v>
      </c>
      <c r="Z1144" s="517" t="s">
        <v>5166</v>
      </c>
      <c r="AA1144" s="493"/>
      <c r="AB1144" s="507"/>
    </row>
    <row r="1145" spans="2:30" x14ac:dyDescent="0.15">
      <c r="B1145" s="327" t="s">
        <v>5013</v>
      </c>
      <c r="C1145" s="527">
        <v>43425</v>
      </c>
      <c r="D1145" s="191" t="s">
        <v>5014</v>
      </c>
      <c r="E1145" s="43" t="s">
        <v>1396</v>
      </c>
      <c r="F1145" s="191" t="s">
        <v>21</v>
      </c>
      <c r="G1145" s="4" t="s">
        <v>50</v>
      </c>
      <c r="H1145" s="43" t="s">
        <v>380</v>
      </c>
      <c r="I1145" s="4" t="s">
        <v>1976</v>
      </c>
      <c r="J1145" s="4" t="s">
        <v>272</v>
      </c>
      <c r="K1145" s="4" t="s">
        <v>363</v>
      </c>
      <c r="L1145" s="4" t="s">
        <v>2043</v>
      </c>
      <c r="M1145" s="43" t="s">
        <v>5028</v>
      </c>
      <c r="N1145" s="255">
        <v>186000</v>
      </c>
      <c r="O1145" s="265">
        <v>100</v>
      </c>
      <c r="P1145" s="270">
        <v>1</v>
      </c>
      <c r="Q1145" s="255">
        <v>186000</v>
      </c>
      <c r="R1145" s="283">
        <v>186000</v>
      </c>
      <c r="S1145" s="283">
        <v>46029</v>
      </c>
      <c r="T1145" s="287">
        <v>0</v>
      </c>
      <c r="U1145" s="287">
        <v>1</v>
      </c>
      <c r="V1145" s="287">
        <v>0</v>
      </c>
      <c r="W1145" s="283">
        <v>21461</v>
      </c>
      <c r="X1145" s="283">
        <v>0</v>
      </c>
      <c r="Y1145" s="199" t="s">
        <v>1392</v>
      </c>
      <c r="Z1145" s="517" t="s">
        <v>5166</v>
      </c>
      <c r="AA1145" s="493" t="s">
        <v>1485</v>
      </c>
      <c r="AB1145" s="507"/>
    </row>
    <row r="1146" spans="2:30" x14ac:dyDescent="0.15">
      <c r="B1146" s="333" t="s">
        <v>5016</v>
      </c>
      <c r="C1146" s="528">
        <v>43425</v>
      </c>
      <c r="D1146" s="198" t="s">
        <v>5017</v>
      </c>
      <c r="E1146" s="53" t="s">
        <v>1396</v>
      </c>
      <c r="F1146" s="198" t="s">
        <v>21</v>
      </c>
      <c r="G1146" s="3" t="s">
        <v>50</v>
      </c>
      <c r="H1146" s="53" t="s">
        <v>379</v>
      </c>
      <c r="I1146" s="3" t="s">
        <v>2551</v>
      </c>
      <c r="J1146" s="3" t="s">
        <v>265</v>
      </c>
      <c r="K1146" s="3" t="s">
        <v>1155</v>
      </c>
      <c r="L1146" s="3" t="s">
        <v>5029</v>
      </c>
      <c r="M1146" s="53" t="s">
        <v>5030</v>
      </c>
      <c r="N1146" s="258">
        <v>340000</v>
      </c>
      <c r="O1146" s="266">
        <v>60</v>
      </c>
      <c r="P1146" s="272">
        <v>1</v>
      </c>
      <c r="Q1146" s="258">
        <v>204000</v>
      </c>
      <c r="R1146" s="286">
        <v>204000</v>
      </c>
      <c r="S1146" s="286">
        <v>56885</v>
      </c>
      <c r="T1146" s="288">
        <v>0</v>
      </c>
      <c r="U1146" s="288">
        <v>1</v>
      </c>
      <c r="V1146" s="288">
        <v>0</v>
      </c>
      <c r="W1146" s="286">
        <v>20400</v>
      </c>
      <c r="X1146" s="286">
        <v>0</v>
      </c>
      <c r="Y1146" s="200" t="s">
        <v>1392</v>
      </c>
      <c r="Z1146" s="517" t="s">
        <v>5166</v>
      </c>
      <c r="AA1146" s="499" t="s">
        <v>1485</v>
      </c>
      <c r="AB1146" s="508"/>
    </row>
    <row r="1147" spans="2:30" x14ac:dyDescent="0.15">
      <c r="B1147" s="327" t="s">
        <v>5031</v>
      </c>
      <c r="C1147" s="527">
        <v>43425</v>
      </c>
      <c r="D1147" s="191" t="s">
        <v>5032</v>
      </c>
      <c r="E1147" s="43" t="s">
        <v>1396</v>
      </c>
      <c r="F1147" s="191" t="s">
        <v>21</v>
      </c>
      <c r="G1147" s="4" t="s">
        <v>50</v>
      </c>
      <c r="H1147" s="43" t="s">
        <v>381</v>
      </c>
      <c r="I1147" s="4" t="s">
        <v>1408</v>
      </c>
      <c r="J1147" s="4" t="s">
        <v>270</v>
      </c>
      <c r="K1147" s="4" t="s">
        <v>539</v>
      </c>
      <c r="L1147" s="4" t="s">
        <v>5033</v>
      </c>
      <c r="M1147" s="43" t="s">
        <v>5034</v>
      </c>
      <c r="N1147" s="255">
        <v>318000</v>
      </c>
      <c r="O1147" s="265">
        <v>60</v>
      </c>
      <c r="P1147" s="270">
        <v>1</v>
      </c>
      <c r="Q1147" s="255">
        <v>190800</v>
      </c>
      <c r="R1147" s="283">
        <v>190800</v>
      </c>
      <c r="S1147" s="283">
        <v>54919</v>
      </c>
      <c r="T1147" s="287">
        <v>0</v>
      </c>
      <c r="U1147" s="287">
        <v>1</v>
      </c>
      <c r="V1147" s="287">
        <v>0</v>
      </c>
      <c r="W1147" s="283">
        <v>19080</v>
      </c>
      <c r="X1147" s="283">
        <v>0</v>
      </c>
      <c r="Y1147" s="199" t="s">
        <v>1392</v>
      </c>
      <c r="Z1147" s="517" t="s">
        <v>5166</v>
      </c>
      <c r="AA1147" s="493" t="s">
        <v>1485</v>
      </c>
      <c r="AB1147" s="507"/>
    </row>
    <row r="1148" spans="2:30" x14ac:dyDescent="0.15">
      <c r="B1148" s="327" t="s">
        <v>5068</v>
      </c>
      <c r="C1148" s="527">
        <v>43425</v>
      </c>
      <c r="D1148" s="191" t="s">
        <v>5069</v>
      </c>
      <c r="E1148" s="43" t="s">
        <v>1396</v>
      </c>
      <c r="F1148" s="191" t="s">
        <v>21</v>
      </c>
      <c r="G1148" s="4" t="s">
        <v>50</v>
      </c>
      <c r="H1148" s="43" t="s">
        <v>379</v>
      </c>
      <c r="I1148" s="4" t="s">
        <v>2551</v>
      </c>
      <c r="J1148" s="4" t="s">
        <v>265</v>
      </c>
      <c r="K1148" s="4" t="s">
        <v>1155</v>
      </c>
      <c r="L1148" s="4" t="s">
        <v>5029</v>
      </c>
      <c r="M1148" s="43" t="s">
        <v>5030</v>
      </c>
      <c r="N1148" s="255">
        <v>340000</v>
      </c>
      <c r="O1148" s="265">
        <v>60</v>
      </c>
      <c r="P1148" s="270">
        <v>-1</v>
      </c>
      <c r="Q1148" s="255">
        <v>204000</v>
      </c>
      <c r="R1148" s="283">
        <v>-204000</v>
      </c>
      <c r="S1148" s="283">
        <v>-56885</v>
      </c>
      <c r="T1148" s="287">
        <v>0</v>
      </c>
      <c r="U1148" s="287">
        <v>-1</v>
      </c>
      <c r="V1148" s="287">
        <v>0</v>
      </c>
      <c r="W1148" s="283">
        <v>20400</v>
      </c>
      <c r="X1148" s="283">
        <v>0</v>
      </c>
      <c r="Y1148" s="199" t="s">
        <v>1392</v>
      </c>
      <c r="Z1148" s="517" t="s">
        <v>5166</v>
      </c>
      <c r="AA1148" s="493" t="s">
        <v>1485</v>
      </c>
      <c r="AB1148" s="507"/>
    </row>
    <row r="1149" spans="2:30" x14ac:dyDescent="0.15">
      <c r="B1149" s="327" t="s">
        <v>5121</v>
      </c>
      <c r="C1149" s="527">
        <v>43426</v>
      </c>
      <c r="D1149" s="191" t="s">
        <v>5122</v>
      </c>
      <c r="E1149" s="43" t="s">
        <v>1396</v>
      </c>
      <c r="F1149" s="191" t="s">
        <v>21</v>
      </c>
      <c r="G1149" s="4" t="s">
        <v>50</v>
      </c>
      <c r="H1149" s="43" t="s">
        <v>381</v>
      </c>
      <c r="I1149" s="4" t="s">
        <v>1408</v>
      </c>
      <c r="J1149" s="4" t="s">
        <v>272</v>
      </c>
      <c r="K1149" s="4" t="s">
        <v>363</v>
      </c>
      <c r="L1149" s="4" t="s">
        <v>5123</v>
      </c>
      <c r="M1149" s="43" t="s">
        <v>5124</v>
      </c>
      <c r="N1149" s="255">
        <v>186000</v>
      </c>
      <c r="O1149" s="265">
        <v>100</v>
      </c>
      <c r="P1149" s="270">
        <v>1</v>
      </c>
      <c r="Q1149" s="255">
        <v>186000</v>
      </c>
      <c r="R1149" s="283">
        <v>186000</v>
      </c>
      <c r="S1149" s="283">
        <v>46026</v>
      </c>
      <c r="T1149" s="287">
        <v>0</v>
      </c>
      <c r="U1149" s="287">
        <v>1</v>
      </c>
      <c r="V1149" s="287">
        <v>0</v>
      </c>
      <c r="W1149" s="283">
        <v>21461</v>
      </c>
      <c r="X1149" s="283">
        <v>0</v>
      </c>
      <c r="Y1149" s="199" t="s">
        <v>1392</v>
      </c>
      <c r="Z1149" s="517" t="s">
        <v>5542</v>
      </c>
      <c r="AA1149" s="493" t="s">
        <v>1485</v>
      </c>
      <c r="AB1149" s="507"/>
    </row>
    <row r="1150" spans="2:30" x14ac:dyDescent="0.15">
      <c r="B1150" s="327" t="s">
        <v>5125</v>
      </c>
      <c r="C1150" s="527">
        <v>43426</v>
      </c>
      <c r="D1150" s="191" t="s">
        <v>5126</v>
      </c>
      <c r="E1150" s="43" t="s">
        <v>1396</v>
      </c>
      <c r="F1150" s="191" t="s">
        <v>21</v>
      </c>
      <c r="G1150" s="4" t="s">
        <v>50</v>
      </c>
      <c r="H1150" s="43" t="s">
        <v>381</v>
      </c>
      <c r="I1150" s="4" t="s">
        <v>1408</v>
      </c>
      <c r="J1150" s="4" t="s">
        <v>298</v>
      </c>
      <c r="K1150" s="4" t="s">
        <v>1168</v>
      </c>
      <c r="L1150" s="4" t="s">
        <v>5127</v>
      </c>
      <c r="M1150" s="43"/>
      <c r="N1150" s="255">
        <v>3000</v>
      </c>
      <c r="O1150" s="265">
        <v>100</v>
      </c>
      <c r="P1150" s="270">
        <v>1</v>
      </c>
      <c r="Q1150" s="255">
        <v>3000</v>
      </c>
      <c r="R1150" s="283">
        <v>3000</v>
      </c>
      <c r="S1150" s="283">
        <v>808</v>
      </c>
      <c r="T1150" s="287">
        <v>0</v>
      </c>
      <c r="U1150" s="287">
        <v>0</v>
      </c>
      <c r="V1150" s="287">
        <v>0</v>
      </c>
      <c r="W1150" s="283">
        <v>2192</v>
      </c>
      <c r="X1150" s="283">
        <v>0</v>
      </c>
      <c r="Y1150" s="199" t="s">
        <v>1392</v>
      </c>
      <c r="Z1150" s="517" t="s">
        <v>5166</v>
      </c>
      <c r="AA1150" s="493" t="s">
        <v>1485</v>
      </c>
      <c r="AB1150" s="507"/>
    </row>
    <row r="1151" spans="2:30" x14ac:dyDescent="0.15">
      <c r="B1151" s="327" t="s">
        <v>5133</v>
      </c>
      <c r="C1151" s="527">
        <v>43426</v>
      </c>
      <c r="D1151" s="191" t="s">
        <v>5134</v>
      </c>
      <c r="E1151" s="43" t="s">
        <v>1396</v>
      </c>
      <c r="F1151" s="191" t="s">
        <v>3789</v>
      </c>
      <c r="G1151" s="4" t="s">
        <v>368</v>
      </c>
      <c r="H1151" s="43" t="s">
        <v>792</v>
      </c>
      <c r="I1151" s="4" t="s">
        <v>1413</v>
      </c>
      <c r="J1151" s="4" t="s">
        <v>295</v>
      </c>
      <c r="K1151" s="4" t="s">
        <v>1166</v>
      </c>
      <c r="L1151" s="4" t="s">
        <v>1512</v>
      </c>
      <c r="M1151" s="43"/>
      <c r="N1151" s="255">
        <v>34000</v>
      </c>
      <c r="O1151" s="265">
        <v>65</v>
      </c>
      <c r="P1151" s="270">
        <v>1</v>
      </c>
      <c r="Q1151" s="255">
        <v>22100</v>
      </c>
      <c r="R1151" s="283">
        <v>22100</v>
      </c>
      <c r="S1151" s="283">
        <v>3600</v>
      </c>
      <c r="T1151" s="287">
        <v>0</v>
      </c>
      <c r="U1151" s="287">
        <v>0</v>
      </c>
      <c r="V1151" s="287">
        <v>0</v>
      </c>
      <c r="W1151" s="283">
        <v>2550</v>
      </c>
      <c r="X1151" s="283">
        <v>0</v>
      </c>
      <c r="Y1151" s="199" t="s">
        <v>1392</v>
      </c>
      <c r="Z1151" s="517" t="s">
        <v>5166</v>
      </c>
      <c r="AA1151" s="493" t="s">
        <v>1485</v>
      </c>
      <c r="AB1151" s="507"/>
    </row>
    <row r="1152" spans="2:30" x14ac:dyDescent="0.15">
      <c r="B1152" s="327" t="s">
        <v>5145</v>
      </c>
      <c r="C1152" s="527">
        <v>43426</v>
      </c>
      <c r="D1152" s="191" t="s">
        <v>5146</v>
      </c>
      <c r="E1152" s="43" t="s">
        <v>2382</v>
      </c>
      <c r="F1152" s="191" t="s">
        <v>3842</v>
      </c>
      <c r="G1152" s="4" t="s">
        <v>2375</v>
      </c>
      <c r="H1152" s="43"/>
      <c r="I1152" s="4" t="s">
        <v>4815</v>
      </c>
      <c r="J1152" s="4" t="s">
        <v>299</v>
      </c>
      <c r="K1152" s="4" t="s">
        <v>373</v>
      </c>
      <c r="L1152" s="4" t="s">
        <v>5147</v>
      </c>
      <c r="M1152" s="43"/>
      <c r="N1152" s="255">
        <v>3600</v>
      </c>
      <c r="O1152" s="265">
        <v>100</v>
      </c>
      <c r="P1152" s="270">
        <v>1</v>
      </c>
      <c r="Q1152" s="255">
        <v>3600</v>
      </c>
      <c r="R1152" s="283">
        <v>3600</v>
      </c>
      <c r="S1152" s="283">
        <v>2304</v>
      </c>
      <c r="T1152" s="287">
        <v>0</v>
      </c>
      <c r="U1152" s="287">
        <v>0</v>
      </c>
      <c r="V1152" s="287">
        <v>0</v>
      </c>
      <c r="W1152" s="283">
        <v>0</v>
      </c>
      <c r="X1152" s="283">
        <v>0</v>
      </c>
      <c r="Y1152" s="199" t="s">
        <v>1395</v>
      </c>
      <c r="Z1152" s="517" t="s">
        <v>5451</v>
      </c>
      <c r="AA1152" s="493"/>
      <c r="AB1152" s="507"/>
    </row>
    <row r="1153" spans="2:30" x14ac:dyDescent="0.15">
      <c r="B1153" s="333" t="s">
        <v>5190</v>
      </c>
      <c r="C1153" s="528">
        <v>43429</v>
      </c>
      <c r="D1153" s="198" t="s">
        <v>5191</v>
      </c>
      <c r="E1153" s="53" t="s">
        <v>1391</v>
      </c>
      <c r="F1153" s="198" t="s">
        <v>3786</v>
      </c>
      <c r="G1153" s="3" t="s">
        <v>364</v>
      </c>
      <c r="H1153" s="53" t="s">
        <v>519</v>
      </c>
      <c r="I1153" s="3" t="s">
        <v>1526</v>
      </c>
      <c r="J1153" s="4" t="s">
        <v>262</v>
      </c>
      <c r="K1153" s="4" t="s">
        <v>365</v>
      </c>
      <c r="L1153" s="4" t="s">
        <v>1690</v>
      </c>
      <c r="M1153" s="43" t="s">
        <v>5192</v>
      </c>
      <c r="N1153" s="255">
        <v>260000</v>
      </c>
      <c r="O1153" s="265">
        <v>60</v>
      </c>
      <c r="P1153" s="270">
        <v>1</v>
      </c>
      <c r="Q1153" s="255">
        <v>156000</v>
      </c>
      <c r="R1153" s="283">
        <v>156000</v>
      </c>
      <c r="S1153" s="283">
        <v>59155</v>
      </c>
      <c r="T1153" s="287">
        <v>1</v>
      </c>
      <c r="U1153" s="287">
        <v>0</v>
      </c>
      <c r="V1153" s="287">
        <v>0</v>
      </c>
      <c r="W1153" s="283">
        <v>0</v>
      </c>
      <c r="X1153" s="283">
        <v>0</v>
      </c>
      <c r="Y1153" s="199" t="s">
        <v>1395</v>
      </c>
      <c r="Z1153" s="517" t="s">
        <v>5170</v>
      </c>
      <c r="AA1153" s="493" t="s">
        <v>1485</v>
      </c>
      <c r="AB1153" s="507"/>
    </row>
    <row r="1154" spans="2:30" x14ac:dyDescent="0.15">
      <c r="B1154" s="333" t="s">
        <v>5193</v>
      </c>
      <c r="C1154" s="528">
        <v>43429</v>
      </c>
      <c r="D1154" s="198" t="s">
        <v>5194</v>
      </c>
      <c r="E1154" s="53" t="s">
        <v>1391</v>
      </c>
      <c r="F1154" s="198" t="s">
        <v>3786</v>
      </c>
      <c r="G1154" s="3" t="s">
        <v>364</v>
      </c>
      <c r="H1154" s="53" t="s">
        <v>518</v>
      </c>
      <c r="I1154" s="3" t="s">
        <v>2759</v>
      </c>
      <c r="J1154" s="4" t="s">
        <v>268</v>
      </c>
      <c r="K1154" s="4" t="s">
        <v>1158</v>
      </c>
      <c r="L1154" s="4" t="s">
        <v>2398</v>
      </c>
      <c r="M1154" s="43" t="s">
        <v>5195</v>
      </c>
      <c r="N1154" s="255">
        <v>260000</v>
      </c>
      <c r="O1154" s="265">
        <v>60</v>
      </c>
      <c r="P1154" s="270">
        <v>1</v>
      </c>
      <c r="Q1154" s="255">
        <v>156000</v>
      </c>
      <c r="R1154" s="283">
        <v>156000</v>
      </c>
      <c r="S1154" s="283">
        <v>61429</v>
      </c>
      <c r="T1154" s="287">
        <v>1</v>
      </c>
      <c r="U1154" s="287">
        <v>0</v>
      </c>
      <c r="V1154" s="287">
        <v>0</v>
      </c>
      <c r="W1154" s="283">
        <v>0</v>
      </c>
      <c r="X1154" s="283">
        <v>0</v>
      </c>
      <c r="Y1154" s="199" t="s">
        <v>1395</v>
      </c>
      <c r="Z1154" s="517" t="s">
        <v>5170</v>
      </c>
      <c r="AA1154" s="493" t="s">
        <v>1485</v>
      </c>
      <c r="AB1154" s="507"/>
    </row>
    <row r="1155" spans="2:30" x14ac:dyDescent="0.15">
      <c r="B1155" s="333" t="s">
        <v>5196</v>
      </c>
      <c r="C1155" s="528">
        <v>43430</v>
      </c>
      <c r="D1155" s="198" t="s">
        <v>5197</v>
      </c>
      <c r="E1155" s="53" t="s">
        <v>2382</v>
      </c>
      <c r="F1155" s="198" t="s">
        <v>3842</v>
      </c>
      <c r="G1155" s="3" t="s">
        <v>2375</v>
      </c>
      <c r="H1155" s="53"/>
      <c r="I1155" s="3" t="s">
        <v>5198</v>
      </c>
      <c r="J1155" s="3" t="s">
        <v>265</v>
      </c>
      <c r="K1155" s="3" t="s">
        <v>1155</v>
      </c>
      <c r="L1155" s="3" t="s">
        <v>5199</v>
      </c>
      <c r="M1155" s="53" t="s">
        <v>2275</v>
      </c>
      <c r="N1155" s="258">
        <v>360000</v>
      </c>
      <c r="O1155" s="266">
        <v>100</v>
      </c>
      <c r="P1155" s="272">
        <v>1</v>
      </c>
      <c r="Q1155" s="258">
        <v>360000</v>
      </c>
      <c r="R1155" s="286">
        <v>360000</v>
      </c>
      <c r="S1155" s="286">
        <v>236660</v>
      </c>
      <c r="T1155" s="288">
        <v>1</v>
      </c>
      <c r="U1155" s="288">
        <v>0</v>
      </c>
      <c r="V1155" s="288">
        <v>0</v>
      </c>
      <c r="W1155" s="286">
        <v>0</v>
      </c>
      <c r="X1155" s="286">
        <v>0</v>
      </c>
      <c r="Y1155" s="199" t="s">
        <v>1395</v>
      </c>
      <c r="Z1155" s="517" t="s">
        <v>5451</v>
      </c>
      <c r="AA1155" s="493"/>
      <c r="AB1155" s="507"/>
    </row>
    <row r="1156" spans="2:30" x14ac:dyDescent="0.15">
      <c r="B1156" s="333" t="s">
        <v>5200</v>
      </c>
      <c r="C1156" s="528">
        <v>43432</v>
      </c>
      <c r="D1156" s="198" t="s">
        <v>5201</v>
      </c>
      <c r="E1156" s="53" t="s">
        <v>1391</v>
      </c>
      <c r="F1156" s="198" t="s">
        <v>3786</v>
      </c>
      <c r="G1156" s="3" t="s">
        <v>364</v>
      </c>
      <c r="H1156" s="53" t="s">
        <v>470</v>
      </c>
      <c r="I1156" s="3" t="s">
        <v>1597</v>
      </c>
      <c r="J1156" s="4" t="s">
        <v>264</v>
      </c>
      <c r="K1156" s="4" t="s">
        <v>538</v>
      </c>
      <c r="L1156" s="4" t="s">
        <v>2017</v>
      </c>
      <c r="M1156" s="43" t="s">
        <v>5202</v>
      </c>
      <c r="N1156" s="255">
        <v>320000</v>
      </c>
      <c r="O1156" s="265">
        <v>60</v>
      </c>
      <c r="P1156" s="270">
        <v>1</v>
      </c>
      <c r="Q1156" s="255">
        <v>192000</v>
      </c>
      <c r="R1156" s="283">
        <v>192000</v>
      </c>
      <c r="S1156" s="283">
        <v>84788</v>
      </c>
      <c r="T1156" s="287">
        <v>1</v>
      </c>
      <c r="U1156" s="287">
        <v>0</v>
      </c>
      <c r="V1156" s="287">
        <v>0</v>
      </c>
      <c r="W1156" s="283">
        <v>0</v>
      </c>
      <c r="X1156" s="283">
        <v>0</v>
      </c>
      <c r="Y1156" s="199" t="s">
        <v>1395</v>
      </c>
      <c r="Z1156" s="517" t="s">
        <v>5556</v>
      </c>
      <c r="AA1156" s="493" t="s">
        <v>1485</v>
      </c>
      <c r="AB1156" s="507"/>
    </row>
    <row r="1157" spans="2:30" x14ac:dyDescent="0.15">
      <c r="B1157" s="333" t="s">
        <v>5203</v>
      </c>
      <c r="C1157" s="528">
        <v>43432</v>
      </c>
      <c r="D1157" s="198" t="s">
        <v>5204</v>
      </c>
      <c r="E1157" s="53" t="s">
        <v>1391</v>
      </c>
      <c r="F1157" s="198" t="s">
        <v>5205</v>
      </c>
      <c r="G1157" s="3" t="s">
        <v>5206</v>
      </c>
      <c r="H1157" s="53"/>
      <c r="I1157" s="3"/>
      <c r="J1157" s="4" t="s">
        <v>299</v>
      </c>
      <c r="K1157" s="4" t="s">
        <v>373</v>
      </c>
      <c r="L1157" s="4" t="s">
        <v>5207</v>
      </c>
      <c r="M1157" s="43"/>
      <c r="N1157" s="255">
        <v>10000</v>
      </c>
      <c r="O1157" s="265">
        <v>65</v>
      </c>
      <c r="P1157" s="270">
        <v>1</v>
      </c>
      <c r="Q1157" s="255">
        <v>6500</v>
      </c>
      <c r="R1157" s="283">
        <v>6500</v>
      </c>
      <c r="S1157" s="283">
        <v>2500</v>
      </c>
      <c r="T1157" s="287">
        <v>0</v>
      </c>
      <c r="U1157" s="287">
        <v>0</v>
      </c>
      <c r="V1157" s="287">
        <v>0</v>
      </c>
      <c r="W1157" s="283">
        <v>0</v>
      </c>
      <c r="X1157" s="283">
        <v>0</v>
      </c>
      <c r="Y1157" s="199" t="s">
        <v>1395</v>
      </c>
      <c r="Z1157" s="517" t="s">
        <v>5449</v>
      </c>
      <c r="AA1157" s="493" t="s">
        <v>1485</v>
      </c>
      <c r="AB1157" s="507"/>
    </row>
    <row r="1158" spans="2:30" x14ac:dyDescent="0.15">
      <c r="B1158" s="333" t="s">
        <v>5203</v>
      </c>
      <c r="C1158" s="528">
        <v>43432</v>
      </c>
      <c r="D1158" s="198" t="s">
        <v>5204</v>
      </c>
      <c r="E1158" s="53" t="s">
        <v>1391</v>
      </c>
      <c r="F1158" s="198" t="s">
        <v>5205</v>
      </c>
      <c r="G1158" s="3" t="s">
        <v>5206</v>
      </c>
      <c r="H1158" s="53"/>
      <c r="I1158" s="3"/>
      <c r="J1158" s="4" t="s">
        <v>298</v>
      </c>
      <c r="K1158" s="4" t="s">
        <v>1168</v>
      </c>
      <c r="L1158" s="4" t="s">
        <v>4865</v>
      </c>
      <c r="M1158" s="43"/>
      <c r="N1158" s="255">
        <v>18000</v>
      </c>
      <c r="O1158" s="265">
        <v>65</v>
      </c>
      <c r="P1158" s="270">
        <v>1</v>
      </c>
      <c r="Q1158" s="255">
        <v>11700</v>
      </c>
      <c r="R1158" s="283">
        <v>11700</v>
      </c>
      <c r="S1158" s="283">
        <v>7050</v>
      </c>
      <c r="T1158" s="287">
        <v>0</v>
      </c>
      <c r="U1158" s="287">
        <v>0</v>
      </c>
      <c r="V1158" s="287">
        <v>0</v>
      </c>
      <c r="W1158" s="283">
        <v>0</v>
      </c>
      <c r="X1158" s="283">
        <v>0</v>
      </c>
      <c r="Y1158" s="199" t="s">
        <v>1395</v>
      </c>
      <c r="Z1158" s="517" t="s">
        <v>5449</v>
      </c>
      <c r="AA1158" s="493" t="s">
        <v>1485</v>
      </c>
      <c r="AB1158" s="507"/>
    </row>
    <row r="1159" spans="2:30" x14ac:dyDescent="0.15">
      <c r="B1159" s="333" t="s">
        <v>5193</v>
      </c>
      <c r="C1159" s="528">
        <v>43432</v>
      </c>
      <c r="D1159" s="198" t="s">
        <v>5194</v>
      </c>
      <c r="E1159" s="53" t="s">
        <v>1396</v>
      </c>
      <c r="F1159" s="198" t="s">
        <v>21</v>
      </c>
      <c r="G1159" s="3" t="s">
        <v>50</v>
      </c>
      <c r="H1159" s="53" t="s">
        <v>381</v>
      </c>
      <c r="I1159" s="3" t="s">
        <v>1408</v>
      </c>
      <c r="J1159" s="4" t="s">
        <v>271</v>
      </c>
      <c r="K1159" s="4" t="s">
        <v>1160</v>
      </c>
      <c r="L1159" s="4" t="s">
        <v>1503</v>
      </c>
      <c r="M1159" s="43" t="s">
        <v>5208</v>
      </c>
      <c r="N1159" s="255">
        <v>234000</v>
      </c>
      <c r="O1159" s="265">
        <v>100</v>
      </c>
      <c r="P1159" s="270">
        <v>1</v>
      </c>
      <c r="Q1159" s="255">
        <v>234000</v>
      </c>
      <c r="R1159" s="283">
        <v>234000</v>
      </c>
      <c r="S1159" s="283">
        <v>56536</v>
      </c>
      <c r="T1159" s="287">
        <v>0</v>
      </c>
      <c r="U1159" s="287">
        <v>1</v>
      </c>
      <c r="V1159" s="287">
        <v>0</v>
      </c>
      <c r="W1159" s="283">
        <v>27000</v>
      </c>
      <c r="X1159" s="283">
        <v>0</v>
      </c>
      <c r="Y1159" s="199" t="s">
        <v>1392</v>
      </c>
      <c r="Z1159" s="517" t="s">
        <v>5166</v>
      </c>
      <c r="AA1159" s="493" t="s">
        <v>1485</v>
      </c>
      <c r="AB1159" s="507"/>
    </row>
    <row r="1160" spans="2:30" x14ac:dyDescent="0.15">
      <c r="B1160" s="333" t="s">
        <v>5148</v>
      </c>
      <c r="C1160" s="528">
        <v>43435</v>
      </c>
      <c r="D1160" s="198" t="s">
        <v>5149</v>
      </c>
      <c r="E1160" s="53" t="s">
        <v>1391</v>
      </c>
      <c r="F1160" s="198" t="s">
        <v>3783</v>
      </c>
      <c r="G1160" s="3" t="s">
        <v>362</v>
      </c>
      <c r="H1160" s="53" t="s">
        <v>689</v>
      </c>
      <c r="I1160" s="3" t="s">
        <v>1394</v>
      </c>
      <c r="J1160" s="4" t="s">
        <v>262</v>
      </c>
      <c r="K1160" s="4" t="s">
        <v>365</v>
      </c>
      <c r="L1160" s="4" t="s">
        <v>5209</v>
      </c>
      <c r="M1160" s="43" t="s">
        <v>5210</v>
      </c>
      <c r="N1160" s="255">
        <v>270000</v>
      </c>
      <c r="O1160" s="265">
        <v>55</v>
      </c>
      <c r="P1160" s="270">
        <v>1</v>
      </c>
      <c r="Q1160" s="255">
        <v>148500</v>
      </c>
      <c r="R1160" s="283">
        <v>148500</v>
      </c>
      <c r="S1160" s="283">
        <v>50555</v>
      </c>
      <c r="T1160" s="287">
        <v>1</v>
      </c>
      <c r="U1160" s="287">
        <v>0</v>
      </c>
      <c r="V1160" s="287">
        <v>0</v>
      </c>
      <c r="W1160" s="283">
        <v>0</v>
      </c>
      <c r="X1160" s="283">
        <v>0</v>
      </c>
      <c r="Y1160" s="199" t="s">
        <v>1395</v>
      </c>
      <c r="Z1160" s="517" t="s">
        <v>5166</v>
      </c>
      <c r="AA1160" s="493" t="s">
        <v>1485</v>
      </c>
      <c r="AB1160" s="507"/>
    </row>
    <row r="1161" spans="2:30" x14ac:dyDescent="0.15">
      <c r="B1161" s="333" t="s">
        <v>5211</v>
      </c>
      <c r="C1161" s="528">
        <v>43435</v>
      </c>
      <c r="D1161" s="198" t="s">
        <v>5212</v>
      </c>
      <c r="E1161" s="53" t="s">
        <v>1391</v>
      </c>
      <c r="F1161" s="198" t="s">
        <v>3783</v>
      </c>
      <c r="G1161" s="3" t="s">
        <v>362</v>
      </c>
      <c r="H1161" s="53" t="s">
        <v>689</v>
      </c>
      <c r="I1161" s="3" t="s">
        <v>1394</v>
      </c>
      <c r="J1161" s="4" t="s">
        <v>269</v>
      </c>
      <c r="K1161" s="4" t="s">
        <v>1159</v>
      </c>
      <c r="L1161" s="4" t="s">
        <v>5213</v>
      </c>
      <c r="M1161" s="43" t="s">
        <v>5214</v>
      </c>
      <c r="N1161" s="255">
        <v>290000</v>
      </c>
      <c r="O1161" s="265">
        <v>55</v>
      </c>
      <c r="P1161" s="270">
        <v>1</v>
      </c>
      <c r="Q1161" s="255">
        <v>159500</v>
      </c>
      <c r="R1161" s="283">
        <v>159500</v>
      </c>
      <c r="S1161" s="283">
        <v>55238</v>
      </c>
      <c r="T1161" s="287">
        <v>1</v>
      </c>
      <c r="U1161" s="287">
        <v>0</v>
      </c>
      <c r="V1161" s="287">
        <v>0</v>
      </c>
      <c r="W1161" s="283">
        <v>0</v>
      </c>
      <c r="X1161" s="283">
        <v>0</v>
      </c>
      <c r="Y1161" s="199" t="s">
        <v>1395</v>
      </c>
      <c r="Z1161" s="517" t="s">
        <v>5166</v>
      </c>
      <c r="AA1161" s="493" t="s">
        <v>1485</v>
      </c>
      <c r="AB1161" s="507"/>
    </row>
    <row r="1162" spans="2:30" x14ac:dyDescent="0.15">
      <c r="B1162" s="333" t="s">
        <v>5215</v>
      </c>
      <c r="C1162" s="528">
        <v>43435</v>
      </c>
      <c r="D1162" s="198" t="s">
        <v>5216</v>
      </c>
      <c r="E1162" s="53" t="s">
        <v>1391</v>
      </c>
      <c r="F1162" s="198" t="s">
        <v>3783</v>
      </c>
      <c r="G1162" s="3" t="s">
        <v>362</v>
      </c>
      <c r="H1162" s="53" t="s">
        <v>689</v>
      </c>
      <c r="I1162" s="3" t="s">
        <v>1394</v>
      </c>
      <c r="J1162" s="4" t="s">
        <v>274</v>
      </c>
      <c r="K1162" s="4" t="s">
        <v>1162</v>
      </c>
      <c r="L1162" s="4" t="s">
        <v>5217</v>
      </c>
      <c r="M1162" s="43" t="s">
        <v>5218</v>
      </c>
      <c r="N1162" s="255">
        <v>320000</v>
      </c>
      <c r="O1162" s="265">
        <v>55</v>
      </c>
      <c r="P1162" s="270">
        <v>1</v>
      </c>
      <c r="Q1162" s="255">
        <v>176000</v>
      </c>
      <c r="R1162" s="283">
        <v>176000</v>
      </c>
      <c r="S1162" s="283">
        <v>67987</v>
      </c>
      <c r="T1162" s="287">
        <v>1</v>
      </c>
      <c r="U1162" s="287">
        <v>0</v>
      </c>
      <c r="V1162" s="287">
        <v>0</v>
      </c>
      <c r="W1162" s="283">
        <v>0</v>
      </c>
      <c r="X1162" s="283">
        <v>0</v>
      </c>
      <c r="Y1162" s="199" t="s">
        <v>1395</v>
      </c>
      <c r="Z1162" s="517" t="s">
        <v>5166</v>
      </c>
      <c r="AA1162" s="493" t="s">
        <v>1485</v>
      </c>
      <c r="AB1162" s="507"/>
    </row>
    <row r="1163" spans="2:30" x14ac:dyDescent="0.15">
      <c r="B1163" s="333" t="s">
        <v>5219</v>
      </c>
      <c r="C1163" s="528">
        <v>43435</v>
      </c>
      <c r="D1163" s="198" t="s">
        <v>5220</v>
      </c>
      <c r="E1163" s="53" t="s">
        <v>1391</v>
      </c>
      <c r="F1163" s="198" t="s">
        <v>3783</v>
      </c>
      <c r="G1163" s="3" t="s">
        <v>362</v>
      </c>
      <c r="H1163" s="53" t="s">
        <v>689</v>
      </c>
      <c r="I1163" s="3" t="s">
        <v>1394</v>
      </c>
      <c r="J1163" s="4" t="s">
        <v>269</v>
      </c>
      <c r="K1163" s="4" t="s">
        <v>1159</v>
      </c>
      <c r="L1163" s="4" t="s">
        <v>5221</v>
      </c>
      <c r="M1163" s="43" t="s">
        <v>5222</v>
      </c>
      <c r="N1163" s="255">
        <v>290000</v>
      </c>
      <c r="O1163" s="265">
        <v>55</v>
      </c>
      <c r="P1163" s="270">
        <v>1</v>
      </c>
      <c r="Q1163" s="255">
        <v>159500</v>
      </c>
      <c r="R1163" s="283">
        <v>159500</v>
      </c>
      <c r="S1163" s="283">
        <v>54238</v>
      </c>
      <c r="T1163" s="287">
        <v>1</v>
      </c>
      <c r="U1163" s="287">
        <v>0</v>
      </c>
      <c r="V1163" s="287">
        <v>0</v>
      </c>
      <c r="W1163" s="283">
        <v>0</v>
      </c>
      <c r="X1163" s="283">
        <v>0</v>
      </c>
      <c r="Y1163" s="199" t="s">
        <v>1395</v>
      </c>
      <c r="Z1163" s="517" t="s">
        <v>5532</v>
      </c>
      <c r="AA1163" s="493" t="s">
        <v>1485</v>
      </c>
      <c r="AB1163" s="507"/>
    </row>
    <row r="1164" spans="2:30" x14ac:dyDescent="0.15">
      <c r="B1164" s="333" t="s">
        <v>5196</v>
      </c>
      <c r="C1164" s="528">
        <v>43435</v>
      </c>
      <c r="D1164" s="198" t="s">
        <v>5197</v>
      </c>
      <c r="E1164" s="53" t="s">
        <v>1391</v>
      </c>
      <c r="F1164" s="198" t="s">
        <v>3955</v>
      </c>
      <c r="G1164" s="3" t="s">
        <v>1421</v>
      </c>
      <c r="H1164" s="53" t="s">
        <v>3478</v>
      </c>
      <c r="I1164" s="3" t="s">
        <v>3479</v>
      </c>
      <c r="J1164" s="4" t="s">
        <v>268</v>
      </c>
      <c r="K1164" s="4" t="s">
        <v>1158</v>
      </c>
      <c r="L1164" s="4" t="s">
        <v>2607</v>
      </c>
      <c r="M1164" s="43" t="s">
        <v>5223</v>
      </c>
      <c r="N1164" s="255">
        <v>270000</v>
      </c>
      <c r="O1164" s="265">
        <v>55</v>
      </c>
      <c r="P1164" s="270">
        <v>1</v>
      </c>
      <c r="Q1164" s="255">
        <v>148500</v>
      </c>
      <c r="R1164" s="283">
        <v>148500</v>
      </c>
      <c r="S1164" s="283">
        <v>52929</v>
      </c>
      <c r="T1164" s="287">
        <v>1</v>
      </c>
      <c r="U1164" s="287">
        <v>0</v>
      </c>
      <c r="V1164" s="287">
        <v>0</v>
      </c>
      <c r="W1164" s="283">
        <v>0</v>
      </c>
      <c r="X1164" s="283">
        <v>0</v>
      </c>
      <c r="Y1164" s="199" t="s">
        <v>1395</v>
      </c>
      <c r="Z1164" s="517" t="s">
        <v>5449</v>
      </c>
      <c r="AA1164" s="493" t="s">
        <v>1485</v>
      </c>
      <c r="AB1164" s="507"/>
    </row>
    <row r="1165" spans="2:30" x14ac:dyDescent="0.15">
      <c r="B1165" s="333" t="s">
        <v>5224</v>
      </c>
      <c r="C1165" s="528">
        <v>43440</v>
      </c>
      <c r="D1165" s="198" t="s">
        <v>5225</v>
      </c>
      <c r="E1165" s="53" t="s">
        <v>1391</v>
      </c>
      <c r="F1165" s="198" t="s">
        <v>3786</v>
      </c>
      <c r="G1165" s="3" t="s">
        <v>364</v>
      </c>
      <c r="H1165" s="53" t="s">
        <v>509</v>
      </c>
      <c r="I1165" s="3" t="s">
        <v>4348</v>
      </c>
      <c r="J1165" s="4" t="s">
        <v>262</v>
      </c>
      <c r="K1165" s="4" t="s">
        <v>365</v>
      </c>
      <c r="L1165" s="4" t="s">
        <v>3735</v>
      </c>
      <c r="M1165" s="43" t="s">
        <v>5226</v>
      </c>
      <c r="N1165" s="255">
        <v>130000</v>
      </c>
      <c r="O1165" s="265">
        <v>100</v>
      </c>
      <c r="P1165" s="270">
        <v>1</v>
      </c>
      <c r="Q1165" s="255">
        <v>130000</v>
      </c>
      <c r="R1165" s="283">
        <v>130000</v>
      </c>
      <c r="S1165" s="283">
        <v>52820</v>
      </c>
      <c r="T1165" s="287">
        <v>1</v>
      </c>
      <c r="U1165" s="287">
        <v>0</v>
      </c>
      <c r="V1165" s="287">
        <v>0</v>
      </c>
      <c r="W1165" s="283">
        <v>0</v>
      </c>
      <c r="X1165" s="283">
        <v>0</v>
      </c>
      <c r="Y1165" s="199" t="s">
        <v>1395</v>
      </c>
      <c r="Z1165" s="517" t="s">
        <v>5538</v>
      </c>
      <c r="AA1165" s="493" t="s">
        <v>1485</v>
      </c>
      <c r="AB1165" s="507"/>
      <c r="AD1165" s="283"/>
    </row>
    <row r="1166" spans="2:30" x14ac:dyDescent="0.15">
      <c r="B1166" s="333" t="s">
        <v>5227</v>
      </c>
      <c r="C1166" s="528">
        <v>43441</v>
      </c>
      <c r="D1166" s="198" t="s">
        <v>5228</v>
      </c>
      <c r="E1166" s="53" t="s">
        <v>1391</v>
      </c>
      <c r="F1166" s="198" t="s">
        <v>3786</v>
      </c>
      <c r="G1166" s="3" t="s">
        <v>364</v>
      </c>
      <c r="H1166" s="53" t="s">
        <v>444</v>
      </c>
      <c r="I1166" s="3" t="s">
        <v>1440</v>
      </c>
      <c r="J1166" s="4" t="s">
        <v>269</v>
      </c>
      <c r="K1166" s="4" t="s">
        <v>1159</v>
      </c>
      <c r="L1166" s="4" t="s">
        <v>5229</v>
      </c>
      <c r="M1166" s="43" t="s">
        <v>5230</v>
      </c>
      <c r="N1166" s="255">
        <v>331000</v>
      </c>
      <c r="O1166" s="265">
        <v>60</v>
      </c>
      <c r="P1166" s="270">
        <v>1</v>
      </c>
      <c r="Q1166" s="255">
        <v>198600</v>
      </c>
      <c r="R1166" s="283">
        <v>198600</v>
      </c>
      <c r="S1166" s="283">
        <v>59458</v>
      </c>
      <c r="T1166" s="287">
        <v>0</v>
      </c>
      <c r="U1166" s="287">
        <v>1</v>
      </c>
      <c r="V1166" s="287">
        <v>0</v>
      </c>
      <c r="W1166" s="283">
        <v>19860</v>
      </c>
      <c r="X1166" s="283">
        <v>0</v>
      </c>
      <c r="Y1166" s="199" t="s">
        <v>1392</v>
      </c>
      <c r="Z1166" s="517" t="s">
        <v>5166</v>
      </c>
      <c r="AA1166" s="493" t="s">
        <v>1485</v>
      </c>
      <c r="AB1166" s="507"/>
    </row>
    <row r="1167" spans="2:30" x14ac:dyDescent="0.15">
      <c r="B1167" s="333" t="s">
        <v>5231</v>
      </c>
      <c r="C1167" s="528">
        <v>43441</v>
      </c>
      <c r="D1167" s="198" t="s">
        <v>5232</v>
      </c>
      <c r="E1167" s="53" t="s">
        <v>1391</v>
      </c>
      <c r="F1167" s="198" t="s">
        <v>4014</v>
      </c>
      <c r="G1167" s="3" t="s">
        <v>370</v>
      </c>
      <c r="H1167" s="53" t="s">
        <v>1134</v>
      </c>
      <c r="I1167" s="3" t="s">
        <v>1393</v>
      </c>
      <c r="J1167" s="4" t="s">
        <v>271</v>
      </c>
      <c r="K1167" s="4" t="s">
        <v>1160</v>
      </c>
      <c r="L1167" s="4" t="s">
        <v>5233</v>
      </c>
      <c r="M1167" s="43" t="s">
        <v>5234</v>
      </c>
      <c r="N1167" s="255">
        <v>348000</v>
      </c>
      <c r="O1167" s="265">
        <v>65</v>
      </c>
      <c r="P1167" s="270">
        <v>1</v>
      </c>
      <c r="Q1167" s="255">
        <v>226200</v>
      </c>
      <c r="R1167" s="283">
        <v>226200</v>
      </c>
      <c r="S1167" s="283">
        <v>70866</v>
      </c>
      <c r="T1167" s="287">
        <v>0</v>
      </c>
      <c r="U1167" s="287">
        <v>1</v>
      </c>
      <c r="V1167" s="287">
        <v>0</v>
      </c>
      <c r="W1167" s="283">
        <v>26100</v>
      </c>
      <c r="X1167" s="283">
        <v>0</v>
      </c>
      <c r="Y1167" s="199" t="s">
        <v>1392</v>
      </c>
      <c r="Z1167" s="517" t="s">
        <v>5167</v>
      </c>
      <c r="AA1167" s="493" t="s">
        <v>1485</v>
      </c>
      <c r="AB1167" s="507"/>
    </row>
    <row r="1168" spans="2:30" x14ac:dyDescent="0.15">
      <c r="B1168" s="333" t="s">
        <v>5235</v>
      </c>
      <c r="C1168" s="528">
        <v>43441</v>
      </c>
      <c r="D1168" s="198" t="s">
        <v>5236</v>
      </c>
      <c r="E1168" s="53" t="s">
        <v>1391</v>
      </c>
      <c r="F1168" s="198" t="s">
        <v>3783</v>
      </c>
      <c r="G1168" s="3" t="s">
        <v>362</v>
      </c>
      <c r="H1168" s="53" t="s">
        <v>689</v>
      </c>
      <c r="I1168" s="3" t="s">
        <v>1394</v>
      </c>
      <c r="J1168" s="4" t="s">
        <v>271</v>
      </c>
      <c r="K1168" s="4" t="s">
        <v>1160</v>
      </c>
      <c r="L1168" s="4" t="s">
        <v>2700</v>
      </c>
      <c r="M1168" s="43" t="s">
        <v>5237</v>
      </c>
      <c r="N1168" s="255">
        <v>358000</v>
      </c>
      <c r="O1168" s="265">
        <v>55</v>
      </c>
      <c r="P1168" s="270">
        <v>1</v>
      </c>
      <c r="Q1168" s="255">
        <v>196900</v>
      </c>
      <c r="R1168" s="283">
        <v>196900</v>
      </c>
      <c r="S1168" s="283">
        <v>68166</v>
      </c>
      <c r="T1168" s="287">
        <v>1</v>
      </c>
      <c r="U1168" s="287">
        <v>0</v>
      </c>
      <c r="V1168" s="287">
        <v>0</v>
      </c>
      <c r="W1168" s="283">
        <v>0</v>
      </c>
      <c r="X1168" s="283">
        <v>0</v>
      </c>
      <c r="Y1168" s="199" t="s">
        <v>1395</v>
      </c>
      <c r="Z1168" s="517" t="s">
        <v>5166</v>
      </c>
      <c r="AA1168" s="493" t="s">
        <v>1485</v>
      </c>
      <c r="AB1168" s="507"/>
    </row>
    <row r="1169" spans="2:28" x14ac:dyDescent="0.15">
      <c r="B1169" s="333" t="s">
        <v>5238</v>
      </c>
      <c r="C1169" s="528">
        <v>43441</v>
      </c>
      <c r="D1169" s="198" t="s">
        <v>5239</v>
      </c>
      <c r="E1169" s="53" t="s">
        <v>1391</v>
      </c>
      <c r="F1169" s="198" t="s">
        <v>3783</v>
      </c>
      <c r="G1169" s="3" t="s">
        <v>362</v>
      </c>
      <c r="H1169" s="53" t="s">
        <v>689</v>
      </c>
      <c r="I1169" s="3" t="s">
        <v>1394</v>
      </c>
      <c r="J1169" s="4" t="s">
        <v>262</v>
      </c>
      <c r="K1169" s="4" t="s">
        <v>365</v>
      </c>
      <c r="L1169" s="4" t="s">
        <v>1690</v>
      </c>
      <c r="M1169" s="43" t="s">
        <v>5240</v>
      </c>
      <c r="N1169" s="255">
        <v>260000</v>
      </c>
      <c r="O1169" s="265">
        <v>55</v>
      </c>
      <c r="P1169" s="270">
        <v>1</v>
      </c>
      <c r="Q1169" s="255">
        <v>143000</v>
      </c>
      <c r="R1169" s="283">
        <v>143000</v>
      </c>
      <c r="S1169" s="283">
        <v>46155</v>
      </c>
      <c r="T1169" s="287">
        <v>1</v>
      </c>
      <c r="U1169" s="287">
        <v>0</v>
      </c>
      <c r="V1169" s="287">
        <v>0</v>
      </c>
      <c r="W1169" s="283">
        <v>0</v>
      </c>
      <c r="X1169" s="283">
        <v>0</v>
      </c>
      <c r="Y1169" s="199" t="s">
        <v>1395</v>
      </c>
      <c r="Z1169" s="517" t="s">
        <v>5166</v>
      </c>
      <c r="AA1169" s="493" t="s">
        <v>1485</v>
      </c>
      <c r="AB1169" s="507"/>
    </row>
    <row r="1170" spans="2:28" x14ac:dyDescent="0.15">
      <c r="B1170" s="333" t="s">
        <v>5241</v>
      </c>
      <c r="C1170" s="528">
        <v>43441</v>
      </c>
      <c r="D1170" s="198" t="s">
        <v>5242</v>
      </c>
      <c r="E1170" s="53" t="s">
        <v>1391</v>
      </c>
      <c r="F1170" s="198" t="s">
        <v>4014</v>
      </c>
      <c r="G1170" s="3" t="s">
        <v>370</v>
      </c>
      <c r="H1170" s="53" t="s">
        <v>1134</v>
      </c>
      <c r="I1170" s="3" t="s">
        <v>1393</v>
      </c>
      <c r="J1170" s="4" t="s">
        <v>270</v>
      </c>
      <c r="K1170" s="4" t="s">
        <v>539</v>
      </c>
      <c r="L1170" s="4" t="s">
        <v>5243</v>
      </c>
      <c r="M1170" s="43" t="s">
        <v>5244</v>
      </c>
      <c r="N1170" s="255">
        <v>343000</v>
      </c>
      <c r="O1170" s="265">
        <v>65</v>
      </c>
      <c r="P1170" s="270">
        <v>1</v>
      </c>
      <c r="Q1170" s="255">
        <v>222950</v>
      </c>
      <c r="R1170" s="283">
        <v>222950</v>
      </c>
      <c r="S1170" s="283">
        <v>72424</v>
      </c>
      <c r="T1170" s="287">
        <v>0</v>
      </c>
      <c r="U1170" s="287">
        <v>1</v>
      </c>
      <c r="V1170" s="287">
        <v>0</v>
      </c>
      <c r="W1170" s="283">
        <v>25725</v>
      </c>
      <c r="X1170" s="283">
        <v>0</v>
      </c>
      <c r="Y1170" s="199" t="s">
        <v>1392</v>
      </c>
      <c r="Z1170" s="517" t="s">
        <v>5167</v>
      </c>
      <c r="AA1170" s="493" t="s">
        <v>1485</v>
      </c>
      <c r="AB1170" s="507"/>
    </row>
    <row r="1171" spans="2:28" x14ac:dyDescent="0.15">
      <c r="B1171" s="333" t="s">
        <v>5245</v>
      </c>
      <c r="C1171" s="528">
        <v>43441</v>
      </c>
      <c r="D1171" s="198" t="s">
        <v>5246</v>
      </c>
      <c r="E1171" s="53" t="s">
        <v>1396</v>
      </c>
      <c r="F1171" s="198" t="s">
        <v>21</v>
      </c>
      <c r="G1171" s="3" t="s">
        <v>50</v>
      </c>
      <c r="H1171" s="53" t="s">
        <v>381</v>
      </c>
      <c r="I1171" s="3" t="s">
        <v>1408</v>
      </c>
      <c r="J1171" s="4" t="s">
        <v>265</v>
      </c>
      <c r="K1171" s="4" t="s">
        <v>1155</v>
      </c>
      <c r="L1171" s="4" t="s">
        <v>1743</v>
      </c>
      <c r="M1171" s="43" t="s">
        <v>5247</v>
      </c>
      <c r="N1171" s="255">
        <v>403000</v>
      </c>
      <c r="O1171" s="265">
        <v>60</v>
      </c>
      <c r="P1171" s="270">
        <v>1</v>
      </c>
      <c r="Q1171" s="255">
        <v>241800</v>
      </c>
      <c r="R1171" s="283">
        <v>241800</v>
      </c>
      <c r="S1171" s="283">
        <v>76560</v>
      </c>
      <c r="T1171" s="287">
        <v>0</v>
      </c>
      <c r="U1171" s="287">
        <v>1</v>
      </c>
      <c r="V1171" s="287">
        <v>0</v>
      </c>
      <c r="W1171" s="283">
        <v>24180</v>
      </c>
      <c r="X1171" s="283">
        <v>0</v>
      </c>
      <c r="Y1171" s="199" t="s">
        <v>1392</v>
      </c>
      <c r="Z1171" s="517" t="s">
        <v>5166</v>
      </c>
      <c r="AA1171" s="493" t="s">
        <v>1485</v>
      </c>
      <c r="AB1171" s="507"/>
    </row>
    <row r="1172" spans="2:28" x14ac:dyDescent="0.15">
      <c r="B1172" s="333" t="s">
        <v>5248</v>
      </c>
      <c r="C1172" s="528">
        <v>43445</v>
      </c>
      <c r="D1172" s="198" t="s">
        <v>5249</v>
      </c>
      <c r="E1172" s="53" t="s">
        <v>1391</v>
      </c>
      <c r="F1172" s="198" t="s">
        <v>3783</v>
      </c>
      <c r="G1172" s="3" t="s">
        <v>362</v>
      </c>
      <c r="H1172" s="53" t="s">
        <v>692</v>
      </c>
      <c r="I1172" s="3" t="s">
        <v>1397</v>
      </c>
      <c r="J1172" s="4" t="s">
        <v>262</v>
      </c>
      <c r="K1172" s="4" t="s">
        <v>365</v>
      </c>
      <c r="L1172" s="4" t="s">
        <v>5077</v>
      </c>
      <c r="M1172" s="43" t="s">
        <v>5250</v>
      </c>
      <c r="N1172" s="255">
        <v>260000</v>
      </c>
      <c r="O1172" s="265">
        <v>55</v>
      </c>
      <c r="P1172" s="270">
        <v>1</v>
      </c>
      <c r="Q1172" s="255">
        <v>143000</v>
      </c>
      <c r="R1172" s="283">
        <v>143000</v>
      </c>
      <c r="S1172" s="283">
        <v>44155</v>
      </c>
      <c r="T1172" s="287">
        <v>1</v>
      </c>
      <c r="U1172" s="287">
        <v>0</v>
      </c>
      <c r="V1172" s="287">
        <v>0</v>
      </c>
      <c r="W1172" s="283">
        <v>0</v>
      </c>
      <c r="X1172" s="283">
        <v>0</v>
      </c>
      <c r="Y1172" s="199" t="s">
        <v>1395</v>
      </c>
      <c r="Z1172" s="517" t="s">
        <v>5166</v>
      </c>
      <c r="AA1172" s="493" t="s">
        <v>1485</v>
      </c>
      <c r="AB1172" s="507"/>
    </row>
    <row r="1173" spans="2:28" x14ac:dyDescent="0.15">
      <c r="B1173" s="333" t="s">
        <v>5251</v>
      </c>
      <c r="C1173" s="528">
        <v>43445</v>
      </c>
      <c r="D1173" s="198" t="s">
        <v>5252</v>
      </c>
      <c r="E1173" s="53" t="s">
        <v>1391</v>
      </c>
      <c r="F1173" s="198" t="s">
        <v>3783</v>
      </c>
      <c r="G1173" s="3" t="s">
        <v>362</v>
      </c>
      <c r="H1173" s="53" t="s">
        <v>689</v>
      </c>
      <c r="I1173" s="3" t="s">
        <v>1394</v>
      </c>
      <c r="J1173" s="4" t="s">
        <v>1402</v>
      </c>
      <c r="K1173" s="4" t="s">
        <v>1403</v>
      </c>
      <c r="L1173" s="4" t="s">
        <v>2177</v>
      </c>
      <c r="M1173" s="43" t="s">
        <v>5253</v>
      </c>
      <c r="N1173" s="255">
        <v>260000</v>
      </c>
      <c r="O1173" s="265">
        <v>55</v>
      </c>
      <c r="P1173" s="270">
        <v>1</v>
      </c>
      <c r="Q1173" s="255">
        <v>143000</v>
      </c>
      <c r="R1173" s="283">
        <v>143000</v>
      </c>
      <c r="S1173" s="283">
        <v>36972</v>
      </c>
      <c r="T1173" s="287">
        <v>1</v>
      </c>
      <c r="U1173" s="287">
        <v>0</v>
      </c>
      <c r="V1173" s="287">
        <v>0</v>
      </c>
      <c r="W1173" s="283">
        <v>0</v>
      </c>
      <c r="X1173" s="283">
        <v>0</v>
      </c>
      <c r="Y1173" s="199" t="s">
        <v>1395</v>
      </c>
      <c r="Z1173" s="517" t="s">
        <v>5166</v>
      </c>
      <c r="AA1173" s="493" t="s">
        <v>1485</v>
      </c>
      <c r="AB1173" s="507"/>
    </row>
    <row r="1174" spans="2:28" x14ac:dyDescent="0.15">
      <c r="B1174" s="333" t="s">
        <v>5254</v>
      </c>
      <c r="C1174" s="528">
        <v>43445</v>
      </c>
      <c r="D1174" s="198" t="s">
        <v>5255</v>
      </c>
      <c r="E1174" s="53" t="s">
        <v>1391</v>
      </c>
      <c r="F1174" s="198" t="s">
        <v>3783</v>
      </c>
      <c r="G1174" s="3" t="s">
        <v>362</v>
      </c>
      <c r="H1174" s="53" t="s">
        <v>692</v>
      </c>
      <c r="I1174" s="3" t="s">
        <v>1397</v>
      </c>
      <c r="J1174" s="4" t="s">
        <v>273</v>
      </c>
      <c r="K1174" s="4" t="s">
        <v>1161</v>
      </c>
      <c r="L1174" s="4" t="s">
        <v>4793</v>
      </c>
      <c r="M1174" s="43" t="s">
        <v>5256</v>
      </c>
      <c r="N1174" s="255">
        <v>280000</v>
      </c>
      <c r="O1174" s="265">
        <v>55</v>
      </c>
      <c r="P1174" s="270">
        <v>1</v>
      </c>
      <c r="Q1174" s="255">
        <v>154000</v>
      </c>
      <c r="R1174" s="283">
        <v>154000</v>
      </c>
      <c r="S1174" s="283">
        <v>52370</v>
      </c>
      <c r="T1174" s="287">
        <v>1</v>
      </c>
      <c r="U1174" s="287">
        <v>0</v>
      </c>
      <c r="V1174" s="287">
        <v>0</v>
      </c>
      <c r="W1174" s="283">
        <v>0</v>
      </c>
      <c r="X1174" s="283">
        <v>0</v>
      </c>
      <c r="Y1174" s="199" t="s">
        <v>1395</v>
      </c>
      <c r="Z1174" s="517" t="s">
        <v>5166</v>
      </c>
      <c r="AA1174" s="493" t="s">
        <v>1485</v>
      </c>
      <c r="AB1174" s="507"/>
    </row>
    <row r="1175" spans="2:28" x14ac:dyDescent="0.15">
      <c r="B1175" s="333" t="s">
        <v>5257</v>
      </c>
      <c r="C1175" s="528">
        <v>43445</v>
      </c>
      <c r="D1175" s="198" t="s">
        <v>5258</v>
      </c>
      <c r="E1175" s="53" t="s">
        <v>1391</v>
      </c>
      <c r="F1175" s="198" t="s">
        <v>3955</v>
      </c>
      <c r="G1175" s="3" t="s">
        <v>1421</v>
      </c>
      <c r="H1175" s="53" t="s">
        <v>3478</v>
      </c>
      <c r="I1175" s="3" t="s">
        <v>3479</v>
      </c>
      <c r="J1175" s="4" t="s">
        <v>268</v>
      </c>
      <c r="K1175" s="4" t="s">
        <v>1158</v>
      </c>
      <c r="L1175" s="4" t="s">
        <v>1949</v>
      </c>
      <c r="M1175" s="43" t="s">
        <v>5259</v>
      </c>
      <c r="N1175" s="255">
        <v>270000</v>
      </c>
      <c r="O1175" s="265">
        <v>55</v>
      </c>
      <c r="P1175" s="270">
        <v>1</v>
      </c>
      <c r="Q1175" s="255">
        <v>148500</v>
      </c>
      <c r="R1175" s="283">
        <v>148500</v>
      </c>
      <c r="S1175" s="283">
        <v>52429</v>
      </c>
      <c r="T1175" s="287">
        <v>1</v>
      </c>
      <c r="U1175" s="287">
        <v>0</v>
      </c>
      <c r="V1175" s="287">
        <v>0</v>
      </c>
      <c r="W1175" s="283">
        <v>0</v>
      </c>
      <c r="X1175" s="283">
        <v>0</v>
      </c>
      <c r="Y1175" s="199" t="s">
        <v>1395</v>
      </c>
      <c r="Z1175" s="517" t="s">
        <v>5449</v>
      </c>
      <c r="AA1175" s="493" t="s">
        <v>1485</v>
      </c>
      <c r="AB1175" s="507"/>
    </row>
    <row r="1176" spans="2:28" x14ac:dyDescent="0.15">
      <c r="B1176" s="333" t="s">
        <v>5260</v>
      </c>
      <c r="C1176" s="528">
        <v>43445</v>
      </c>
      <c r="D1176" s="198" t="s">
        <v>5261</v>
      </c>
      <c r="E1176" s="53" t="s">
        <v>1391</v>
      </c>
      <c r="F1176" s="198" t="s">
        <v>3955</v>
      </c>
      <c r="G1176" s="3" t="s">
        <v>1421</v>
      </c>
      <c r="H1176" s="53" t="s">
        <v>3478</v>
      </c>
      <c r="I1176" s="3" t="s">
        <v>3479</v>
      </c>
      <c r="J1176" s="4" t="s">
        <v>268</v>
      </c>
      <c r="K1176" s="4" t="s">
        <v>1158</v>
      </c>
      <c r="L1176" s="4" t="s">
        <v>1577</v>
      </c>
      <c r="M1176" s="43" t="s">
        <v>5262</v>
      </c>
      <c r="N1176" s="255">
        <v>260000</v>
      </c>
      <c r="O1176" s="265">
        <v>55</v>
      </c>
      <c r="P1176" s="270">
        <v>1</v>
      </c>
      <c r="Q1176" s="255">
        <v>143000</v>
      </c>
      <c r="R1176" s="283">
        <v>143000</v>
      </c>
      <c r="S1176" s="283">
        <v>48929</v>
      </c>
      <c r="T1176" s="287">
        <v>1</v>
      </c>
      <c r="U1176" s="287">
        <v>0</v>
      </c>
      <c r="V1176" s="287">
        <v>0</v>
      </c>
      <c r="W1176" s="283">
        <v>0</v>
      </c>
      <c r="X1176" s="283">
        <v>0</v>
      </c>
      <c r="Y1176" s="199" t="s">
        <v>1395</v>
      </c>
      <c r="Z1176" s="517" t="s">
        <v>5449</v>
      </c>
      <c r="AA1176" s="493" t="s">
        <v>1485</v>
      </c>
      <c r="AB1176" s="507"/>
    </row>
    <row r="1177" spans="2:28" x14ac:dyDescent="0.15">
      <c r="B1177" s="333" t="s">
        <v>5263</v>
      </c>
      <c r="C1177" s="528">
        <v>43448</v>
      </c>
      <c r="D1177" s="198" t="s">
        <v>5264</v>
      </c>
      <c r="E1177" s="53" t="s">
        <v>1396</v>
      </c>
      <c r="F1177" s="198" t="s">
        <v>21</v>
      </c>
      <c r="G1177" s="3" t="s">
        <v>50</v>
      </c>
      <c r="H1177" s="53" t="s">
        <v>379</v>
      </c>
      <c r="I1177" s="3" t="s">
        <v>2551</v>
      </c>
      <c r="J1177" s="4" t="s">
        <v>264</v>
      </c>
      <c r="K1177" s="4" t="s">
        <v>538</v>
      </c>
      <c r="L1177" s="4" t="s">
        <v>2531</v>
      </c>
      <c r="M1177" s="43" t="s">
        <v>5265</v>
      </c>
      <c r="N1177" s="255">
        <v>358000</v>
      </c>
      <c r="O1177" s="265">
        <v>60</v>
      </c>
      <c r="P1177" s="270">
        <v>1</v>
      </c>
      <c r="Q1177" s="255">
        <v>214800</v>
      </c>
      <c r="R1177" s="283">
        <v>214800</v>
      </c>
      <c r="S1177" s="283">
        <v>85976</v>
      </c>
      <c r="T1177" s="287">
        <v>0</v>
      </c>
      <c r="U1177" s="287">
        <v>1</v>
      </c>
      <c r="V1177" s="287">
        <v>0</v>
      </c>
      <c r="W1177" s="283">
        <v>21480</v>
      </c>
      <c r="X1177" s="283">
        <v>0</v>
      </c>
      <c r="Y1177" s="199" t="s">
        <v>1392</v>
      </c>
      <c r="Z1177" s="517" t="s">
        <v>5166</v>
      </c>
      <c r="AA1177" s="493" t="s">
        <v>1485</v>
      </c>
      <c r="AB1177" s="507"/>
    </row>
    <row r="1178" spans="2:28" x14ac:dyDescent="0.15">
      <c r="B1178" s="333" t="s">
        <v>5266</v>
      </c>
      <c r="C1178" s="528">
        <v>43448</v>
      </c>
      <c r="D1178" s="198" t="s">
        <v>5267</v>
      </c>
      <c r="E1178" s="53" t="s">
        <v>1396</v>
      </c>
      <c r="F1178" s="198" t="s">
        <v>21</v>
      </c>
      <c r="G1178" s="3" t="s">
        <v>50</v>
      </c>
      <c r="H1178" s="53" t="s">
        <v>379</v>
      </c>
      <c r="I1178" s="3" t="s">
        <v>2551</v>
      </c>
      <c r="J1178" s="4" t="s">
        <v>298</v>
      </c>
      <c r="K1178" s="4" t="s">
        <v>1168</v>
      </c>
      <c r="L1178" s="4" t="s">
        <v>5268</v>
      </c>
      <c r="M1178" s="43"/>
      <c r="N1178" s="255">
        <v>10600</v>
      </c>
      <c r="O1178" s="265">
        <v>65</v>
      </c>
      <c r="P1178" s="270">
        <v>1</v>
      </c>
      <c r="Q1178" s="255">
        <v>6890</v>
      </c>
      <c r="R1178" s="283">
        <v>6890</v>
      </c>
      <c r="S1178" s="283">
        <v>2915</v>
      </c>
      <c r="T1178" s="287">
        <v>0</v>
      </c>
      <c r="U1178" s="287">
        <v>0</v>
      </c>
      <c r="V1178" s="287">
        <v>0</v>
      </c>
      <c r="W1178" s="283">
        <v>795</v>
      </c>
      <c r="X1178" s="283">
        <v>0</v>
      </c>
      <c r="Y1178" s="199" t="s">
        <v>1392</v>
      </c>
      <c r="Z1178" s="517" t="s">
        <v>5166</v>
      </c>
      <c r="AA1178" s="493" t="s">
        <v>1485</v>
      </c>
      <c r="AB1178" s="507"/>
    </row>
    <row r="1179" spans="2:28" x14ac:dyDescent="0.15">
      <c r="B1179" s="333" t="s">
        <v>5269</v>
      </c>
      <c r="C1179" s="528">
        <v>43448</v>
      </c>
      <c r="D1179" s="198" t="s">
        <v>5270</v>
      </c>
      <c r="E1179" s="53" t="s">
        <v>1391</v>
      </c>
      <c r="F1179" s="198" t="s">
        <v>4014</v>
      </c>
      <c r="G1179" s="3" t="s">
        <v>370</v>
      </c>
      <c r="H1179" s="53" t="s">
        <v>1491</v>
      </c>
      <c r="I1179" s="3" t="s">
        <v>1492</v>
      </c>
      <c r="J1179" s="4" t="s">
        <v>268</v>
      </c>
      <c r="K1179" s="4" t="s">
        <v>1158</v>
      </c>
      <c r="L1179" s="4" t="s">
        <v>4428</v>
      </c>
      <c r="M1179" s="43" t="s">
        <v>5271</v>
      </c>
      <c r="N1179" s="255">
        <v>130000</v>
      </c>
      <c r="O1179" s="265">
        <v>100</v>
      </c>
      <c r="P1179" s="270">
        <v>1</v>
      </c>
      <c r="Q1179" s="255">
        <v>130000</v>
      </c>
      <c r="R1179" s="283">
        <v>130000</v>
      </c>
      <c r="S1179" s="283">
        <v>41396</v>
      </c>
      <c r="T1179" s="287">
        <v>0</v>
      </c>
      <c r="U1179" s="287">
        <v>1</v>
      </c>
      <c r="V1179" s="287">
        <v>0</v>
      </c>
      <c r="W1179" s="283">
        <v>15000</v>
      </c>
      <c r="X1179" s="283">
        <v>0</v>
      </c>
      <c r="Y1179" s="199" t="s">
        <v>1392</v>
      </c>
      <c r="Z1179" s="517" t="s">
        <v>5167</v>
      </c>
      <c r="AA1179" s="493" t="s">
        <v>1485</v>
      </c>
      <c r="AB1179" s="507"/>
    </row>
    <row r="1180" spans="2:28" x14ac:dyDescent="0.15">
      <c r="B1180" s="333" t="s">
        <v>5272</v>
      </c>
      <c r="C1180" s="528">
        <v>43448</v>
      </c>
      <c r="D1180" s="198" t="s">
        <v>5273</v>
      </c>
      <c r="E1180" s="53" t="s">
        <v>1391</v>
      </c>
      <c r="F1180" s="198" t="s">
        <v>3786</v>
      </c>
      <c r="G1180" s="3" t="s">
        <v>364</v>
      </c>
      <c r="H1180" s="53" t="s">
        <v>413</v>
      </c>
      <c r="I1180" s="3" t="s">
        <v>4337</v>
      </c>
      <c r="J1180" s="4" t="s">
        <v>268</v>
      </c>
      <c r="K1180" s="4" t="s">
        <v>1158</v>
      </c>
      <c r="L1180" s="4" t="s">
        <v>4428</v>
      </c>
      <c r="M1180" s="43" t="s">
        <v>5274</v>
      </c>
      <c r="N1180" s="255">
        <v>130000</v>
      </c>
      <c r="O1180" s="265">
        <v>100</v>
      </c>
      <c r="P1180" s="270">
        <v>1</v>
      </c>
      <c r="Q1180" s="255">
        <v>130000</v>
      </c>
      <c r="R1180" s="283">
        <v>130000</v>
      </c>
      <c r="S1180" s="283">
        <v>56396</v>
      </c>
      <c r="T1180" s="287">
        <v>1</v>
      </c>
      <c r="U1180" s="287">
        <v>0</v>
      </c>
      <c r="V1180" s="287">
        <v>0</v>
      </c>
      <c r="W1180" s="283">
        <v>0</v>
      </c>
      <c r="X1180" s="283">
        <v>0</v>
      </c>
      <c r="Y1180" s="199" t="s">
        <v>1395</v>
      </c>
      <c r="Z1180" s="517" t="s">
        <v>5450</v>
      </c>
      <c r="AA1180" s="493" t="s">
        <v>1485</v>
      </c>
      <c r="AB1180" s="507"/>
    </row>
    <row r="1181" spans="2:28" x14ac:dyDescent="0.15">
      <c r="B1181" s="333" t="s">
        <v>5275</v>
      </c>
      <c r="C1181" s="528">
        <v>43448</v>
      </c>
      <c r="D1181" s="198" t="s">
        <v>5276</v>
      </c>
      <c r="E1181" s="53" t="s">
        <v>1391</v>
      </c>
      <c r="F1181" s="198" t="s">
        <v>3786</v>
      </c>
      <c r="G1181" s="3" t="s">
        <v>364</v>
      </c>
      <c r="H1181" s="53" t="s">
        <v>5185</v>
      </c>
      <c r="I1181" s="3" t="s">
        <v>5277</v>
      </c>
      <c r="J1181" s="4" t="s">
        <v>297</v>
      </c>
      <c r="K1181" s="4" t="s">
        <v>369</v>
      </c>
      <c r="L1181" s="4" t="s">
        <v>1484</v>
      </c>
      <c r="M1181" s="43"/>
      <c r="N1181" s="255">
        <v>200</v>
      </c>
      <c r="O1181" s="265">
        <v>50</v>
      </c>
      <c r="P1181" s="270">
        <v>100</v>
      </c>
      <c r="Q1181" s="255">
        <v>100</v>
      </c>
      <c r="R1181" s="283">
        <v>10000</v>
      </c>
      <c r="S1181" s="283">
        <v>5700</v>
      </c>
      <c r="T1181" s="287">
        <v>0</v>
      </c>
      <c r="U1181" s="287">
        <v>0</v>
      </c>
      <c r="V1181" s="287">
        <v>0</v>
      </c>
      <c r="W1181" s="283">
        <v>1500</v>
      </c>
      <c r="X1181" s="283">
        <v>0</v>
      </c>
      <c r="Y1181" s="199" t="s">
        <v>1392</v>
      </c>
      <c r="Z1181" s="517" t="s">
        <v>5449</v>
      </c>
      <c r="AA1181" s="493" t="s">
        <v>1485</v>
      </c>
      <c r="AB1181" s="507"/>
    </row>
    <row r="1182" spans="2:28" x14ac:dyDescent="0.15">
      <c r="B1182" s="333" t="s">
        <v>5278</v>
      </c>
      <c r="C1182" s="528">
        <v>43448</v>
      </c>
      <c r="D1182" s="198" t="s">
        <v>5279</v>
      </c>
      <c r="E1182" s="53" t="s">
        <v>1391</v>
      </c>
      <c r="F1182" s="198" t="s">
        <v>3786</v>
      </c>
      <c r="G1182" s="3" t="s">
        <v>364</v>
      </c>
      <c r="H1182" s="53" t="s">
        <v>464</v>
      </c>
      <c r="I1182" s="3" t="s">
        <v>1306</v>
      </c>
      <c r="J1182" s="4" t="s">
        <v>297</v>
      </c>
      <c r="K1182" s="4" t="s">
        <v>369</v>
      </c>
      <c r="L1182" s="4" t="s">
        <v>1484</v>
      </c>
      <c r="M1182" s="43"/>
      <c r="N1182" s="255">
        <v>200</v>
      </c>
      <c r="O1182" s="265">
        <v>50</v>
      </c>
      <c r="P1182" s="270">
        <v>100</v>
      </c>
      <c r="Q1182" s="255">
        <v>100</v>
      </c>
      <c r="R1182" s="283">
        <v>10000</v>
      </c>
      <c r="S1182" s="283">
        <v>5700</v>
      </c>
      <c r="T1182" s="287">
        <v>0</v>
      </c>
      <c r="U1182" s="287">
        <v>0</v>
      </c>
      <c r="V1182" s="287">
        <v>0</v>
      </c>
      <c r="W1182" s="283">
        <v>1500</v>
      </c>
      <c r="X1182" s="283">
        <v>0</v>
      </c>
      <c r="Y1182" s="199" t="s">
        <v>1392</v>
      </c>
      <c r="Z1182" s="517" t="s">
        <v>5543</v>
      </c>
      <c r="AA1182" s="493" t="s">
        <v>1485</v>
      </c>
      <c r="AB1182" s="507"/>
    </row>
    <row r="1183" spans="2:28" x14ac:dyDescent="0.15">
      <c r="B1183" s="333" t="s">
        <v>5280</v>
      </c>
      <c r="C1183" s="528">
        <v>43448</v>
      </c>
      <c r="D1183" s="198" t="s">
        <v>5281</v>
      </c>
      <c r="E1183" s="53" t="s">
        <v>1391</v>
      </c>
      <c r="F1183" s="198" t="s">
        <v>3786</v>
      </c>
      <c r="G1183" s="3" t="s">
        <v>364</v>
      </c>
      <c r="H1183" s="53" t="s">
        <v>5184</v>
      </c>
      <c r="I1183" s="3" t="s">
        <v>5282</v>
      </c>
      <c r="J1183" s="4" t="s">
        <v>297</v>
      </c>
      <c r="K1183" s="4" t="s">
        <v>369</v>
      </c>
      <c r="L1183" s="4" t="s">
        <v>1509</v>
      </c>
      <c r="M1183" s="43"/>
      <c r="N1183" s="255">
        <v>200</v>
      </c>
      <c r="O1183" s="265">
        <v>50</v>
      </c>
      <c r="P1183" s="270">
        <v>100</v>
      </c>
      <c r="Q1183" s="255">
        <v>100</v>
      </c>
      <c r="R1183" s="283">
        <v>10000</v>
      </c>
      <c r="S1183" s="283">
        <v>5700</v>
      </c>
      <c r="T1183" s="287">
        <v>0</v>
      </c>
      <c r="U1183" s="287">
        <v>0</v>
      </c>
      <c r="V1183" s="287">
        <v>0</v>
      </c>
      <c r="W1183" s="283">
        <v>1500</v>
      </c>
      <c r="X1183" s="283">
        <v>0</v>
      </c>
      <c r="Y1183" s="199" t="s">
        <v>1392</v>
      </c>
      <c r="Z1183" s="517" t="s">
        <v>5449</v>
      </c>
      <c r="AA1183" s="493" t="s">
        <v>1485</v>
      </c>
      <c r="AB1183" s="507"/>
    </row>
    <row r="1184" spans="2:28" x14ac:dyDescent="0.15">
      <c r="B1184" s="333" t="s">
        <v>5283</v>
      </c>
      <c r="C1184" s="528">
        <v>43454</v>
      </c>
      <c r="D1184" s="198" t="s">
        <v>5284</v>
      </c>
      <c r="E1184" s="53" t="s">
        <v>1391</v>
      </c>
      <c r="F1184" s="198" t="s">
        <v>4014</v>
      </c>
      <c r="G1184" s="3" t="s">
        <v>370</v>
      </c>
      <c r="H1184" s="53" t="s">
        <v>1491</v>
      </c>
      <c r="I1184" s="3" t="s">
        <v>1492</v>
      </c>
      <c r="J1184" s="4" t="s">
        <v>268</v>
      </c>
      <c r="K1184" s="4" t="s">
        <v>1158</v>
      </c>
      <c r="L1184" s="4" t="s">
        <v>4173</v>
      </c>
      <c r="M1184" s="43" t="s">
        <v>5285</v>
      </c>
      <c r="N1184" s="255">
        <v>130000</v>
      </c>
      <c r="O1184" s="265">
        <v>100</v>
      </c>
      <c r="P1184" s="270">
        <v>1</v>
      </c>
      <c r="Q1184" s="255">
        <v>130000</v>
      </c>
      <c r="R1184" s="283">
        <v>130000</v>
      </c>
      <c r="S1184" s="283">
        <v>41396</v>
      </c>
      <c r="T1184" s="287">
        <v>0</v>
      </c>
      <c r="U1184" s="287">
        <v>1</v>
      </c>
      <c r="V1184" s="287">
        <v>0</v>
      </c>
      <c r="W1184" s="283">
        <v>15000</v>
      </c>
      <c r="X1184" s="283">
        <v>0</v>
      </c>
      <c r="Y1184" s="199" t="s">
        <v>1392</v>
      </c>
      <c r="Z1184" s="517" t="s">
        <v>5167</v>
      </c>
      <c r="AA1184" s="493" t="s">
        <v>1485</v>
      </c>
      <c r="AB1184" s="507"/>
    </row>
    <row r="1185" spans="2:28" x14ac:dyDescent="0.15">
      <c r="B1185" s="333" t="s">
        <v>5286</v>
      </c>
      <c r="C1185" s="528">
        <v>43454</v>
      </c>
      <c r="D1185" s="198" t="s">
        <v>5287</v>
      </c>
      <c r="E1185" s="53" t="s">
        <v>1391</v>
      </c>
      <c r="F1185" s="198" t="s">
        <v>4014</v>
      </c>
      <c r="G1185" s="3" t="s">
        <v>370</v>
      </c>
      <c r="H1185" s="53" t="s">
        <v>1491</v>
      </c>
      <c r="I1185" s="3" t="s">
        <v>1492</v>
      </c>
      <c r="J1185" s="4" t="s">
        <v>268</v>
      </c>
      <c r="K1185" s="4" t="s">
        <v>1158</v>
      </c>
      <c r="L1185" s="4" t="s">
        <v>5288</v>
      </c>
      <c r="M1185" s="43" t="s">
        <v>5289</v>
      </c>
      <c r="N1185" s="255">
        <v>130000</v>
      </c>
      <c r="O1185" s="265">
        <v>100</v>
      </c>
      <c r="P1185" s="270">
        <v>1</v>
      </c>
      <c r="Q1185" s="255">
        <v>130000</v>
      </c>
      <c r="R1185" s="283">
        <v>130000</v>
      </c>
      <c r="S1185" s="283">
        <v>41396</v>
      </c>
      <c r="T1185" s="287">
        <v>0</v>
      </c>
      <c r="U1185" s="287">
        <v>1</v>
      </c>
      <c r="V1185" s="287">
        <v>0</v>
      </c>
      <c r="W1185" s="283">
        <v>15000</v>
      </c>
      <c r="X1185" s="283">
        <v>0</v>
      </c>
      <c r="Y1185" s="199" t="s">
        <v>1392</v>
      </c>
      <c r="Z1185" s="517" t="s">
        <v>5167</v>
      </c>
      <c r="AA1185" s="493" t="s">
        <v>1485</v>
      </c>
      <c r="AB1185" s="507"/>
    </row>
    <row r="1186" spans="2:28" x14ac:dyDescent="0.15">
      <c r="B1186" s="333" t="s">
        <v>5290</v>
      </c>
      <c r="C1186" s="528">
        <v>43454</v>
      </c>
      <c r="D1186" s="198" t="s">
        <v>5291</v>
      </c>
      <c r="E1186" s="53" t="s">
        <v>1391</v>
      </c>
      <c r="F1186" s="198" t="s">
        <v>4014</v>
      </c>
      <c r="G1186" s="3" t="s">
        <v>370</v>
      </c>
      <c r="H1186" s="53" t="s">
        <v>1491</v>
      </c>
      <c r="I1186" s="3" t="s">
        <v>1492</v>
      </c>
      <c r="J1186" s="4" t="s">
        <v>268</v>
      </c>
      <c r="K1186" s="4" t="s">
        <v>1158</v>
      </c>
      <c r="L1186" s="4" t="s">
        <v>4277</v>
      </c>
      <c r="M1186" s="43" t="s">
        <v>5292</v>
      </c>
      <c r="N1186" s="255">
        <v>130000</v>
      </c>
      <c r="O1186" s="265">
        <v>100</v>
      </c>
      <c r="P1186" s="270">
        <v>1</v>
      </c>
      <c r="Q1186" s="255">
        <v>130000</v>
      </c>
      <c r="R1186" s="283">
        <v>130000</v>
      </c>
      <c r="S1186" s="283">
        <v>41396</v>
      </c>
      <c r="T1186" s="287">
        <v>0</v>
      </c>
      <c r="U1186" s="287">
        <v>1</v>
      </c>
      <c r="V1186" s="287">
        <v>0</v>
      </c>
      <c r="W1186" s="283">
        <v>15000</v>
      </c>
      <c r="X1186" s="283">
        <v>0</v>
      </c>
      <c r="Y1186" s="199" t="s">
        <v>1392</v>
      </c>
      <c r="Z1186" s="517" t="s">
        <v>5167</v>
      </c>
      <c r="AA1186" s="493" t="s">
        <v>1485</v>
      </c>
      <c r="AB1186" s="507"/>
    </row>
    <row r="1187" spans="2:28" x14ac:dyDescent="0.15">
      <c r="B1187" s="333" t="s">
        <v>5293</v>
      </c>
      <c r="C1187" s="528">
        <v>43454</v>
      </c>
      <c r="D1187" s="198" t="s">
        <v>5294</v>
      </c>
      <c r="E1187" s="53" t="s">
        <v>1391</v>
      </c>
      <c r="F1187" s="198" t="s">
        <v>4014</v>
      </c>
      <c r="G1187" s="3" t="s">
        <v>370</v>
      </c>
      <c r="H1187" s="53" t="s">
        <v>1491</v>
      </c>
      <c r="I1187" s="3" t="s">
        <v>1492</v>
      </c>
      <c r="J1187" s="4" t="s">
        <v>268</v>
      </c>
      <c r="K1187" s="4" t="s">
        <v>1158</v>
      </c>
      <c r="L1187" s="4" t="s">
        <v>5295</v>
      </c>
      <c r="M1187" s="43" t="s">
        <v>5296</v>
      </c>
      <c r="N1187" s="255">
        <v>130000</v>
      </c>
      <c r="O1187" s="265">
        <v>100</v>
      </c>
      <c r="P1187" s="270">
        <v>1</v>
      </c>
      <c r="Q1187" s="255">
        <v>130000</v>
      </c>
      <c r="R1187" s="283">
        <v>130000</v>
      </c>
      <c r="S1187" s="283">
        <v>41396</v>
      </c>
      <c r="T1187" s="287">
        <v>0</v>
      </c>
      <c r="U1187" s="287">
        <v>1</v>
      </c>
      <c r="V1187" s="287">
        <v>0</v>
      </c>
      <c r="W1187" s="283">
        <v>15000</v>
      </c>
      <c r="X1187" s="283">
        <v>0</v>
      </c>
      <c r="Y1187" s="199" t="s">
        <v>1392</v>
      </c>
      <c r="Z1187" s="517" t="s">
        <v>5167</v>
      </c>
      <c r="AA1187" s="493" t="s">
        <v>1485</v>
      </c>
      <c r="AB1187" s="507"/>
    </row>
    <row r="1188" spans="2:28" x14ac:dyDescent="0.15">
      <c r="B1188" s="333" t="s">
        <v>5297</v>
      </c>
      <c r="C1188" s="528">
        <v>43454</v>
      </c>
      <c r="D1188" s="198" t="s">
        <v>5298</v>
      </c>
      <c r="E1188" s="53" t="s">
        <v>1391</v>
      </c>
      <c r="F1188" s="198" t="s">
        <v>3786</v>
      </c>
      <c r="G1188" s="3" t="s">
        <v>364</v>
      </c>
      <c r="H1188" s="53" t="s">
        <v>492</v>
      </c>
      <c r="I1188" s="3" t="s">
        <v>1431</v>
      </c>
      <c r="J1188" s="4" t="s">
        <v>262</v>
      </c>
      <c r="K1188" s="4" t="s">
        <v>365</v>
      </c>
      <c r="L1188" s="4" t="s">
        <v>5299</v>
      </c>
      <c r="M1188" s="43" t="s">
        <v>5300</v>
      </c>
      <c r="N1188" s="255">
        <v>130000</v>
      </c>
      <c r="O1188" s="265">
        <v>100</v>
      </c>
      <c r="P1188" s="270">
        <v>1</v>
      </c>
      <c r="Q1188" s="255">
        <v>130000</v>
      </c>
      <c r="R1188" s="283">
        <v>130000</v>
      </c>
      <c r="S1188" s="283">
        <v>37820</v>
      </c>
      <c r="T1188" s="287">
        <v>0</v>
      </c>
      <c r="U1188" s="287">
        <v>1</v>
      </c>
      <c r="V1188" s="287">
        <v>0</v>
      </c>
      <c r="W1188" s="283">
        <v>15000</v>
      </c>
      <c r="X1188" s="283">
        <v>0</v>
      </c>
      <c r="Y1188" s="199" t="s">
        <v>1392</v>
      </c>
      <c r="Z1188" s="517" t="s">
        <v>5167</v>
      </c>
      <c r="AA1188" s="493" t="s">
        <v>1485</v>
      </c>
      <c r="AB1188" s="507"/>
    </row>
    <row r="1189" spans="2:28" x14ac:dyDescent="0.15">
      <c r="B1189" s="333" t="s">
        <v>5301</v>
      </c>
      <c r="C1189" s="528">
        <v>43454</v>
      </c>
      <c r="D1189" s="198" t="s">
        <v>5302</v>
      </c>
      <c r="E1189" s="53" t="s">
        <v>1391</v>
      </c>
      <c r="F1189" s="198" t="s">
        <v>3786</v>
      </c>
      <c r="G1189" s="3" t="s">
        <v>364</v>
      </c>
      <c r="H1189" s="53" t="s">
        <v>492</v>
      </c>
      <c r="I1189" s="3" t="s">
        <v>1431</v>
      </c>
      <c r="J1189" s="4" t="s">
        <v>268</v>
      </c>
      <c r="K1189" s="4" t="s">
        <v>1158</v>
      </c>
      <c r="L1189" s="4" t="s">
        <v>5288</v>
      </c>
      <c r="M1189" s="43" t="s">
        <v>5303</v>
      </c>
      <c r="N1189" s="255">
        <v>130000</v>
      </c>
      <c r="O1189" s="265">
        <v>100</v>
      </c>
      <c r="P1189" s="270">
        <v>1</v>
      </c>
      <c r="Q1189" s="255">
        <v>130000</v>
      </c>
      <c r="R1189" s="283">
        <v>130000</v>
      </c>
      <c r="S1189" s="283">
        <v>41396</v>
      </c>
      <c r="T1189" s="287">
        <v>0</v>
      </c>
      <c r="U1189" s="287">
        <v>1</v>
      </c>
      <c r="V1189" s="287">
        <v>0</v>
      </c>
      <c r="W1189" s="283">
        <v>15000</v>
      </c>
      <c r="X1189" s="283">
        <v>0</v>
      </c>
      <c r="Y1189" s="199" t="s">
        <v>1392</v>
      </c>
      <c r="Z1189" s="517" t="s">
        <v>5167</v>
      </c>
      <c r="AA1189" s="493" t="s">
        <v>1485</v>
      </c>
      <c r="AB1189" s="507"/>
    </row>
    <row r="1190" spans="2:28" x14ac:dyDescent="0.15">
      <c r="B1190" s="333" t="s">
        <v>5301</v>
      </c>
      <c r="C1190" s="528">
        <v>43454</v>
      </c>
      <c r="D1190" s="198" t="s">
        <v>5302</v>
      </c>
      <c r="E1190" s="53" t="s">
        <v>1391</v>
      </c>
      <c r="F1190" s="198" t="s">
        <v>3786</v>
      </c>
      <c r="G1190" s="3" t="s">
        <v>364</v>
      </c>
      <c r="H1190" s="53" t="s">
        <v>492</v>
      </c>
      <c r="I1190" s="3" t="s">
        <v>1431</v>
      </c>
      <c r="J1190" s="4" t="s">
        <v>268</v>
      </c>
      <c r="K1190" s="4" t="s">
        <v>1158</v>
      </c>
      <c r="L1190" s="4" t="s">
        <v>5295</v>
      </c>
      <c r="M1190" s="43" t="s">
        <v>5304</v>
      </c>
      <c r="N1190" s="255">
        <v>130000</v>
      </c>
      <c r="O1190" s="265">
        <v>100</v>
      </c>
      <c r="P1190" s="270">
        <v>1</v>
      </c>
      <c r="Q1190" s="255">
        <v>130000</v>
      </c>
      <c r="R1190" s="283">
        <v>130000</v>
      </c>
      <c r="S1190" s="283">
        <v>41396</v>
      </c>
      <c r="T1190" s="287">
        <v>0</v>
      </c>
      <c r="U1190" s="287">
        <v>1</v>
      </c>
      <c r="V1190" s="287">
        <v>0</v>
      </c>
      <c r="W1190" s="283">
        <v>15000</v>
      </c>
      <c r="X1190" s="283">
        <v>0</v>
      </c>
      <c r="Y1190" s="199" t="s">
        <v>1392</v>
      </c>
      <c r="Z1190" s="517" t="s">
        <v>5535</v>
      </c>
      <c r="AA1190" s="493" t="s">
        <v>1485</v>
      </c>
      <c r="AB1190" s="507"/>
    </row>
    <row r="1191" spans="2:28" x14ac:dyDescent="0.15">
      <c r="B1191" s="333" t="s">
        <v>5305</v>
      </c>
      <c r="C1191" s="528">
        <v>43454</v>
      </c>
      <c r="D1191" s="198" t="s">
        <v>5306</v>
      </c>
      <c r="E1191" s="53" t="s">
        <v>1391</v>
      </c>
      <c r="F1191" s="198" t="s">
        <v>3786</v>
      </c>
      <c r="G1191" s="3" t="s">
        <v>364</v>
      </c>
      <c r="H1191" s="53" t="s">
        <v>473</v>
      </c>
      <c r="I1191" s="3" t="s">
        <v>1400</v>
      </c>
      <c r="J1191" s="4" t="s">
        <v>262</v>
      </c>
      <c r="K1191" s="4" t="s">
        <v>365</v>
      </c>
      <c r="L1191" s="4" t="s">
        <v>3735</v>
      </c>
      <c r="M1191" s="43" t="s">
        <v>5307</v>
      </c>
      <c r="N1191" s="255">
        <v>130000</v>
      </c>
      <c r="O1191" s="265">
        <v>100</v>
      </c>
      <c r="P1191" s="270">
        <v>1</v>
      </c>
      <c r="Q1191" s="255">
        <v>130000</v>
      </c>
      <c r="R1191" s="283">
        <v>130000</v>
      </c>
      <c r="S1191" s="283">
        <v>37820</v>
      </c>
      <c r="T1191" s="287">
        <v>0</v>
      </c>
      <c r="U1191" s="287">
        <v>1</v>
      </c>
      <c r="V1191" s="287">
        <v>0</v>
      </c>
      <c r="W1191" s="283">
        <v>15000</v>
      </c>
      <c r="X1191" s="283">
        <v>0</v>
      </c>
      <c r="Y1191" s="199" t="s">
        <v>1392</v>
      </c>
      <c r="Z1191" s="517" t="s">
        <v>5537</v>
      </c>
      <c r="AA1191" s="493" t="s">
        <v>1485</v>
      </c>
      <c r="AB1191" s="507"/>
    </row>
    <row r="1192" spans="2:28" x14ac:dyDescent="0.15">
      <c r="B1192" s="333" t="s">
        <v>5308</v>
      </c>
      <c r="C1192" s="528">
        <v>43454</v>
      </c>
      <c r="D1192" s="198" t="s">
        <v>5309</v>
      </c>
      <c r="E1192" s="53" t="s">
        <v>1391</v>
      </c>
      <c r="F1192" s="198" t="s">
        <v>3786</v>
      </c>
      <c r="G1192" s="3" t="s">
        <v>364</v>
      </c>
      <c r="H1192" s="53" t="s">
        <v>420</v>
      </c>
      <c r="I1192" s="3" t="s">
        <v>3509</v>
      </c>
      <c r="J1192" s="4" t="s">
        <v>301</v>
      </c>
      <c r="K1192" s="4" t="s">
        <v>1214</v>
      </c>
      <c r="L1192" s="4" t="s">
        <v>5310</v>
      </c>
      <c r="M1192" s="43" t="s">
        <v>5311</v>
      </c>
      <c r="N1192" s="255">
        <v>175000</v>
      </c>
      <c r="O1192" s="265">
        <v>100</v>
      </c>
      <c r="P1192" s="270">
        <v>1</v>
      </c>
      <c r="Q1192" s="255">
        <v>175000</v>
      </c>
      <c r="R1192" s="283">
        <v>175000</v>
      </c>
      <c r="S1192" s="283">
        <v>52802</v>
      </c>
      <c r="T1192" s="287">
        <v>0</v>
      </c>
      <c r="U1192" s="287">
        <v>1</v>
      </c>
      <c r="V1192" s="287">
        <v>0</v>
      </c>
      <c r="W1192" s="283">
        <v>20192</v>
      </c>
      <c r="X1192" s="283">
        <v>0</v>
      </c>
      <c r="Y1192" s="199" t="s">
        <v>1392</v>
      </c>
      <c r="Z1192" s="517" t="s">
        <v>5532</v>
      </c>
      <c r="AA1192" s="493" t="s">
        <v>1485</v>
      </c>
      <c r="AB1192" s="507"/>
    </row>
    <row r="1193" spans="2:28" x14ac:dyDescent="0.15">
      <c r="B1193" s="333" t="s">
        <v>5308</v>
      </c>
      <c r="C1193" s="528">
        <v>43454</v>
      </c>
      <c r="D1193" s="198" t="s">
        <v>5309</v>
      </c>
      <c r="E1193" s="53" t="s">
        <v>1391</v>
      </c>
      <c r="F1193" s="198" t="s">
        <v>3786</v>
      </c>
      <c r="G1193" s="3" t="s">
        <v>364</v>
      </c>
      <c r="H1193" s="53" t="s">
        <v>420</v>
      </c>
      <c r="I1193" s="3" t="s">
        <v>3509</v>
      </c>
      <c r="J1193" s="4" t="s">
        <v>301</v>
      </c>
      <c r="K1193" s="4" t="s">
        <v>1214</v>
      </c>
      <c r="L1193" s="4" t="s">
        <v>5310</v>
      </c>
      <c r="M1193" s="43" t="s">
        <v>5312</v>
      </c>
      <c r="N1193" s="255">
        <v>175000</v>
      </c>
      <c r="O1193" s="265">
        <v>100</v>
      </c>
      <c r="P1193" s="270">
        <v>1</v>
      </c>
      <c r="Q1193" s="255">
        <v>175000</v>
      </c>
      <c r="R1193" s="283">
        <v>175000</v>
      </c>
      <c r="S1193" s="283">
        <v>52802</v>
      </c>
      <c r="T1193" s="287">
        <v>0</v>
      </c>
      <c r="U1193" s="287">
        <v>1</v>
      </c>
      <c r="V1193" s="287">
        <v>0</v>
      </c>
      <c r="W1193" s="283">
        <v>20192</v>
      </c>
      <c r="X1193" s="283">
        <v>0</v>
      </c>
      <c r="Y1193" s="199" t="s">
        <v>1392</v>
      </c>
      <c r="Z1193" s="517" t="s">
        <v>5166</v>
      </c>
      <c r="AA1193" s="493" t="s">
        <v>1485</v>
      </c>
      <c r="AB1193" s="507"/>
    </row>
    <row r="1194" spans="2:28" x14ac:dyDescent="0.15">
      <c r="B1194" s="333" t="s">
        <v>5308</v>
      </c>
      <c r="C1194" s="528">
        <v>43454</v>
      </c>
      <c r="D1194" s="198" t="s">
        <v>5309</v>
      </c>
      <c r="E1194" s="53" t="s">
        <v>1391</v>
      </c>
      <c r="F1194" s="198" t="s">
        <v>3786</v>
      </c>
      <c r="G1194" s="3" t="s">
        <v>364</v>
      </c>
      <c r="H1194" s="53" t="s">
        <v>420</v>
      </c>
      <c r="I1194" s="3" t="s">
        <v>3509</v>
      </c>
      <c r="J1194" s="4" t="s">
        <v>301</v>
      </c>
      <c r="K1194" s="4" t="s">
        <v>1214</v>
      </c>
      <c r="L1194" s="4" t="s">
        <v>5310</v>
      </c>
      <c r="M1194" s="43" t="s">
        <v>5313</v>
      </c>
      <c r="N1194" s="255">
        <v>175000</v>
      </c>
      <c r="O1194" s="265">
        <v>100</v>
      </c>
      <c r="P1194" s="270">
        <v>1</v>
      </c>
      <c r="Q1194" s="255">
        <v>175000</v>
      </c>
      <c r="R1194" s="283">
        <v>175000</v>
      </c>
      <c r="S1194" s="283">
        <v>52802</v>
      </c>
      <c r="T1194" s="287">
        <v>0</v>
      </c>
      <c r="U1194" s="287">
        <v>1</v>
      </c>
      <c r="V1194" s="287">
        <v>0</v>
      </c>
      <c r="W1194" s="283">
        <v>20192</v>
      </c>
      <c r="X1194" s="283">
        <v>0</v>
      </c>
      <c r="Y1194" s="199" t="s">
        <v>1392</v>
      </c>
      <c r="Z1194" s="517" t="s">
        <v>5166</v>
      </c>
      <c r="AA1194" s="493" t="s">
        <v>1485</v>
      </c>
      <c r="AB1194" s="507"/>
    </row>
    <row r="1195" spans="2:28" x14ac:dyDescent="0.15">
      <c r="B1195" s="333" t="s">
        <v>5308</v>
      </c>
      <c r="C1195" s="528">
        <v>43454</v>
      </c>
      <c r="D1195" s="198" t="s">
        <v>5309</v>
      </c>
      <c r="E1195" s="53" t="s">
        <v>1391</v>
      </c>
      <c r="F1195" s="198" t="s">
        <v>3786</v>
      </c>
      <c r="G1195" s="3" t="s">
        <v>364</v>
      </c>
      <c r="H1195" s="53" t="s">
        <v>420</v>
      </c>
      <c r="I1195" s="3" t="s">
        <v>3509</v>
      </c>
      <c r="J1195" s="4" t="s">
        <v>301</v>
      </c>
      <c r="K1195" s="4" t="s">
        <v>1214</v>
      </c>
      <c r="L1195" s="4" t="s">
        <v>5314</v>
      </c>
      <c r="M1195" s="43" t="s">
        <v>5315</v>
      </c>
      <c r="N1195" s="255">
        <v>175000</v>
      </c>
      <c r="O1195" s="265">
        <v>100</v>
      </c>
      <c r="P1195" s="270">
        <v>1</v>
      </c>
      <c r="Q1195" s="255">
        <v>175000</v>
      </c>
      <c r="R1195" s="283">
        <v>175000</v>
      </c>
      <c r="S1195" s="283">
        <v>52802</v>
      </c>
      <c r="T1195" s="287">
        <v>0</v>
      </c>
      <c r="U1195" s="287">
        <v>1</v>
      </c>
      <c r="V1195" s="287">
        <v>0</v>
      </c>
      <c r="W1195" s="283">
        <v>20192</v>
      </c>
      <c r="X1195" s="283">
        <v>0</v>
      </c>
      <c r="Y1195" s="199" t="s">
        <v>1392</v>
      </c>
      <c r="Z1195" s="517" t="s">
        <v>5166</v>
      </c>
      <c r="AA1195" s="493" t="s">
        <v>1485</v>
      </c>
      <c r="AB1195" s="507"/>
    </row>
    <row r="1196" spans="2:28" x14ac:dyDescent="0.15">
      <c r="B1196" s="333" t="s">
        <v>5308</v>
      </c>
      <c r="C1196" s="528">
        <v>43454</v>
      </c>
      <c r="D1196" s="198" t="s">
        <v>5309</v>
      </c>
      <c r="E1196" s="53" t="s">
        <v>1391</v>
      </c>
      <c r="F1196" s="198" t="s">
        <v>3786</v>
      </c>
      <c r="G1196" s="3" t="s">
        <v>364</v>
      </c>
      <c r="H1196" s="53" t="s">
        <v>420</v>
      </c>
      <c r="I1196" s="3" t="s">
        <v>3509</v>
      </c>
      <c r="J1196" s="4" t="s">
        <v>301</v>
      </c>
      <c r="K1196" s="4" t="s">
        <v>1214</v>
      </c>
      <c r="L1196" s="4" t="s">
        <v>5314</v>
      </c>
      <c r="M1196" s="43" t="s">
        <v>5316</v>
      </c>
      <c r="N1196" s="255">
        <v>175000</v>
      </c>
      <c r="O1196" s="265">
        <v>100</v>
      </c>
      <c r="P1196" s="270">
        <v>1</v>
      </c>
      <c r="Q1196" s="255">
        <v>175000</v>
      </c>
      <c r="R1196" s="283">
        <v>175000</v>
      </c>
      <c r="S1196" s="283">
        <v>52802</v>
      </c>
      <c r="T1196" s="287">
        <v>0</v>
      </c>
      <c r="U1196" s="287">
        <v>1</v>
      </c>
      <c r="V1196" s="287">
        <v>0</v>
      </c>
      <c r="W1196" s="283">
        <v>20192</v>
      </c>
      <c r="X1196" s="283">
        <v>0</v>
      </c>
      <c r="Y1196" s="199" t="s">
        <v>1392</v>
      </c>
      <c r="Z1196" s="517" t="s">
        <v>5166</v>
      </c>
      <c r="AA1196" s="493" t="s">
        <v>1485</v>
      </c>
      <c r="AB1196" s="507"/>
    </row>
    <row r="1197" spans="2:28" x14ac:dyDescent="0.15">
      <c r="B1197" s="327" t="s">
        <v>5317</v>
      </c>
      <c r="C1197" s="527">
        <v>43454</v>
      </c>
      <c r="D1197" s="191" t="s">
        <v>5318</v>
      </c>
      <c r="E1197" s="43" t="s">
        <v>1391</v>
      </c>
      <c r="F1197" s="191" t="s">
        <v>4154</v>
      </c>
      <c r="G1197" s="4" t="s">
        <v>371</v>
      </c>
      <c r="H1197" s="43" t="s">
        <v>383</v>
      </c>
      <c r="I1197" s="4" t="s">
        <v>5128</v>
      </c>
      <c r="J1197" s="4" t="s">
        <v>299</v>
      </c>
      <c r="K1197" s="4" t="s">
        <v>373</v>
      </c>
      <c r="L1197" s="4" t="s">
        <v>3616</v>
      </c>
      <c r="M1197" s="43"/>
      <c r="N1197" s="255">
        <v>10000</v>
      </c>
      <c r="O1197" s="265">
        <v>100</v>
      </c>
      <c r="P1197" s="270">
        <v>1</v>
      </c>
      <c r="Q1197" s="255">
        <v>10000</v>
      </c>
      <c r="R1197" s="283">
        <v>10000</v>
      </c>
      <c r="S1197" s="283">
        <v>2694</v>
      </c>
      <c r="T1197" s="287">
        <v>0</v>
      </c>
      <c r="U1197" s="287">
        <v>0</v>
      </c>
      <c r="V1197" s="287">
        <v>0</v>
      </c>
      <c r="W1197" s="283">
        <v>7306</v>
      </c>
      <c r="X1197" s="283">
        <v>0</v>
      </c>
      <c r="Y1197" s="199" t="s">
        <v>1392</v>
      </c>
      <c r="Z1197" s="517" t="s">
        <v>5166</v>
      </c>
      <c r="AA1197" s="493" t="s">
        <v>1485</v>
      </c>
      <c r="AB1197" s="507"/>
    </row>
    <row r="1198" spans="2:28" x14ac:dyDescent="0.15">
      <c r="B1198" s="327" t="s">
        <v>5319</v>
      </c>
      <c r="C1198" s="527">
        <v>43454</v>
      </c>
      <c r="D1198" s="191" t="s">
        <v>5320</v>
      </c>
      <c r="E1198" s="43" t="s">
        <v>1391</v>
      </c>
      <c r="F1198" s="191" t="s">
        <v>4154</v>
      </c>
      <c r="G1198" s="4" t="s">
        <v>371</v>
      </c>
      <c r="H1198" s="43" t="s">
        <v>386</v>
      </c>
      <c r="I1198" s="4" t="s">
        <v>1407</v>
      </c>
      <c r="J1198" s="4" t="s">
        <v>299</v>
      </c>
      <c r="K1198" s="4" t="s">
        <v>373</v>
      </c>
      <c r="L1198" s="4" t="s">
        <v>2378</v>
      </c>
      <c r="M1198" s="43"/>
      <c r="N1198" s="255">
        <v>6000</v>
      </c>
      <c r="O1198" s="265">
        <v>100</v>
      </c>
      <c r="P1198" s="270">
        <v>1</v>
      </c>
      <c r="Q1198" s="255">
        <v>6000</v>
      </c>
      <c r="R1198" s="283">
        <v>6000</v>
      </c>
      <c r="S1198" s="283">
        <v>1616</v>
      </c>
      <c r="T1198" s="287">
        <v>0</v>
      </c>
      <c r="U1198" s="287">
        <v>0</v>
      </c>
      <c r="V1198" s="287">
        <v>0</v>
      </c>
      <c r="W1198" s="283">
        <v>4384</v>
      </c>
      <c r="X1198" s="283">
        <v>0</v>
      </c>
      <c r="Y1198" s="199" t="s">
        <v>1392</v>
      </c>
      <c r="Z1198" s="517" t="s">
        <v>5166</v>
      </c>
      <c r="AA1198" s="493" t="s">
        <v>1485</v>
      </c>
      <c r="AB1198" s="507"/>
    </row>
    <row r="1199" spans="2:28" x14ac:dyDescent="0.15">
      <c r="B1199" s="333" t="s">
        <v>5321</v>
      </c>
      <c r="C1199" s="528">
        <v>43455</v>
      </c>
      <c r="D1199" s="198" t="s">
        <v>5201</v>
      </c>
      <c r="E1199" s="53" t="s">
        <v>1396</v>
      </c>
      <c r="F1199" s="198" t="s">
        <v>21</v>
      </c>
      <c r="G1199" s="3" t="s">
        <v>50</v>
      </c>
      <c r="H1199" s="53" t="s">
        <v>1434</v>
      </c>
      <c r="I1199" s="3" t="s">
        <v>1435</v>
      </c>
      <c r="J1199" s="4" t="s">
        <v>268</v>
      </c>
      <c r="K1199" s="4" t="s">
        <v>1158</v>
      </c>
      <c r="L1199" s="4" t="s">
        <v>5322</v>
      </c>
      <c r="M1199" s="43" t="s">
        <v>5323</v>
      </c>
      <c r="N1199" s="255">
        <v>233000</v>
      </c>
      <c r="O1199" s="265">
        <v>100</v>
      </c>
      <c r="P1199" s="270">
        <v>1</v>
      </c>
      <c r="Q1199" s="255">
        <v>233000</v>
      </c>
      <c r="R1199" s="283">
        <v>233000</v>
      </c>
      <c r="S1199" s="283">
        <v>100972</v>
      </c>
      <c r="T1199" s="287">
        <v>0</v>
      </c>
      <c r="U1199" s="287">
        <v>1</v>
      </c>
      <c r="V1199" s="287">
        <v>0</v>
      </c>
      <c r="W1199" s="283">
        <v>29957</v>
      </c>
      <c r="X1199" s="283">
        <v>0</v>
      </c>
      <c r="Y1199" s="199" t="s">
        <v>1392</v>
      </c>
      <c r="Z1199" s="517" t="s">
        <v>5167</v>
      </c>
      <c r="AA1199" s="493" t="s">
        <v>1485</v>
      </c>
      <c r="AB1199" s="507"/>
    </row>
    <row r="1200" spans="2:28" x14ac:dyDescent="0.15">
      <c r="B1200" s="333" t="s">
        <v>5203</v>
      </c>
      <c r="C1200" s="528">
        <v>43455</v>
      </c>
      <c r="D1200" s="198" t="s">
        <v>5204</v>
      </c>
      <c r="E1200" s="53" t="s">
        <v>1396</v>
      </c>
      <c r="F1200" s="198" t="s">
        <v>21</v>
      </c>
      <c r="G1200" s="3" t="s">
        <v>50</v>
      </c>
      <c r="H1200" s="53" t="s">
        <v>381</v>
      </c>
      <c r="I1200" s="3" t="s">
        <v>1408</v>
      </c>
      <c r="J1200" s="4" t="s">
        <v>264</v>
      </c>
      <c r="K1200" s="4" t="s">
        <v>538</v>
      </c>
      <c r="L1200" s="4" t="s">
        <v>5324</v>
      </c>
      <c r="M1200" s="43" t="s">
        <v>5325</v>
      </c>
      <c r="N1200" s="255">
        <v>320000</v>
      </c>
      <c r="O1200" s="265">
        <v>60</v>
      </c>
      <c r="P1200" s="270">
        <v>1</v>
      </c>
      <c r="Q1200" s="255">
        <v>192000</v>
      </c>
      <c r="R1200" s="283">
        <v>192000</v>
      </c>
      <c r="S1200" s="283">
        <v>56738</v>
      </c>
      <c r="T1200" s="287">
        <v>0</v>
      </c>
      <c r="U1200" s="287">
        <v>1</v>
      </c>
      <c r="V1200" s="287">
        <v>0</v>
      </c>
      <c r="W1200" s="283">
        <v>19200</v>
      </c>
      <c r="X1200" s="283">
        <v>0</v>
      </c>
      <c r="Y1200" s="199" t="s">
        <v>1392</v>
      </c>
      <c r="Z1200" s="517" t="s">
        <v>5166</v>
      </c>
      <c r="AA1200" s="493" t="s">
        <v>1485</v>
      </c>
      <c r="AB1200" s="507"/>
    </row>
    <row r="1201" spans="2:28" x14ac:dyDescent="0.15">
      <c r="B1201" s="333" t="s">
        <v>5326</v>
      </c>
      <c r="C1201" s="528">
        <v>43455</v>
      </c>
      <c r="D1201" s="198" t="s">
        <v>5327</v>
      </c>
      <c r="E1201" s="53" t="s">
        <v>1396</v>
      </c>
      <c r="F1201" s="198" t="s">
        <v>21</v>
      </c>
      <c r="G1201" s="3" t="s">
        <v>50</v>
      </c>
      <c r="H1201" s="53" t="s">
        <v>1434</v>
      </c>
      <c r="I1201" s="3" t="s">
        <v>1435</v>
      </c>
      <c r="J1201" s="4" t="s">
        <v>268</v>
      </c>
      <c r="K1201" s="4" t="s">
        <v>1158</v>
      </c>
      <c r="L1201" s="4" t="s">
        <v>4428</v>
      </c>
      <c r="M1201" s="43" t="s">
        <v>5328</v>
      </c>
      <c r="N1201" s="255">
        <v>130000</v>
      </c>
      <c r="O1201" s="265">
        <v>100</v>
      </c>
      <c r="P1201" s="270">
        <v>1</v>
      </c>
      <c r="Q1201" s="255">
        <v>130000</v>
      </c>
      <c r="R1201" s="283">
        <v>130000</v>
      </c>
      <c r="S1201" s="283">
        <v>41396</v>
      </c>
      <c r="T1201" s="287">
        <v>0</v>
      </c>
      <c r="U1201" s="287">
        <v>1</v>
      </c>
      <c r="V1201" s="287">
        <v>0</v>
      </c>
      <c r="W1201" s="283">
        <v>15000</v>
      </c>
      <c r="X1201" s="283">
        <v>0</v>
      </c>
      <c r="Y1201" s="199" t="s">
        <v>1392</v>
      </c>
      <c r="Z1201" s="517" t="s">
        <v>5167</v>
      </c>
      <c r="AA1201" s="493" t="s">
        <v>1485</v>
      </c>
      <c r="AB1201" s="507"/>
    </row>
    <row r="1202" spans="2:28" x14ac:dyDescent="0.15">
      <c r="B1202" s="333" t="s">
        <v>5329</v>
      </c>
      <c r="C1202" s="528">
        <v>43455</v>
      </c>
      <c r="D1202" s="198" t="s">
        <v>5330</v>
      </c>
      <c r="E1202" s="53" t="s">
        <v>1391</v>
      </c>
      <c r="F1202" s="198" t="s">
        <v>3786</v>
      </c>
      <c r="G1202" s="3" t="s">
        <v>364</v>
      </c>
      <c r="H1202" s="53" t="s">
        <v>510</v>
      </c>
      <c r="I1202" s="3" t="s">
        <v>1444</v>
      </c>
      <c r="J1202" s="4" t="s">
        <v>262</v>
      </c>
      <c r="K1202" s="4" t="s">
        <v>365</v>
      </c>
      <c r="L1202" s="4" t="s">
        <v>5299</v>
      </c>
      <c r="M1202" s="43" t="s">
        <v>5331</v>
      </c>
      <c r="N1202" s="255">
        <v>130000</v>
      </c>
      <c r="O1202" s="265">
        <v>100</v>
      </c>
      <c r="P1202" s="270">
        <v>1</v>
      </c>
      <c r="Q1202" s="255">
        <v>130000</v>
      </c>
      <c r="R1202" s="283">
        <v>130000</v>
      </c>
      <c r="S1202" s="283">
        <v>52820</v>
      </c>
      <c r="T1202" s="287">
        <v>1</v>
      </c>
      <c r="U1202" s="287">
        <v>0</v>
      </c>
      <c r="V1202" s="287">
        <v>0</v>
      </c>
      <c r="W1202" s="283">
        <v>0</v>
      </c>
      <c r="X1202" s="283">
        <v>0</v>
      </c>
      <c r="Y1202" s="199" t="s">
        <v>1395</v>
      </c>
      <c r="Z1202" s="517" t="s">
        <v>5170</v>
      </c>
      <c r="AA1202" s="493" t="s">
        <v>1485</v>
      </c>
      <c r="AB1202" s="507"/>
    </row>
    <row r="1203" spans="2:28" x14ac:dyDescent="0.15">
      <c r="B1203" s="333" t="s">
        <v>5332</v>
      </c>
      <c r="C1203" s="528">
        <v>43455</v>
      </c>
      <c r="D1203" s="198" t="s">
        <v>5333</v>
      </c>
      <c r="E1203" s="53" t="s">
        <v>1391</v>
      </c>
      <c r="F1203" s="198" t="s">
        <v>3786</v>
      </c>
      <c r="G1203" s="3" t="s">
        <v>364</v>
      </c>
      <c r="H1203" s="53" t="s">
        <v>514</v>
      </c>
      <c r="I1203" s="3" t="s">
        <v>2182</v>
      </c>
      <c r="J1203" s="4" t="s">
        <v>262</v>
      </c>
      <c r="K1203" s="4" t="s">
        <v>365</v>
      </c>
      <c r="L1203" s="4" t="s">
        <v>5299</v>
      </c>
      <c r="M1203" s="43" t="s">
        <v>5334</v>
      </c>
      <c r="N1203" s="255">
        <v>130000</v>
      </c>
      <c r="O1203" s="265">
        <v>100</v>
      </c>
      <c r="P1203" s="270">
        <v>1</v>
      </c>
      <c r="Q1203" s="255">
        <v>130000</v>
      </c>
      <c r="R1203" s="283">
        <v>130000</v>
      </c>
      <c r="S1203" s="283">
        <v>52820</v>
      </c>
      <c r="T1203" s="287">
        <v>1</v>
      </c>
      <c r="U1203" s="287">
        <v>0</v>
      </c>
      <c r="V1203" s="287">
        <v>0</v>
      </c>
      <c r="W1203" s="283">
        <v>0</v>
      </c>
      <c r="X1203" s="283">
        <v>0</v>
      </c>
      <c r="Y1203" s="199" t="s">
        <v>1395</v>
      </c>
      <c r="Z1203" s="517" t="s">
        <v>5170</v>
      </c>
      <c r="AA1203" s="493" t="s">
        <v>1485</v>
      </c>
      <c r="AB1203" s="507"/>
    </row>
    <row r="1204" spans="2:28" x14ac:dyDescent="0.15">
      <c r="B1204" s="333" t="s">
        <v>5335</v>
      </c>
      <c r="C1204" s="528">
        <v>43455</v>
      </c>
      <c r="D1204" s="198" t="s">
        <v>5336</v>
      </c>
      <c r="E1204" s="53" t="s">
        <v>1396</v>
      </c>
      <c r="F1204" s="198" t="s">
        <v>21</v>
      </c>
      <c r="G1204" s="3" t="s">
        <v>50</v>
      </c>
      <c r="H1204" s="53" t="s">
        <v>1434</v>
      </c>
      <c r="I1204" s="3" t="s">
        <v>1435</v>
      </c>
      <c r="J1204" s="4" t="s">
        <v>268</v>
      </c>
      <c r="K1204" s="4" t="s">
        <v>1158</v>
      </c>
      <c r="L1204" s="4" t="s">
        <v>4173</v>
      </c>
      <c r="M1204" s="43" t="s">
        <v>5337</v>
      </c>
      <c r="N1204" s="255">
        <v>130000</v>
      </c>
      <c r="O1204" s="265">
        <v>100</v>
      </c>
      <c r="P1204" s="270">
        <v>1</v>
      </c>
      <c r="Q1204" s="255">
        <v>130000</v>
      </c>
      <c r="R1204" s="283">
        <v>130000</v>
      </c>
      <c r="S1204" s="283">
        <v>41396</v>
      </c>
      <c r="T1204" s="287">
        <v>0</v>
      </c>
      <c r="U1204" s="287">
        <v>1</v>
      </c>
      <c r="V1204" s="287">
        <v>0</v>
      </c>
      <c r="W1204" s="283">
        <v>15000</v>
      </c>
      <c r="X1204" s="283">
        <v>0</v>
      </c>
      <c r="Y1204" s="199" t="s">
        <v>1392</v>
      </c>
      <c r="Z1204" s="517" t="s">
        <v>5167</v>
      </c>
      <c r="AA1204" s="493" t="s">
        <v>1485</v>
      </c>
      <c r="AB1204" s="507"/>
    </row>
    <row r="1205" spans="2:28" x14ac:dyDescent="0.15">
      <c r="B1205" s="333" t="s">
        <v>5338</v>
      </c>
      <c r="C1205" s="528">
        <v>43455</v>
      </c>
      <c r="D1205" s="198" t="s">
        <v>5339</v>
      </c>
      <c r="E1205" s="53" t="s">
        <v>1396</v>
      </c>
      <c r="F1205" s="198" t="s">
        <v>21</v>
      </c>
      <c r="G1205" s="3" t="s">
        <v>50</v>
      </c>
      <c r="H1205" s="53" t="s">
        <v>381</v>
      </c>
      <c r="I1205" s="3" t="s">
        <v>1408</v>
      </c>
      <c r="J1205" s="4" t="s">
        <v>272</v>
      </c>
      <c r="K1205" s="4" t="s">
        <v>363</v>
      </c>
      <c r="L1205" s="4" t="s">
        <v>5340</v>
      </c>
      <c r="M1205" s="43" t="s">
        <v>5341</v>
      </c>
      <c r="N1205" s="255">
        <v>238000</v>
      </c>
      <c r="O1205" s="265">
        <v>100</v>
      </c>
      <c r="P1205" s="270">
        <v>1</v>
      </c>
      <c r="Q1205" s="255">
        <v>238000</v>
      </c>
      <c r="R1205" s="283">
        <v>238000</v>
      </c>
      <c r="S1205" s="283">
        <v>70221</v>
      </c>
      <c r="T1205" s="287">
        <v>0</v>
      </c>
      <c r="U1205" s="287">
        <v>1</v>
      </c>
      <c r="V1205" s="287">
        <v>0</v>
      </c>
      <c r="W1205" s="283">
        <v>30600</v>
      </c>
      <c r="X1205" s="283">
        <v>0</v>
      </c>
      <c r="Y1205" s="199" t="s">
        <v>1392</v>
      </c>
      <c r="Z1205" s="517" t="s">
        <v>5166</v>
      </c>
      <c r="AA1205" s="493" t="s">
        <v>1485</v>
      </c>
      <c r="AB1205" s="507"/>
    </row>
    <row r="1206" spans="2:28" x14ac:dyDescent="0.15">
      <c r="B1206" s="333" t="s">
        <v>5342</v>
      </c>
      <c r="C1206" s="528">
        <v>43455</v>
      </c>
      <c r="D1206" s="198" t="s">
        <v>5343</v>
      </c>
      <c r="E1206" s="53" t="s">
        <v>1396</v>
      </c>
      <c r="F1206" s="198" t="s">
        <v>21</v>
      </c>
      <c r="G1206" s="3" t="s">
        <v>50</v>
      </c>
      <c r="H1206" s="53" t="s">
        <v>1434</v>
      </c>
      <c r="I1206" s="3" t="s">
        <v>1435</v>
      </c>
      <c r="J1206" s="4" t="s">
        <v>268</v>
      </c>
      <c r="K1206" s="4" t="s">
        <v>1158</v>
      </c>
      <c r="L1206" s="4" t="s">
        <v>4277</v>
      </c>
      <c r="M1206" s="43" t="s">
        <v>5344</v>
      </c>
      <c r="N1206" s="255">
        <v>130000</v>
      </c>
      <c r="O1206" s="265">
        <v>100</v>
      </c>
      <c r="P1206" s="270">
        <v>1</v>
      </c>
      <c r="Q1206" s="255">
        <v>130000</v>
      </c>
      <c r="R1206" s="283">
        <v>130000</v>
      </c>
      <c r="S1206" s="283">
        <v>41396</v>
      </c>
      <c r="T1206" s="287">
        <v>0</v>
      </c>
      <c r="U1206" s="287">
        <v>1</v>
      </c>
      <c r="V1206" s="287">
        <v>0</v>
      </c>
      <c r="W1206" s="283">
        <v>15000</v>
      </c>
      <c r="X1206" s="283">
        <v>0</v>
      </c>
      <c r="Y1206" s="199" t="s">
        <v>1392</v>
      </c>
      <c r="Z1206" s="517" t="s">
        <v>5167</v>
      </c>
      <c r="AA1206" s="493" t="s">
        <v>1485</v>
      </c>
      <c r="AB1206" s="507"/>
    </row>
    <row r="1207" spans="2:28" x14ac:dyDescent="0.15">
      <c r="B1207" s="333" t="s">
        <v>5345</v>
      </c>
      <c r="C1207" s="528">
        <v>43455</v>
      </c>
      <c r="D1207" s="198" t="s">
        <v>5346</v>
      </c>
      <c r="E1207" s="53" t="s">
        <v>1396</v>
      </c>
      <c r="F1207" s="198" t="s">
        <v>21</v>
      </c>
      <c r="G1207" s="3" t="s">
        <v>50</v>
      </c>
      <c r="H1207" s="53" t="s">
        <v>1434</v>
      </c>
      <c r="I1207" s="3" t="s">
        <v>1435</v>
      </c>
      <c r="J1207" s="4" t="s">
        <v>273</v>
      </c>
      <c r="K1207" s="4" t="s">
        <v>1161</v>
      </c>
      <c r="L1207" s="4" t="s">
        <v>5347</v>
      </c>
      <c r="M1207" s="43" t="s">
        <v>5348</v>
      </c>
      <c r="N1207" s="255">
        <v>233000</v>
      </c>
      <c r="O1207" s="265">
        <v>100</v>
      </c>
      <c r="P1207" s="270">
        <v>1</v>
      </c>
      <c r="Q1207" s="255">
        <v>233000</v>
      </c>
      <c r="R1207" s="283">
        <v>233000</v>
      </c>
      <c r="S1207" s="283">
        <v>98303</v>
      </c>
      <c r="T1207" s="287">
        <v>0</v>
      </c>
      <c r="U1207" s="287">
        <v>1</v>
      </c>
      <c r="V1207" s="287">
        <v>0</v>
      </c>
      <c r="W1207" s="283">
        <v>29957</v>
      </c>
      <c r="X1207" s="283">
        <v>0</v>
      </c>
      <c r="Y1207" s="199" t="s">
        <v>1392</v>
      </c>
      <c r="Z1207" s="517" t="s">
        <v>5540</v>
      </c>
      <c r="AA1207" s="493" t="s">
        <v>1485</v>
      </c>
      <c r="AB1207" s="507"/>
    </row>
    <row r="1208" spans="2:28" x14ac:dyDescent="0.15">
      <c r="B1208" s="333" t="s">
        <v>5349</v>
      </c>
      <c r="C1208" s="528">
        <v>43455</v>
      </c>
      <c r="D1208" s="198" t="s">
        <v>5350</v>
      </c>
      <c r="E1208" s="53" t="s">
        <v>2382</v>
      </c>
      <c r="F1208" s="198" t="s">
        <v>3842</v>
      </c>
      <c r="G1208" s="3" t="s">
        <v>2375</v>
      </c>
      <c r="H1208" s="53"/>
      <c r="I1208" s="3" t="s">
        <v>4858</v>
      </c>
      <c r="J1208" s="4" t="s">
        <v>298</v>
      </c>
      <c r="K1208" s="4" t="s">
        <v>1168</v>
      </c>
      <c r="L1208" s="4" t="s">
        <v>5351</v>
      </c>
      <c r="M1208" s="43"/>
      <c r="N1208" s="255">
        <v>16000</v>
      </c>
      <c r="O1208" s="265">
        <v>100</v>
      </c>
      <c r="P1208" s="270">
        <v>1</v>
      </c>
      <c r="Q1208" s="255">
        <v>16000</v>
      </c>
      <c r="R1208" s="283">
        <v>16000</v>
      </c>
      <c r="S1208" s="283">
        <v>9000</v>
      </c>
      <c r="T1208" s="287">
        <v>0</v>
      </c>
      <c r="U1208" s="287">
        <v>0</v>
      </c>
      <c r="V1208" s="287">
        <v>0</v>
      </c>
      <c r="W1208" s="283">
        <v>0</v>
      </c>
      <c r="X1208" s="283">
        <v>0</v>
      </c>
      <c r="Y1208" s="199" t="s">
        <v>1395</v>
      </c>
      <c r="Z1208" s="517" t="s">
        <v>5451</v>
      </c>
      <c r="AA1208" s="493"/>
      <c r="AB1208" s="507"/>
    </row>
    <row r="1209" spans="2:28" x14ac:dyDescent="0.15">
      <c r="B1209" s="333" t="s">
        <v>5352</v>
      </c>
      <c r="C1209" s="528">
        <v>43458</v>
      </c>
      <c r="D1209" s="198" t="s">
        <v>5353</v>
      </c>
      <c r="E1209" s="53" t="s">
        <v>2382</v>
      </c>
      <c r="F1209" s="198" t="s">
        <v>3842</v>
      </c>
      <c r="G1209" s="3" t="s">
        <v>2375</v>
      </c>
      <c r="H1209" s="53"/>
      <c r="I1209" s="3" t="s">
        <v>5354</v>
      </c>
      <c r="J1209" s="4" t="s">
        <v>265</v>
      </c>
      <c r="K1209" s="4" t="s">
        <v>1155</v>
      </c>
      <c r="L1209" s="4" t="s">
        <v>5355</v>
      </c>
      <c r="M1209" s="43" t="s">
        <v>5303</v>
      </c>
      <c r="N1209" s="255">
        <v>166666</v>
      </c>
      <c r="O1209" s="265">
        <v>100</v>
      </c>
      <c r="P1209" s="270">
        <v>1</v>
      </c>
      <c r="Q1209" s="255">
        <v>166666</v>
      </c>
      <c r="R1209" s="283">
        <v>166666</v>
      </c>
      <c r="S1209" s="283">
        <v>40571</v>
      </c>
      <c r="T1209" s="287">
        <v>1</v>
      </c>
      <c r="U1209" s="287">
        <v>0</v>
      </c>
      <c r="V1209" s="287">
        <v>0</v>
      </c>
      <c r="W1209" s="283">
        <v>0</v>
      </c>
      <c r="X1209" s="283">
        <v>0</v>
      </c>
      <c r="Y1209" s="199" t="s">
        <v>1395</v>
      </c>
      <c r="Z1209" s="517" t="s">
        <v>5451</v>
      </c>
      <c r="AA1209" s="493"/>
      <c r="AB1209" s="507"/>
    </row>
    <row r="1210" spans="2:28" x14ac:dyDescent="0.15">
      <c r="B1210" s="333" t="s">
        <v>5356</v>
      </c>
      <c r="C1210" s="528">
        <v>43462</v>
      </c>
      <c r="D1210" s="198" t="s">
        <v>5357</v>
      </c>
      <c r="E1210" s="53" t="s">
        <v>1396</v>
      </c>
      <c r="F1210" s="198" t="s">
        <v>21</v>
      </c>
      <c r="G1210" s="3" t="s">
        <v>50</v>
      </c>
      <c r="H1210" s="53" t="s">
        <v>381</v>
      </c>
      <c r="I1210" s="3" t="s">
        <v>1408</v>
      </c>
      <c r="J1210" s="4" t="s">
        <v>270</v>
      </c>
      <c r="K1210" s="4" t="s">
        <v>539</v>
      </c>
      <c r="L1210" s="4" t="s">
        <v>1997</v>
      </c>
      <c r="M1210" s="43" t="s">
        <v>5358</v>
      </c>
      <c r="N1210" s="255">
        <v>318000</v>
      </c>
      <c r="O1210" s="265">
        <v>60</v>
      </c>
      <c r="P1210" s="270">
        <v>1</v>
      </c>
      <c r="Q1210" s="255">
        <v>190800</v>
      </c>
      <c r="R1210" s="283">
        <v>190800</v>
      </c>
      <c r="S1210" s="283">
        <v>54919</v>
      </c>
      <c r="T1210" s="287">
        <v>0</v>
      </c>
      <c r="U1210" s="287">
        <v>1</v>
      </c>
      <c r="V1210" s="287">
        <v>0</v>
      </c>
      <c r="W1210" s="283">
        <v>19080</v>
      </c>
      <c r="X1210" s="283">
        <v>0</v>
      </c>
      <c r="Y1210" s="199" t="s">
        <v>1392</v>
      </c>
      <c r="Z1210" s="517" t="s">
        <v>5543</v>
      </c>
      <c r="AA1210" s="493" t="s">
        <v>1485</v>
      </c>
      <c r="AB1210" s="507"/>
    </row>
    <row r="1211" spans="2:28" x14ac:dyDescent="0.15">
      <c r="B1211" s="333" t="s">
        <v>5359</v>
      </c>
      <c r="C1211" s="528">
        <v>43466</v>
      </c>
      <c r="D1211" s="198" t="s">
        <v>5360</v>
      </c>
      <c r="E1211" s="53" t="s">
        <v>1391</v>
      </c>
      <c r="F1211" s="198" t="s">
        <v>3783</v>
      </c>
      <c r="G1211" s="3" t="s">
        <v>362</v>
      </c>
      <c r="H1211" s="53" t="s">
        <v>689</v>
      </c>
      <c r="I1211" s="3" t="s">
        <v>1394</v>
      </c>
      <c r="J1211" s="4" t="s">
        <v>269</v>
      </c>
      <c r="K1211" s="4" t="s">
        <v>1159</v>
      </c>
      <c r="L1211" s="4" t="s">
        <v>5361</v>
      </c>
      <c r="M1211" s="43" t="s">
        <v>5362</v>
      </c>
      <c r="N1211" s="255">
        <v>330000</v>
      </c>
      <c r="O1211" s="265">
        <v>55</v>
      </c>
      <c r="P1211" s="270">
        <v>1</v>
      </c>
      <c r="Q1211" s="255">
        <v>181500</v>
      </c>
      <c r="R1211" s="283">
        <v>181500</v>
      </c>
      <c r="S1211" s="283">
        <v>77891</v>
      </c>
      <c r="T1211" s="287">
        <v>1</v>
      </c>
      <c r="U1211" s="287">
        <v>0</v>
      </c>
      <c r="V1211" s="287">
        <v>0</v>
      </c>
      <c r="W1211" s="283">
        <v>0</v>
      </c>
      <c r="X1211" s="283">
        <v>0</v>
      </c>
      <c r="Y1211" s="199" t="s">
        <v>1395</v>
      </c>
      <c r="Z1211" s="517" t="s">
        <v>5532</v>
      </c>
      <c r="AA1211" s="493" t="s">
        <v>1485</v>
      </c>
      <c r="AB1211" s="507"/>
    </row>
    <row r="1212" spans="2:28" x14ac:dyDescent="0.15">
      <c r="B1212" s="333" t="s">
        <v>5363</v>
      </c>
      <c r="C1212" s="528">
        <v>43466</v>
      </c>
      <c r="D1212" s="198" t="s">
        <v>5364</v>
      </c>
      <c r="E1212" s="53" t="s">
        <v>1391</v>
      </c>
      <c r="F1212" s="198" t="s">
        <v>4014</v>
      </c>
      <c r="G1212" s="3" t="s">
        <v>370</v>
      </c>
      <c r="H1212" s="53" t="s">
        <v>1491</v>
      </c>
      <c r="I1212" s="3" t="s">
        <v>1492</v>
      </c>
      <c r="J1212" s="4" t="s">
        <v>269</v>
      </c>
      <c r="K1212" s="4" t="s">
        <v>1159</v>
      </c>
      <c r="L1212" s="4" t="s">
        <v>5365</v>
      </c>
      <c r="M1212" s="43" t="s">
        <v>5366</v>
      </c>
      <c r="N1212" s="255">
        <v>260000</v>
      </c>
      <c r="O1212" s="265">
        <v>100</v>
      </c>
      <c r="P1212" s="270">
        <v>1</v>
      </c>
      <c r="Q1212" s="255">
        <v>260000</v>
      </c>
      <c r="R1212" s="283">
        <v>260000</v>
      </c>
      <c r="S1212" s="283">
        <v>102130</v>
      </c>
      <c r="T1212" s="287">
        <v>0</v>
      </c>
      <c r="U1212" s="287">
        <v>1</v>
      </c>
      <c r="V1212" s="287">
        <v>0</v>
      </c>
      <c r="W1212" s="283">
        <v>33428</v>
      </c>
      <c r="X1212" s="283">
        <v>0</v>
      </c>
      <c r="Y1212" s="199" t="s">
        <v>1392</v>
      </c>
      <c r="Z1212" s="517" t="s">
        <v>5167</v>
      </c>
      <c r="AA1212" s="493" t="s">
        <v>1485</v>
      </c>
      <c r="AB1212" s="507"/>
    </row>
    <row r="1213" spans="2:28" x14ac:dyDescent="0.15">
      <c r="B1213" s="333" t="s">
        <v>5367</v>
      </c>
      <c r="C1213" s="528">
        <v>43466</v>
      </c>
      <c r="D1213" s="198" t="s">
        <v>5368</v>
      </c>
      <c r="E1213" s="53" t="s">
        <v>1391</v>
      </c>
      <c r="F1213" s="198" t="s">
        <v>4014</v>
      </c>
      <c r="G1213" s="3" t="s">
        <v>370</v>
      </c>
      <c r="H1213" s="53" t="s">
        <v>1491</v>
      </c>
      <c r="I1213" s="3" t="s">
        <v>1492</v>
      </c>
      <c r="J1213" s="4" t="s">
        <v>274</v>
      </c>
      <c r="K1213" s="4" t="s">
        <v>1162</v>
      </c>
      <c r="L1213" s="4" t="s">
        <v>5369</v>
      </c>
      <c r="M1213" s="43" t="s">
        <v>5370</v>
      </c>
      <c r="N1213" s="255">
        <v>260000</v>
      </c>
      <c r="O1213" s="265">
        <v>100</v>
      </c>
      <c r="P1213" s="270">
        <v>1</v>
      </c>
      <c r="Q1213" s="255">
        <v>260000</v>
      </c>
      <c r="R1213" s="283">
        <v>260000</v>
      </c>
      <c r="S1213" s="283">
        <v>113775</v>
      </c>
      <c r="T1213" s="287">
        <v>0</v>
      </c>
      <c r="U1213" s="287">
        <v>1</v>
      </c>
      <c r="V1213" s="287">
        <v>0</v>
      </c>
      <c r="W1213" s="283">
        <v>33428</v>
      </c>
      <c r="X1213" s="283">
        <v>0</v>
      </c>
      <c r="Y1213" s="199" t="s">
        <v>1392</v>
      </c>
      <c r="Z1213" s="517" t="s">
        <v>5167</v>
      </c>
      <c r="AA1213" s="493" t="s">
        <v>1485</v>
      </c>
      <c r="AB1213" s="507"/>
    </row>
    <row r="1214" spans="2:28" x14ac:dyDescent="0.15">
      <c r="B1214" s="333" t="s">
        <v>5371</v>
      </c>
      <c r="C1214" s="528">
        <v>43466</v>
      </c>
      <c r="D1214" s="198" t="s">
        <v>5372</v>
      </c>
      <c r="E1214" s="53" t="s">
        <v>1391</v>
      </c>
      <c r="F1214" s="198" t="s">
        <v>3783</v>
      </c>
      <c r="G1214" s="3" t="s">
        <v>362</v>
      </c>
      <c r="H1214" s="53" t="s">
        <v>692</v>
      </c>
      <c r="I1214" s="3" t="s">
        <v>1397</v>
      </c>
      <c r="J1214" s="4" t="s">
        <v>262</v>
      </c>
      <c r="K1214" s="4" t="s">
        <v>365</v>
      </c>
      <c r="L1214" s="4" t="s">
        <v>1690</v>
      </c>
      <c r="M1214" s="43" t="s">
        <v>5373</v>
      </c>
      <c r="N1214" s="255">
        <v>260000</v>
      </c>
      <c r="O1214" s="265">
        <v>55</v>
      </c>
      <c r="P1214" s="270">
        <v>1</v>
      </c>
      <c r="Q1214" s="255">
        <v>143000</v>
      </c>
      <c r="R1214" s="283">
        <v>143000</v>
      </c>
      <c r="S1214" s="283">
        <v>46155</v>
      </c>
      <c r="T1214" s="287">
        <v>1</v>
      </c>
      <c r="U1214" s="287">
        <v>0</v>
      </c>
      <c r="V1214" s="287">
        <v>0</v>
      </c>
      <c r="W1214" s="283">
        <v>0</v>
      </c>
      <c r="X1214" s="283">
        <v>0</v>
      </c>
      <c r="Y1214" s="199" t="s">
        <v>1395</v>
      </c>
      <c r="Z1214" s="517" t="s">
        <v>5166</v>
      </c>
      <c r="AA1214" s="493" t="s">
        <v>1485</v>
      </c>
      <c r="AB1214" s="507"/>
    </row>
    <row r="1215" spans="2:28" x14ac:dyDescent="0.15">
      <c r="B1215" s="333" t="s">
        <v>5286</v>
      </c>
      <c r="C1215" s="528">
        <v>43472</v>
      </c>
      <c r="D1215" s="198" t="s">
        <v>5287</v>
      </c>
      <c r="E1215" s="53" t="s">
        <v>2382</v>
      </c>
      <c r="F1215" s="198" t="s">
        <v>3842</v>
      </c>
      <c r="G1215" s="3" t="s">
        <v>2375</v>
      </c>
      <c r="H1215" s="53"/>
      <c r="I1215" s="3" t="s">
        <v>5374</v>
      </c>
      <c r="J1215" s="4" t="s">
        <v>298</v>
      </c>
      <c r="K1215" s="4" t="s">
        <v>1168</v>
      </c>
      <c r="L1215" s="4" t="s">
        <v>1482</v>
      </c>
      <c r="M1215" s="43"/>
      <c r="N1215" s="255">
        <v>111000</v>
      </c>
      <c r="O1215" s="265">
        <v>100</v>
      </c>
      <c r="P1215" s="270">
        <v>-1</v>
      </c>
      <c r="Q1215" s="255">
        <v>111000</v>
      </c>
      <c r="R1215" s="283">
        <v>-111000</v>
      </c>
      <c r="S1215" s="283">
        <v>-72000</v>
      </c>
      <c r="T1215" s="287">
        <v>0</v>
      </c>
      <c r="U1215" s="287">
        <v>0</v>
      </c>
      <c r="V1215" s="287">
        <v>0</v>
      </c>
      <c r="W1215" s="283">
        <v>0</v>
      </c>
      <c r="X1215" s="283">
        <v>0</v>
      </c>
      <c r="Y1215" s="199" t="s">
        <v>1395</v>
      </c>
      <c r="Z1215" s="517" t="s">
        <v>5555</v>
      </c>
      <c r="AA1215" s="493"/>
      <c r="AB1215" s="507"/>
    </row>
    <row r="1216" spans="2:28" x14ac:dyDescent="0.15">
      <c r="B1216" s="333" t="s">
        <v>5283</v>
      </c>
      <c r="C1216" s="528">
        <v>43473</v>
      </c>
      <c r="D1216" s="198" t="s">
        <v>5284</v>
      </c>
      <c r="E1216" s="53" t="s">
        <v>1391</v>
      </c>
      <c r="F1216" s="198" t="s">
        <v>2834</v>
      </c>
      <c r="G1216" s="3" t="s">
        <v>3559</v>
      </c>
      <c r="H1216" s="53"/>
      <c r="I1216" s="3"/>
      <c r="J1216" s="4" t="s">
        <v>298</v>
      </c>
      <c r="K1216" s="4" t="s">
        <v>1168</v>
      </c>
      <c r="L1216" s="190" t="s">
        <v>5375</v>
      </c>
      <c r="M1216" s="43"/>
      <c r="N1216" s="255">
        <v>3500</v>
      </c>
      <c r="O1216" s="265">
        <v>65</v>
      </c>
      <c r="P1216" s="270">
        <v>1</v>
      </c>
      <c r="Q1216" s="255">
        <v>2275</v>
      </c>
      <c r="R1216" s="283">
        <v>2275</v>
      </c>
      <c r="S1216" s="283">
        <v>1055</v>
      </c>
      <c r="T1216" s="287">
        <v>0</v>
      </c>
      <c r="U1216" s="287">
        <v>0</v>
      </c>
      <c r="V1216" s="287">
        <v>0</v>
      </c>
      <c r="W1216" s="283">
        <v>0</v>
      </c>
      <c r="X1216" s="283">
        <v>0</v>
      </c>
      <c r="Y1216" s="199" t="s">
        <v>1395</v>
      </c>
      <c r="Z1216" s="517" t="s">
        <v>5170</v>
      </c>
      <c r="AA1216" s="493" t="s">
        <v>1485</v>
      </c>
      <c r="AB1216" s="507"/>
    </row>
    <row r="1217" spans="2:28" x14ac:dyDescent="0.15">
      <c r="B1217" s="333" t="s">
        <v>5283</v>
      </c>
      <c r="C1217" s="528">
        <v>43473</v>
      </c>
      <c r="D1217" s="198" t="s">
        <v>5284</v>
      </c>
      <c r="E1217" s="53" t="s">
        <v>1391</v>
      </c>
      <c r="F1217" s="198" t="s">
        <v>2834</v>
      </c>
      <c r="G1217" s="3" t="s">
        <v>3559</v>
      </c>
      <c r="H1217" s="53"/>
      <c r="I1217" s="3"/>
      <c r="J1217" s="4" t="s">
        <v>297</v>
      </c>
      <c r="K1217" s="4" t="s">
        <v>369</v>
      </c>
      <c r="L1217" s="4" t="s">
        <v>5376</v>
      </c>
      <c r="M1217" s="43"/>
      <c r="N1217" s="255">
        <v>100</v>
      </c>
      <c r="O1217" s="265">
        <v>50</v>
      </c>
      <c r="P1217" s="270">
        <v>100</v>
      </c>
      <c r="Q1217" s="255">
        <v>50</v>
      </c>
      <c r="R1217" s="283">
        <v>5000</v>
      </c>
      <c r="S1217" s="283">
        <v>2800</v>
      </c>
      <c r="T1217" s="287">
        <v>0</v>
      </c>
      <c r="U1217" s="287">
        <v>0</v>
      </c>
      <c r="V1217" s="287">
        <v>0</v>
      </c>
      <c r="W1217" s="283">
        <v>0</v>
      </c>
      <c r="X1217" s="283">
        <v>0</v>
      </c>
      <c r="Y1217" s="199" t="s">
        <v>1395</v>
      </c>
      <c r="Z1217" s="517" t="s">
        <v>5553</v>
      </c>
      <c r="AA1217" s="493" t="s">
        <v>1485</v>
      </c>
      <c r="AB1217" s="507"/>
    </row>
    <row r="1218" spans="2:28" x14ac:dyDescent="0.15">
      <c r="B1218" s="333" t="s">
        <v>5283</v>
      </c>
      <c r="C1218" s="528">
        <v>43473</v>
      </c>
      <c r="D1218" s="198" t="s">
        <v>5284</v>
      </c>
      <c r="E1218" s="53" t="s">
        <v>1391</v>
      </c>
      <c r="F1218" s="198" t="s">
        <v>2834</v>
      </c>
      <c r="G1218" s="3" t="s">
        <v>3559</v>
      </c>
      <c r="H1218" s="53"/>
      <c r="I1218" s="3"/>
      <c r="J1218" s="4" t="s">
        <v>298</v>
      </c>
      <c r="K1218" s="4" t="s">
        <v>1168</v>
      </c>
      <c r="L1218" s="4" t="s">
        <v>5377</v>
      </c>
      <c r="M1218" s="43"/>
      <c r="N1218" s="255">
        <v>3500</v>
      </c>
      <c r="O1218" s="265">
        <v>65</v>
      </c>
      <c r="P1218" s="270">
        <v>1</v>
      </c>
      <c r="Q1218" s="255">
        <v>2275</v>
      </c>
      <c r="R1218" s="283">
        <v>2275</v>
      </c>
      <c r="S1218" s="283">
        <v>1055</v>
      </c>
      <c r="T1218" s="287">
        <v>0</v>
      </c>
      <c r="U1218" s="287">
        <v>0</v>
      </c>
      <c r="V1218" s="287">
        <v>0</v>
      </c>
      <c r="W1218" s="283">
        <v>0</v>
      </c>
      <c r="X1218" s="283">
        <v>0</v>
      </c>
      <c r="Y1218" s="199" t="s">
        <v>1395</v>
      </c>
      <c r="Z1218" s="517" t="s">
        <v>5170</v>
      </c>
      <c r="AA1218" s="493" t="s">
        <v>1485</v>
      </c>
      <c r="AB1218" s="507"/>
    </row>
    <row r="1219" spans="2:28" x14ac:dyDescent="0.15">
      <c r="B1219" s="333" t="s">
        <v>5283</v>
      </c>
      <c r="C1219" s="528">
        <v>43473</v>
      </c>
      <c r="D1219" s="198" t="s">
        <v>5284</v>
      </c>
      <c r="E1219" s="53" t="s">
        <v>1391</v>
      </c>
      <c r="F1219" s="198" t="s">
        <v>2834</v>
      </c>
      <c r="G1219" s="3" t="s">
        <v>3559</v>
      </c>
      <c r="H1219" s="53"/>
      <c r="I1219" s="3"/>
      <c r="J1219" s="4" t="s">
        <v>296</v>
      </c>
      <c r="K1219" s="4" t="s">
        <v>1167</v>
      </c>
      <c r="L1219" s="4" t="s">
        <v>1468</v>
      </c>
      <c r="M1219" s="43"/>
      <c r="N1219" s="255">
        <v>3500</v>
      </c>
      <c r="O1219" s="265">
        <v>65</v>
      </c>
      <c r="P1219" s="270">
        <v>1</v>
      </c>
      <c r="Q1219" s="255">
        <v>2275</v>
      </c>
      <c r="R1219" s="283">
        <v>2275</v>
      </c>
      <c r="S1219" s="283">
        <v>1075</v>
      </c>
      <c r="T1219" s="287">
        <v>0</v>
      </c>
      <c r="U1219" s="287">
        <v>0</v>
      </c>
      <c r="V1219" s="287">
        <v>0</v>
      </c>
      <c r="W1219" s="283">
        <v>0</v>
      </c>
      <c r="X1219" s="283">
        <v>0</v>
      </c>
      <c r="Y1219" s="199" t="s">
        <v>1395</v>
      </c>
      <c r="Z1219" s="517" t="s">
        <v>5170</v>
      </c>
      <c r="AA1219" s="493" t="s">
        <v>1485</v>
      </c>
      <c r="AB1219" s="507"/>
    </row>
    <row r="1220" spans="2:28" x14ac:dyDescent="0.15">
      <c r="B1220" s="333" t="s">
        <v>5290</v>
      </c>
      <c r="C1220" s="528">
        <v>43475</v>
      </c>
      <c r="D1220" s="198" t="s">
        <v>5291</v>
      </c>
      <c r="E1220" s="53" t="s">
        <v>1391</v>
      </c>
      <c r="F1220" s="198" t="s">
        <v>5378</v>
      </c>
      <c r="G1220" s="3" t="s">
        <v>5379</v>
      </c>
      <c r="H1220" s="53"/>
      <c r="I1220" s="3"/>
      <c r="J1220" s="4" t="s">
        <v>298</v>
      </c>
      <c r="K1220" s="4" t="s">
        <v>1168</v>
      </c>
      <c r="L1220" s="4" t="s">
        <v>5380</v>
      </c>
      <c r="M1220" s="43"/>
      <c r="N1220" s="255">
        <v>60000</v>
      </c>
      <c r="O1220" s="265">
        <v>100</v>
      </c>
      <c r="P1220" s="270">
        <v>1</v>
      </c>
      <c r="Q1220" s="255">
        <v>60000</v>
      </c>
      <c r="R1220" s="283">
        <v>60000</v>
      </c>
      <c r="S1220" s="283">
        <v>29000</v>
      </c>
      <c r="T1220" s="287">
        <v>0</v>
      </c>
      <c r="U1220" s="287">
        <v>0</v>
      </c>
      <c r="V1220" s="287">
        <v>0</v>
      </c>
      <c r="W1220" s="283">
        <v>0</v>
      </c>
      <c r="X1220" s="283">
        <v>0</v>
      </c>
      <c r="Y1220" s="199" t="s">
        <v>1395</v>
      </c>
      <c r="Z1220" s="517" t="s">
        <v>5532</v>
      </c>
      <c r="AA1220" s="493" t="s">
        <v>1485</v>
      </c>
      <c r="AB1220" s="507"/>
    </row>
    <row r="1221" spans="2:28" x14ac:dyDescent="0.15">
      <c r="B1221" s="333" t="s">
        <v>5293</v>
      </c>
      <c r="C1221" s="528">
        <v>43476</v>
      </c>
      <c r="D1221" s="198" t="s">
        <v>5294</v>
      </c>
      <c r="E1221" s="53" t="s">
        <v>1391</v>
      </c>
      <c r="F1221" s="198" t="s">
        <v>3786</v>
      </c>
      <c r="G1221" s="3" t="s">
        <v>364</v>
      </c>
      <c r="H1221" s="53" t="s">
        <v>420</v>
      </c>
      <c r="I1221" s="3" t="s">
        <v>3509</v>
      </c>
      <c r="J1221" s="4" t="s">
        <v>301</v>
      </c>
      <c r="K1221" s="4" t="s">
        <v>1214</v>
      </c>
      <c r="L1221" s="4" t="s">
        <v>5314</v>
      </c>
      <c r="M1221" s="43" t="s">
        <v>5381</v>
      </c>
      <c r="N1221" s="255">
        <v>175000</v>
      </c>
      <c r="O1221" s="265">
        <v>100</v>
      </c>
      <c r="P1221" s="270">
        <v>1</v>
      </c>
      <c r="Q1221" s="255">
        <v>175000</v>
      </c>
      <c r="R1221" s="283">
        <v>175000</v>
      </c>
      <c r="S1221" s="283">
        <v>52802</v>
      </c>
      <c r="T1221" s="287">
        <v>0</v>
      </c>
      <c r="U1221" s="287">
        <v>1</v>
      </c>
      <c r="V1221" s="287">
        <v>0</v>
      </c>
      <c r="W1221" s="283">
        <v>20192</v>
      </c>
      <c r="X1221" s="283">
        <v>0</v>
      </c>
      <c r="Y1221" s="199" t="s">
        <v>1392</v>
      </c>
      <c r="Z1221" s="517" t="s">
        <v>5166</v>
      </c>
      <c r="AA1221" s="493" t="s">
        <v>1485</v>
      </c>
      <c r="AB1221" s="507"/>
    </row>
    <row r="1222" spans="2:28" x14ac:dyDescent="0.15">
      <c r="B1222" s="333" t="s">
        <v>5335</v>
      </c>
      <c r="C1222" s="528">
        <v>43476</v>
      </c>
      <c r="D1222" s="198" t="s">
        <v>5336</v>
      </c>
      <c r="E1222" s="53" t="s">
        <v>1391</v>
      </c>
      <c r="F1222" s="198" t="s">
        <v>3786</v>
      </c>
      <c r="G1222" s="3" t="s">
        <v>364</v>
      </c>
      <c r="H1222" s="53" t="s">
        <v>492</v>
      </c>
      <c r="I1222" s="3" t="s">
        <v>1431</v>
      </c>
      <c r="J1222" s="4" t="s">
        <v>262</v>
      </c>
      <c r="K1222" s="4" t="s">
        <v>365</v>
      </c>
      <c r="L1222" s="4" t="s">
        <v>1728</v>
      </c>
      <c r="M1222" s="191" t="s">
        <v>5382</v>
      </c>
      <c r="N1222" s="255">
        <v>270000</v>
      </c>
      <c r="O1222" s="265">
        <v>60</v>
      </c>
      <c r="P1222" s="270">
        <v>1</v>
      </c>
      <c r="Q1222" s="255">
        <v>162000</v>
      </c>
      <c r="R1222" s="283">
        <v>162000</v>
      </c>
      <c r="S1222" s="283">
        <v>47855</v>
      </c>
      <c r="T1222" s="287">
        <v>0</v>
      </c>
      <c r="U1222" s="287">
        <v>1</v>
      </c>
      <c r="V1222" s="287">
        <v>0</v>
      </c>
      <c r="W1222" s="283">
        <v>16200</v>
      </c>
      <c r="X1222" s="283">
        <v>0</v>
      </c>
      <c r="Y1222" s="199" t="s">
        <v>1392</v>
      </c>
      <c r="Z1222" s="517" t="s">
        <v>5167</v>
      </c>
      <c r="AA1222" s="493"/>
      <c r="AB1222" s="507"/>
    </row>
    <row r="1223" spans="2:28" x14ac:dyDescent="0.15">
      <c r="B1223" s="333" t="s">
        <v>5363</v>
      </c>
      <c r="C1223" s="528">
        <v>43476</v>
      </c>
      <c r="D1223" s="198" t="s">
        <v>5364</v>
      </c>
      <c r="E1223" s="53" t="s">
        <v>1391</v>
      </c>
      <c r="F1223" s="198" t="s">
        <v>3786</v>
      </c>
      <c r="G1223" s="3" t="s">
        <v>364</v>
      </c>
      <c r="H1223" s="53" t="s">
        <v>461</v>
      </c>
      <c r="I1223" s="3" t="s">
        <v>1600</v>
      </c>
      <c r="J1223" s="4" t="s">
        <v>297</v>
      </c>
      <c r="K1223" s="4" t="s">
        <v>369</v>
      </c>
      <c r="L1223" s="4" t="s">
        <v>1484</v>
      </c>
      <c r="M1223" s="43"/>
      <c r="N1223" s="255">
        <v>200</v>
      </c>
      <c r="O1223" s="265">
        <v>50</v>
      </c>
      <c r="P1223" s="270">
        <v>100</v>
      </c>
      <c r="Q1223" s="255">
        <v>100</v>
      </c>
      <c r="R1223" s="283">
        <v>10000</v>
      </c>
      <c r="S1223" s="283">
        <v>5700</v>
      </c>
      <c r="T1223" s="287">
        <v>0</v>
      </c>
      <c r="U1223" s="287">
        <v>0</v>
      </c>
      <c r="V1223" s="287">
        <v>0</v>
      </c>
      <c r="W1223" s="283">
        <v>1500</v>
      </c>
      <c r="X1223" s="283">
        <v>0</v>
      </c>
      <c r="Y1223" s="199" t="s">
        <v>1392</v>
      </c>
      <c r="Z1223" s="517" t="s">
        <v>5166</v>
      </c>
      <c r="AA1223" s="493" t="s">
        <v>1485</v>
      </c>
      <c r="AB1223" s="507"/>
    </row>
    <row r="1224" spans="2:28" x14ac:dyDescent="0.15">
      <c r="B1224" s="333" t="s">
        <v>5367</v>
      </c>
      <c r="C1224" s="528">
        <v>43476</v>
      </c>
      <c r="D1224" s="198" t="s">
        <v>5368</v>
      </c>
      <c r="E1224" s="53" t="s">
        <v>1391</v>
      </c>
      <c r="F1224" s="198" t="s">
        <v>3783</v>
      </c>
      <c r="G1224" s="3" t="s">
        <v>362</v>
      </c>
      <c r="H1224" s="53" t="s">
        <v>689</v>
      </c>
      <c r="I1224" s="3" t="s">
        <v>1394</v>
      </c>
      <c r="J1224" s="4" t="s">
        <v>261</v>
      </c>
      <c r="K1224" s="4" t="s">
        <v>1153</v>
      </c>
      <c r="L1224" s="4" t="s">
        <v>5383</v>
      </c>
      <c r="M1224" s="43" t="s">
        <v>5384</v>
      </c>
      <c r="N1224" s="255">
        <v>310000</v>
      </c>
      <c r="O1224" s="265">
        <v>50</v>
      </c>
      <c r="P1224" s="270">
        <v>1</v>
      </c>
      <c r="Q1224" s="255">
        <v>155000</v>
      </c>
      <c r="R1224" s="283">
        <v>155000</v>
      </c>
      <c r="S1224" s="283">
        <v>38505</v>
      </c>
      <c r="T1224" s="287">
        <v>0</v>
      </c>
      <c r="U1224" s="287">
        <v>1</v>
      </c>
      <c r="V1224" s="287">
        <v>0</v>
      </c>
      <c r="W1224" s="283">
        <v>0</v>
      </c>
      <c r="X1224" s="283">
        <v>0</v>
      </c>
      <c r="Y1224" s="199" t="s">
        <v>1392</v>
      </c>
      <c r="Z1224" s="517" t="s">
        <v>5166</v>
      </c>
      <c r="AA1224" s="493" t="s">
        <v>1485</v>
      </c>
      <c r="AB1224" s="507"/>
    </row>
    <row r="1225" spans="2:28" x14ac:dyDescent="0.15">
      <c r="B1225" s="333" t="s">
        <v>5297</v>
      </c>
      <c r="C1225" s="528">
        <v>43483</v>
      </c>
      <c r="D1225" s="198" t="s">
        <v>5298</v>
      </c>
      <c r="E1225" s="53" t="s">
        <v>1396</v>
      </c>
      <c r="F1225" s="198" t="s">
        <v>3877</v>
      </c>
      <c r="G1225" s="3" t="s">
        <v>1111</v>
      </c>
      <c r="H1225" s="53" t="s">
        <v>1425</v>
      </c>
      <c r="I1225" s="3" t="s">
        <v>1426</v>
      </c>
      <c r="J1225" s="4" t="s">
        <v>298</v>
      </c>
      <c r="K1225" s="4" t="s">
        <v>1168</v>
      </c>
      <c r="L1225" s="190" t="s">
        <v>5385</v>
      </c>
      <c r="M1225" s="43"/>
      <c r="N1225" s="255">
        <v>2200</v>
      </c>
      <c r="O1225" s="265">
        <v>65</v>
      </c>
      <c r="P1225" s="270">
        <v>1</v>
      </c>
      <c r="Q1225" s="255">
        <v>1430</v>
      </c>
      <c r="R1225" s="283">
        <v>1430</v>
      </c>
      <c r="S1225" s="283">
        <v>0</v>
      </c>
      <c r="T1225" s="287">
        <v>0</v>
      </c>
      <c r="U1225" s="287">
        <v>0</v>
      </c>
      <c r="V1225" s="287">
        <v>0</v>
      </c>
      <c r="W1225" s="283">
        <v>165</v>
      </c>
      <c r="X1225" s="283">
        <v>0</v>
      </c>
      <c r="Y1225" s="199" t="s">
        <v>1392</v>
      </c>
      <c r="Z1225" s="517" t="s">
        <v>5166</v>
      </c>
      <c r="AA1225" s="493" t="s">
        <v>1485</v>
      </c>
      <c r="AB1225" s="507"/>
    </row>
    <row r="1226" spans="2:28" x14ac:dyDescent="0.15">
      <c r="B1226" s="333" t="s">
        <v>5297</v>
      </c>
      <c r="C1226" s="528">
        <v>43483</v>
      </c>
      <c r="D1226" s="198" t="s">
        <v>5298</v>
      </c>
      <c r="E1226" s="53" t="s">
        <v>1396</v>
      </c>
      <c r="F1226" s="198" t="s">
        <v>3877</v>
      </c>
      <c r="G1226" s="3" t="s">
        <v>1111</v>
      </c>
      <c r="H1226" s="53" t="s">
        <v>1425</v>
      </c>
      <c r="I1226" s="3" t="s">
        <v>1426</v>
      </c>
      <c r="J1226" s="4" t="s">
        <v>298</v>
      </c>
      <c r="K1226" s="4" t="s">
        <v>1168</v>
      </c>
      <c r="L1226" s="4" t="s">
        <v>1880</v>
      </c>
      <c r="M1226" s="43"/>
      <c r="N1226" s="255">
        <v>1600</v>
      </c>
      <c r="O1226" s="265">
        <v>65</v>
      </c>
      <c r="P1226" s="270">
        <v>1</v>
      </c>
      <c r="Q1226" s="255">
        <v>1040</v>
      </c>
      <c r="R1226" s="283">
        <v>1040</v>
      </c>
      <c r="S1226" s="283">
        <v>0</v>
      </c>
      <c r="T1226" s="287">
        <v>0</v>
      </c>
      <c r="U1226" s="287">
        <v>0</v>
      </c>
      <c r="V1226" s="287">
        <v>0</v>
      </c>
      <c r="W1226" s="283">
        <v>120</v>
      </c>
      <c r="X1226" s="283">
        <v>0</v>
      </c>
      <c r="Y1226" s="199" t="s">
        <v>1392</v>
      </c>
      <c r="Z1226" s="517" t="s">
        <v>5166</v>
      </c>
      <c r="AA1226" s="493" t="s">
        <v>1485</v>
      </c>
      <c r="AB1226" s="507"/>
    </row>
    <row r="1227" spans="2:28" x14ac:dyDescent="0.15">
      <c r="B1227" s="333" t="s">
        <v>5342</v>
      </c>
      <c r="C1227" s="528">
        <v>43485</v>
      </c>
      <c r="D1227" s="198" t="s">
        <v>5343</v>
      </c>
      <c r="E1227" s="53" t="s">
        <v>1391</v>
      </c>
      <c r="F1227" s="198" t="s">
        <v>3786</v>
      </c>
      <c r="G1227" s="3" t="s">
        <v>364</v>
      </c>
      <c r="H1227" s="53" t="s">
        <v>511</v>
      </c>
      <c r="I1227" s="3" t="s">
        <v>2377</v>
      </c>
      <c r="J1227" s="4" t="s">
        <v>271</v>
      </c>
      <c r="K1227" s="4" t="s">
        <v>1160</v>
      </c>
      <c r="L1227" s="4" t="s">
        <v>1503</v>
      </c>
      <c r="M1227" s="43" t="s">
        <v>5386</v>
      </c>
      <c r="N1227" s="255">
        <v>230000</v>
      </c>
      <c r="O1227" s="265">
        <v>100</v>
      </c>
      <c r="P1227" s="270">
        <v>1</v>
      </c>
      <c r="Q1227" s="255">
        <v>230000</v>
      </c>
      <c r="R1227" s="283">
        <v>230000</v>
      </c>
      <c r="S1227" s="283">
        <v>79536</v>
      </c>
      <c r="T1227" s="287">
        <v>1</v>
      </c>
      <c r="U1227" s="287">
        <v>0</v>
      </c>
      <c r="V1227" s="287">
        <v>0</v>
      </c>
      <c r="W1227" s="283">
        <v>0</v>
      </c>
      <c r="X1227" s="283">
        <v>0</v>
      </c>
      <c r="Y1227" s="199" t="s">
        <v>1395</v>
      </c>
      <c r="Z1227" s="517" t="s">
        <v>5554</v>
      </c>
      <c r="AA1227" s="493" t="s">
        <v>1485</v>
      </c>
      <c r="AB1227" s="507"/>
    </row>
    <row r="1228" spans="2:28" x14ac:dyDescent="0.15">
      <c r="B1228" s="333" t="s">
        <v>5345</v>
      </c>
      <c r="C1228" s="528">
        <v>43485</v>
      </c>
      <c r="D1228" s="198" t="s">
        <v>5346</v>
      </c>
      <c r="E1228" s="53" t="s">
        <v>1391</v>
      </c>
      <c r="F1228" s="198" t="s">
        <v>3786</v>
      </c>
      <c r="G1228" s="3" t="s">
        <v>364</v>
      </c>
      <c r="H1228" s="53" t="s">
        <v>513</v>
      </c>
      <c r="I1228" s="3" t="s">
        <v>4345</v>
      </c>
      <c r="J1228" s="4" t="s">
        <v>262</v>
      </c>
      <c r="K1228" s="4" t="s">
        <v>365</v>
      </c>
      <c r="L1228" s="4" t="s">
        <v>4551</v>
      </c>
      <c r="M1228" s="43" t="s">
        <v>5387</v>
      </c>
      <c r="N1228" s="255">
        <v>223000</v>
      </c>
      <c r="O1228" s="265">
        <v>100</v>
      </c>
      <c r="P1228" s="270">
        <v>1</v>
      </c>
      <c r="Q1228" s="255">
        <v>223000</v>
      </c>
      <c r="R1228" s="283">
        <v>223000</v>
      </c>
      <c r="S1228" s="283">
        <v>104405</v>
      </c>
      <c r="T1228" s="287">
        <v>1</v>
      </c>
      <c r="U1228" s="287">
        <v>0</v>
      </c>
      <c r="V1228" s="287">
        <v>0</v>
      </c>
      <c r="W1228" s="283">
        <v>0</v>
      </c>
      <c r="X1228" s="283">
        <v>0</v>
      </c>
      <c r="Y1228" s="199" t="s">
        <v>1395</v>
      </c>
      <c r="Z1228" s="517" t="s">
        <v>5170</v>
      </c>
      <c r="AA1228" s="493" t="s">
        <v>1485</v>
      </c>
      <c r="AB1228" s="507"/>
    </row>
    <row r="1229" spans="2:28" x14ac:dyDescent="0.15">
      <c r="B1229" s="333" t="s">
        <v>5308</v>
      </c>
      <c r="C1229" s="528">
        <v>43485</v>
      </c>
      <c r="D1229" s="198" t="s">
        <v>5309</v>
      </c>
      <c r="E1229" s="53" t="s">
        <v>1391</v>
      </c>
      <c r="F1229" s="198" t="s">
        <v>3786</v>
      </c>
      <c r="G1229" s="3" t="s">
        <v>364</v>
      </c>
      <c r="H1229" s="53" t="s">
        <v>482</v>
      </c>
      <c r="I1229" s="3" t="s">
        <v>5388</v>
      </c>
      <c r="J1229" s="4" t="s">
        <v>268</v>
      </c>
      <c r="K1229" s="4" t="s">
        <v>1158</v>
      </c>
      <c r="L1229" s="4" t="s">
        <v>2084</v>
      </c>
      <c r="M1229" s="43" t="s">
        <v>5389</v>
      </c>
      <c r="N1229" s="255">
        <v>270000</v>
      </c>
      <c r="O1229" s="265">
        <v>60</v>
      </c>
      <c r="P1229" s="270">
        <v>1</v>
      </c>
      <c r="Q1229" s="255">
        <v>162000</v>
      </c>
      <c r="R1229" s="283">
        <v>162000</v>
      </c>
      <c r="S1229" s="283">
        <v>65929</v>
      </c>
      <c r="T1229" s="287">
        <v>1</v>
      </c>
      <c r="U1229" s="287">
        <v>0</v>
      </c>
      <c r="V1229" s="287">
        <v>0</v>
      </c>
      <c r="W1229" s="283">
        <v>0</v>
      </c>
      <c r="X1229" s="283">
        <v>0</v>
      </c>
      <c r="Y1229" s="199" t="s">
        <v>1395</v>
      </c>
      <c r="Z1229" s="517" t="s">
        <v>5541</v>
      </c>
      <c r="AA1229" s="493" t="s">
        <v>1485</v>
      </c>
      <c r="AB1229" s="507"/>
    </row>
    <row r="1230" spans="2:28" x14ac:dyDescent="0.15">
      <c r="B1230" s="333" t="s">
        <v>5308</v>
      </c>
      <c r="C1230" s="528">
        <v>43485</v>
      </c>
      <c r="D1230" s="198" t="s">
        <v>5309</v>
      </c>
      <c r="E1230" s="53" t="s">
        <v>1391</v>
      </c>
      <c r="F1230" s="198" t="s">
        <v>3786</v>
      </c>
      <c r="G1230" s="3" t="s">
        <v>364</v>
      </c>
      <c r="H1230" s="53" t="s">
        <v>482</v>
      </c>
      <c r="I1230" s="3" t="s">
        <v>5388</v>
      </c>
      <c r="J1230" s="4" t="s">
        <v>264</v>
      </c>
      <c r="K1230" s="4" t="s">
        <v>538</v>
      </c>
      <c r="L1230" s="4" t="s">
        <v>5390</v>
      </c>
      <c r="M1230" s="43" t="s">
        <v>5391</v>
      </c>
      <c r="N1230" s="255">
        <v>320000</v>
      </c>
      <c r="O1230" s="265">
        <v>60</v>
      </c>
      <c r="P1230" s="270">
        <v>1</v>
      </c>
      <c r="Q1230" s="255">
        <v>192000</v>
      </c>
      <c r="R1230" s="283">
        <v>192000</v>
      </c>
      <c r="S1230" s="283">
        <v>84788</v>
      </c>
      <c r="T1230" s="287">
        <v>1</v>
      </c>
      <c r="U1230" s="287">
        <v>0</v>
      </c>
      <c r="V1230" s="287">
        <v>0</v>
      </c>
      <c r="W1230" s="283">
        <v>0</v>
      </c>
      <c r="X1230" s="283">
        <v>0</v>
      </c>
      <c r="Y1230" s="199" t="s">
        <v>1395</v>
      </c>
      <c r="Z1230" s="517" t="s">
        <v>5537</v>
      </c>
      <c r="AA1230" s="493" t="s">
        <v>1485</v>
      </c>
      <c r="AB1230" s="507"/>
    </row>
    <row r="1231" spans="2:28" x14ac:dyDescent="0.15">
      <c r="B1231" s="333" t="s">
        <v>5356</v>
      </c>
      <c r="C1231" s="528">
        <v>43485</v>
      </c>
      <c r="D1231" s="198" t="s">
        <v>5357</v>
      </c>
      <c r="E1231" s="53" t="s">
        <v>1391</v>
      </c>
      <c r="F1231" s="198" t="s">
        <v>3786</v>
      </c>
      <c r="G1231" s="3" t="s">
        <v>364</v>
      </c>
      <c r="H1231" s="53" t="s">
        <v>492</v>
      </c>
      <c r="I1231" s="3" t="s">
        <v>1431</v>
      </c>
      <c r="J1231" s="4" t="s">
        <v>268</v>
      </c>
      <c r="K1231" s="4" t="s">
        <v>1158</v>
      </c>
      <c r="L1231" s="4" t="s">
        <v>4428</v>
      </c>
      <c r="M1231" s="43" t="s">
        <v>5392</v>
      </c>
      <c r="N1231" s="255">
        <v>130000</v>
      </c>
      <c r="O1231" s="265">
        <v>100</v>
      </c>
      <c r="P1231" s="270">
        <v>1</v>
      </c>
      <c r="Q1231" s="255">
        <v>130000</v>
      </c>
      <c r="R1231" s="283">
        <v>130000</v>
      </c>
      <c r="S1231" s="283">
        <v>41396</v>
      </c>
      <c r="T1231" s="287">
        <v>0</v>
      </c>
      <c r="U1231" s="287">
        <v>1</v>
      </c>
      <c r="V1231" s="287">
        <v>0</v>
      </c>
      <c r="W1231" s="283">
        <v>15000</v>
      </c>
      <c r="X1231" s="283">
        <v>0</v>
      </c>
      <c r="Y1231" s="199" t="s">
        <v>1392</v>
      </c>
      <c r="Z1231" s="517" t="s">
        <v>5167</v>
      </c>
      <c r="AA1231" s="493" t="s">
        <v>1485</v>
      </c>
      <c r="AB1231" s="507"/>
    </row>
    <row r="1232" spans="2:28" x14ac:dyDescent="0.15">
      <c r="B1232" s="333" t="s">
        <v>5371</v>
      </c>
      <c r="C1232" s="528">
        <v>43485</v>
      </c>
      <c r="D1232" s="198" t="s">
        <v>5372</v>
      </c>
      <c r="E1232" s="53" t="s">
        <v>1391</v>
      </c>
      <c r="F1232" s="198" t="s">
        <v>3786</v>
      </c>
      <c r="G1232" s="3" t="s">
        <v>364</v>
      </c>
      <c r="H1232" s="53" t="s">
        <v>461</v>
      </c>
      <c r="I1232" s="3" t="s">
        <v>1600</v>
      </c>
      <c r="J1232" s="4" t="s">
        <v>268</v>
      </c>
      <c r="K1232" s="4" t="s">
        <v>1158</v>
      </c>
      <c r="L1232" s="4" t="s">
        <v>4428</v>
      </c>
      <c r="M1232" s="43" t="s">
        <v>5393</v>
      </c>
      <c r="N1232" s="255">
        <v>130000</v>
      </c>
      <c r="O1232" s="265">
        <v>100</v>
      </c>
      <c r="P1232" s="270">
        <v>1</v>
      </c>
      <c r="Q1232" s="255">
        <v>130000</v>
      </c>
      <c r="R1232" s="283">
        <v>130000</v>
      </c>
      <c r="S1232" s="283">
        <v>41396</v>
      </c>
      <c r="T1232" s="287">
        <v>0</v>
      </c>
      <c r="U1232" s="287">
        <v>1</v>
      </c>
      <c r="V1232" s="287">
        <v>0</v>
      </c>
      <c r="W1232" s="283">
        <v>15000</v>
      </c>
      <c r="X1232" s="283">
        <v>0</v>
      </c>
      <c r="Y1232" s="199" t="s">
        <v>1392</v>
      </c>
      <c r="Z1232" s="517" t="s">
        <v>5166</v>
      </c>
      <c r="AA1232" s="493" t="s">
        <v>1485</v>
      </c>
      <c r="AB1232" s="507"/>
    </row>
    <row r="1233" spans="2:28" x14ac:dyDescent="0.15">
      <c r="B1233" s="333" t="s">
        <v>5394</v>
      </c>
      <c r="C1233" s="528">
        <v>43485</v>
      </c>
      <c r="D1233" s="198" t="s">
        <v>5318</v>
      </c>
      <c r="E1233" s="53" t="s">
        <v>1391</v>
      </c>
      <c r="F1233" s="198" t="s">
        <v>3786</v>
      </c>
      <c r="G1233" s="3" t="s">
        <v>364</v>
      </c>
      <c r="H1233" s="53" t="s">
        <v>492</v>
      </c>
      <c r="I1233" s="3" t="s">
        <v>1431</v>
      </c>
      <c r="J1233" s="4" t="s">
        <v>297</v>
      </c>
      <c r="K1233" s="4" t="s">
        <v>369</v>
      </c>
      <c r="L1233" s="4" t="s">
        <v>1511</v>
      </c>
      <c r="M1233" s="43"/>
      <c r="N1233" s="255">
        <v>100</v>
      </c>
      <c r="O1233" s="265">
        <v>50</v>
      </c>
      <c r="P1233" s="270">
        <v>100</v>
      </c>
      <c r="Q1233" s="255">
        <v>50</v>
      </c>
      <c r="R1233" s="283">
        <v>5000</v>
      </c>
      <c r="S1233" s="283">
        <v>2050</v>
      </c>
      <c r="T1233" s="287">
        <v>0</v>
      </c>
      <c r="U1233" s="287">
        <v>0</v>
      </c>
      <c r="V1233" s="287">
        <v>0</v>
      </c>
      <c r="W1233" s="283">
        <v>750</v>
      </c>
      <c r="X1233" s="283">
        <v>0</v>
      </c>
      <c r="Y1233" s="199" t="s">
        <v>1392</v>
      </c>
      <c r="Z1233" s="517" t="s">
        <v>5167</v>
      </c>
      <c r="AA1233" s="493" t="s">
        <v>1485</v>
      </c>
      <c r="AB1233" s="507"/>
    </row>
    <row r="1234" spans="2:28" x14ac:dyDescent="0.15">
      <c r="B1234" s="327" t="s">
        <v>5319</v>
      </c>
      <c r="C1234" s="527">
        <v>43485</v>
      </c>
      <c r="D1234" s="191" t="s">
        <v>5320</v>
      </c>
      <c r="E1234" s="43" t="s">
        <v>1391</v>
      </c>
      <c r="F1234" s="191" t="s">
        <v>5116</v>
      </c>
      <c r="G1234" s="4" t="s">
        <v>2315</v>
      </c>
      <c r="H1234" s="43" t="s">
        <v>1132</v>
      </c>
      <c r="I1234" s="4" t="s">
        <v>4344</v>
      </c>
      <c r="J1234" s="4" t="s">
        <v>299</v>
      </c>
      <c r="K1234" s="4" t="s">
        <v>373</v>
      </c>
      <c r="L1234" s="4" t="s">
        <v>5395</v>
      </c>
      <c r="M1234" s="43"/>
      <c r="N1234" s="255">
        <v>9500</v>
      </c>
      <c r="O1234" s="265">
        <v>100</v>
      </c>
      <c r="P1234" s="270">
        <v>1</v>
      </c>
      <c r="Q1234" s="255">
        <v>9500</v>
      </c>
      <c r="R1234" s="283">
        <v>9500</v>
      </c>
      <c r="S1234" s="283">
        <v>2558</v>
      </c>
      <c r="T1234" s="287">
        <v>0</v>
      </c>
      <c r="U1234" s="287">
        <v>0</v>
      </c>
      <c r="V1234" s="287">
        <v>0</v>
      </c>
      <c r="W1234" s="283">
        <v>6942</v>
      </c>
      <c r="X1234" s="283">
        <v>0</v>
      </c>
      <c r="Y1234" s="199" t="s">
        <v>1392</v>
      </c>
      <c r="Z1234" s="517" t="s">
        <v>5167</v>
      </c>
      <c r="AA1234" s="493" t="s">
        <v>1485</v>
      </c>
      <c r="AB1234" s="507"/>
    </row>
    <row r="1235" spans="2:28" x14ac:dyDescent="0.15">
      <c r="B1235" s="327" t="s">
        <v>5319</v>
      </c>
      <c r="C1235" s="527">
        <v>43485</v>
      </c>
      <c r="D1235" s="191" t="s">
        <v>5320</v>
      </c>
      <c r="E1235" s="43" t="s">
        <v>1391</v>
      </c>
      <c r="F1235" s="191" t="s">
        <v>5116</v>
      </c>
      <c r="G1235" s="4" t="s">
        <v>2315</v>
      </c>
      <c r="H1235" s="43" t="s">
        <v>1132</v>
      </c>
      <c r="I1235" s="190" t="s">
        <v>5396</v>
      </c>
      <c r="J1235" s="4"/>
      <c r="K1235" s="4"/>
      <c r="L1235" s="4" t="s">
        <v>1520</v>
      </c>
      <c r="M1235" s="43"/>
      <c r="N1235" s="255">
        <v>700</v>
      </c>
      <c r="O1235" s="265">
        <v>100</v>
      </c>
      <c r="P1235" s="270">
        <v>1</v>
      </c>
      <c r="Q1235" s="255">
        <v>700</v>
      </c>
      <c r="R1235" s="283">
        <v>700</v>
      </c>
      <c r="S1235" s="283">
        <v>0</v>
      </c>
      <c r="T1235" s="287">
        <v>0</v>
      </c>
      <c r="U1235" s="287">
        <v>0</v>
      </c>
      <c r="V1235" s="287">
        <v>0</v>
      </c>
      <c r="W1235" s="283">
        <v>0</v>
      </c>
      <c r="X1235" s="283">
        <v>0</v>
      </c>
      <c r="Y1235" s="199" t="s">
        <v>5397</v>
      </c>
      <c r="Z1235" s="517" t="s">
        <v>5167</v>
      </c>
      <c r="AA1235" s="493" t="s">
        <v>1485</v>
      </c>
      <c r="AB1235" s="507"/>
    </row>
    <row r="1236" spans="2:28" x14ac:dyDescent="0.15">
      <c r="B1236" s="327" t="s">
        <v>5398</v>
      </c>
      <c r="C1236" s="527">
        <v>43485</v>
      </c>
      <c r="D1236" s="191" t="s">
        <v>5399</v>
      </c>
      <c r="E1236" s="43" t="s">
        <v>1391</v>
      </c>
      <c r="F1236" s="191" t="s">
        <v>3786</v>
      </c>
      <c r="G1236" s="4" t="s">
        <v>364</v>
      </c>
      <c r="H1236" s="43" t="s">
        <v>456</v>
      </c>
      <c r="I1236" s="4" t="s">
        <v>1721</v>
      </c>
      <c r="J1236" s="4" t="s">
        <v>1402</v>
      </c>
      <c r="K1236" s="4" t="s">
        <v>1403</v>
      </c>
      <c r="L1236" s="4" t="s">
        <v>2733</v>
      </c>
      <c r="M1236" s="43" t="s">
        <v>5400</v>
      </c>
      <c r="N1236" s="255">
        <v>260000</v>
      </c>
      <c r="O1236" s="265">
        <v>60</v>
      </c>
      <c r="P1236" s="270">
        <v>1</v>
      </c>
      <c r="Q1236" s="255">
        <v>156000</v>
      </c>
      <c r="R1236" s="283">
        <v>156000</v>
      </c>
      <c r="S1236" s="283">
        <v>31345</v>
      </c>
      <c r="T1236" s="287">
        <v>0</v>
      </c>
      <c r="U1236" s="287">
        <v>1</v>
      </c>
      <c r="V1236" s="287">
        <v>0</v>
      </c>
      <c r="W1236" s="283">
        <v>15600</v>
      </c>
      <c r="X1236" s="283">
        <v>0</v>
      </c>
      <c r="Y1236" s="199" t="s">
        <v>1392</v>
      </c>
      <c r="Z1236" s="517" t="s">
        <v>5166</v>
      </c>
      <c r="AA1236" s="493" t="s">
        <v>1485</v>
      </c>
      <c r="AB1236" s="507"/>
    </row>
    <row r="1237" spans="2:28" x14ac:dyDescent="0.15">
      <c r="B1237" s="327" t="s">
        <v>5401</v>
      </c>
      <c r="C1237" s="527">
        <v>43485</v>
      </c>
      <c r="D1237" s="191" t="s">
        <v>5402</v>
      </c>
      <c r="E1237" s="43" t="s">
        <v>1391</v>
      </c>
      <c r="F1237" s="191" t="s">
        <v>3786</v>
      </c>
      <c r="G1237" s="4" t="s">
        <v>364</v>
      </c>
      <c r="H1237" s="43" t="s">
        <v>413</v>
      </c>
      <c r="I1237" s="4" t="s">
        <v>4337</v>
      </c>
      <c r="J1237" s="4" t="s">
        <v>271</v>
      </c>
      <c r="K1237" s="4" t="s">
        <v>1160</v>
      </c>
      <c r="L1237" s="4" t="s">
        <v>1964</v>
      </c>
      <c r="M1237" s="43" t="s">
        <v>5403</v>
      </c>
      <c r="N1237" s="255">
        <v>225000</v>
      </c>
      <c r="O1237" s="265">
        <v>100</v>
      </c>
      <c r="P1237" s="270">
        <v>1</v>
      </c>
      <c r="Q1237" s="255">
        <v>225000</v>
      </c>
      <c r="R1237" s="283">
        <v>225000</v>
      </c>
      <c r="S1237" s="283">
        <v>96965</v>
      </c>
      <c r="T1237" s="287">
        <v>1</v>
      </c>
      <c r="U1237" s="287">
        <v>0</v>
      </c>
      <c r="V1237" s="287">
        <v>0</v>
      </c>
      <c r="W1237" s="283">
        <v>0</v>
      </c>
      <c r="X1237" s="283">
        <v>0</v>
      </c>
      <c r="Y1237" s="199" t="s">
        <v>1395</v>
      </c>
      <c r="Z1237" s="517" t="s">
        <v>5562</v>
      </c>
      <c r="AA1237" s="493" t="s">
        <v>1485</v>
      </c>
      <c r="AB1237" s="507"/>
    </row>
    <row r="1238" spans="2:28" x14ac:dyDescent="0.15">
      <c r="B1238" s="327" t="s">
        <v>5404</v>
      </c>
      <c r="C1238" s="527">
        <v>43485</v>
      </c>
      <c r="D1238" s="191" t="s">
        <v>5405</v>
      </c>
      <c r="E1238" s="43" t="s">
        <v>1391</v>
      </c>
      <c r="F1238" s="191" t="s">
        <v>3786</v>
      </c>
      <c r="G1238" s="4" t="s">
        <v>364</v>
      </c>
      <c r="H1238" s="43" t="s">
        <v>482</v>
      </c>
      <c r="I1238" s="4" t="s">
        <v>5388</v>
      </c>
      <c r="J1238" s="4" t="s">
        <v>268</v>
      </c>
      <c r="K1238" s="4" t="s">
        <v>1158</v>
      </c>
      <c r="L1238" s="4" t="s">
        <v>5406</v>
      </c>
      <c r="M1238" s="43" t="s">
        <v>5407</v>
      </c>
      <c r="N1238" s="255">
        <v>130000</v>
      </c>
      <c r="O1238" s="265">
        <v>100</v>
      </c>
      <c r="P1238" s="270">
        <v>1</v>
      </c>
      <c r="Q1238" s="255">
        <v>130000</v>
      </c>
      <c r="R1238" s="283">
        <v>130000</v>
      </c>
      <c r="S1238" s="283">
        <v>56396</v>
      </c>
      <c r="T1238" s="287">
        <v>1</v>
      </c>
      <c r="U1238" s="287">
        <v>0</v>
      </c>
      <c r="V1238" s="287">
        <v>0</v>
      </c>
      <c r="W1238" s="283">
        <v>0</v>
      </c>
      <c r="X1238" s="283">
        <v>0</v>
      </c>
      <c r="Y1238" s="199" t="s">
        <v>1395</v>
      </c>
      <c r="Z1238" s="517" t="s">
        <v>5537</v>
      </c>
      <c r="AA1238" s="493" t="s">
        <v>1485</v>
      </c>
      <c r="AB1238" s="507"/>
    </row>
    <row r="1239" spans="2:28" x14ac:dyDescent="0.15">
      <c r="B1239" s="327" t="s">
        <v>5408</v>
      </c>
      <c r="C1239" s="527">
        <v>43485</v>
      </c>
      <c r="D1239" s="191" t="s">
        <v>5409</v>
      </c>
      <c r="E1239" s="43" t="s">
        <v>1391</v>
      </c>
      <c r="F1239" s="191" t="s">
        <v>3786</v>
      </c>
      <c r="G1239" s="4" t="s">
        <v>364</v>
      </c>
      <c r="H1239" s="43" t="s">
        <v>484</v>
      </c>
      <c r="I1239" s="4" t="s">
        <v>1469</v>
      </c>
      <c r="J1239" s="4" t="s">
        <v>262</v>
      </c>
      <c r="K1239" s="4" t="s">
        <v>365</v>
      </c>
      <c r="L1239" s="4" t="s">
        <v>1690</v>
      </c>
      <c r="M1239" s="43" t="s">
        <v>5410</v>
      </c>
      <c r="N1239" s="255">
        <v>260000</v>
      </c>
      <c r="O1239" s="265">
        <v>65</v>
      </c>
      <c r="P1239" s="270">
        <v>1</v>
      </c>
      <c r="Q1239" s="255">
        <v>169000</v>
      </c>
      <c r="R1239" s="283">
        <v>169000</v>
      </c>
      <c r="S1239" s="283">
        <v>54330</v>
      </c>
      <c r="T1239" s="287">
        <v>0</v>
      </c>
      <c r="U1239" s="287">
        <v>1</v>
      </c>
      <c r="V1239" s="287">
        <v>0</v>
      </c>
      <c r="W1239" s="283">
        <v>19500</v>
      </c>
      <c r="X1239" s="283">
        <v>0</v>
      </c>
      <c r="Y1239" s="199" t="s">
        <v>1392</v>
      </c>
      <c r="Z1239" s="517" t="s">
        <v>5537</v>
      </c>
      <c r="AA1239" s="493" t="s">
        <v>1485</v>
      </c>
      <c r="AB1239" s="507"/>
    </row>
    <row r="1240" spans="2:28" x14ac:dyDescent="0.15">
      <c r="B1240" s="333" t="s">
        <v>5338</v>
      </c>
      <c r="C1240" s="528">
        <v>43486</v>
      </c>
      <c r="D1240" s="198" t="s">
        <v>5339</v>
      </c>
      <c r="E1240" s="53" t="s">
        <v>1396</v>
      </c>
      <c r="F1240" s="198" t="s">
        <v>21</v>
      </c>
      <c r="G1240" s="3" t="s">
        <v>50</v>
      </c>
      <c r="H1240" s="53" t="s">
        <v>379</v>
      </c>
      <c r="I1240" s="3" t="s">
        <v>2551</v>
      </c>
      <c r="J1240" s="4" t="s">
        <v>272</v>
      </c>
      <c r="K1240" s="4" t="s">
        <v>363</v>
      </c>
      <c r="L1240" s="4" t="s">
        <v>5411</v>
      </c>
      <c r="M1240" s="43" t="s">
        <v>5412</v>
      </c>
      <c r="N1240" s="255">
        <v>296000</v>
      </c>
      <c r="O1240" s="265">
        <v>60</v>
      </c>
      <c r="P1240" s="270">
        <v>1</v>
      </c>
      <c r="Q1240" s="255">
        <v>177600</v>
      </c>
      <c r="R1240" s="283">
        <v>177600</v>
      </c>
      <c r="S1240" s="283">
        <v>60670</v>
      </c>
      <c r="T1240" s="287">
        <v>0</v>
      </c>
      <c r="U1240" s="287">
        <v>1</v>
      </c>
      <c r="V1240" s="287">
        <v>0</v>
      </c>
      <c r="W1240" s="283">
        <v>17760</v>
      </c>
      <c r="X1240" s="283">
        <v>0</v>
      </c>
      <c r="Y1240" s="199" t="s">
        <v>1392</v>
      </c>
      <c r="Z1240" s="517" t="s">
        <v>5166</v>
      </c>
      <c r="AA1240" s="493" t="s">
        <v>1485</v>
      </c>
      <c r="AB1240" s="507"/>
    </row>
    <row r="1241" spans="2:28" s="56" customFormat="1" x14ac:dyDescent="0.15">
      <c r="B1241" s="333" t="s">
        <v>5413</v>
      </c>
      <c r="C1241" s="528">
        <v>43490</v>
      </c>
      <c r="D1241" s="198" t="s">
        <v>5414</v>
      </c>
      <c r="E1241" s="53" t="s">
        <v>1396</v>
      </c>
      <c r="F1241" s="198" t="s">
        <v>4600</v>
      </c>
      <c r="G1241" s="3" t="s">
        <v>374</v>
      </c>
      <c r="H1241" s="53"/>
      <c r="I1241" s="3"/>
      <c r="J1241" s="3" t="s">
        <v>268</v>
      </c>
      <c r="K1241" s="3" t="s">
        <v>1158</v>
      </c>
      <c r="L1241" s="3" t="s">
        <v>4428</v>
      </c>
      <c r="M1241" s="53" t="s">
        <v>5415</v>
      </c>
      <c r="N1241" s="258">
        <v>115000</v>
      </c>
      <c r="O1241" s="266">
        <v>100</v>
      </c>
      <c r="P1241" s="272">
        <v>1</v>
      </c>
      <c r="Q1241" s="258">
        <v>115000</v>
      </c>
      <c r="R1241" s="286">
        <v>115000</v>
      </c>
      <c r="S1241" s="286">
        <v>41396</v>
      </c>
      <c r="T1241" s="288">
        <v>1</v>
      </c>
      <c r="U1241" s="288">
        <v>0</v>
      </c>
      <c r="V1241" s="288">
        <v>0</v>
      </c>
      <c r="W1241" s="286">
        <v>0</v>
      </c>
      <c r="X1241" s="286">
        <v>0</v>
      </c>
      <c r="Y1241" s="200" t="s">
        <v>1395</v>
      </c>
      <c r="Z1241" s="558" t="s">
        <v>5168</v>
      </c>
      <c r="AA1241" s="499" t="s">
        <v>1485</v>
      </c>
      <c r="AB1241" s="508"/>
    </row>
    <row r="1242" spans="2:28" x14ac:dyDescent="0.15">
      <c r="B1242" s="333" t="s">
        <v>5416</v>
      </c>
      <c r="C1242" s="528">
        <v>43497</v>
      </c>
      <c r="D1242" s="198" t="s">
        <v>5417</v>
      </c>
      <c r="E1242" s="53" t="s">
        <v>1391</v>
      </c>
      <c r="F1242" s="198" t="s">
        <v>3783</v>
      </c>
      <c r="G1242" s="3" t="s">
        <v>362</v>
      </c>
      <c r="H1242" s="53" t="s">
        <v>692</v>
      </c>
      <c r="I1242" s="3" t="s">
        <v>1397</v>
      </c>
      <c r="J1242" s="4" t="s">
        <v>268</v>
      </c>
      <c r="K1242" s="4" t="s">
        <v>1158</v>
      </c>
      <c r="L1242" s="4" t="s">
        <v>4173</v>
      </c>
      <c r="M1242" s="43" t="s">
        <v>5418</v>
      </c>
      <c r="N1242" s="255">
        <v>130000</v>
      </c>
      <c r="O1242" s="265">
        <v>100</v>
      </c>
      <c r="P1242" s="270">
        <v>1</v>
      </c>
      <c r="Q1242" s="255">
        <v>130000</v>
      </c>
      <c r="R1242" s="283">
        <v>130000</v>
      </c>
      <c r="S1242" s="283">
        <v>56396</v>
      </c>
      <c r="T1242" s="287">
        <v>1</v>
      </c>
      <c r="U1242" s="287">
        <v>0</v>
      </c>
      <c r="V1242" s="287">
        <v>0</v>
      </c>
      <c r="W1242" s="283">
        <v>0</v>
      </c>
      <c r="X1242" s="283">
        <v>0</v>
      </c>
      <c r="Y1242" s="199" t="s">
        <v>1395</v>
      </c>
      <c r="Z1242" s="517" t="s">
        <v>5166</v>
      </c>
      <c r="AA1242" s="493" t="s">
        <v>1485</v>
      </c>
      <c r="AB1242" s="507"/>
    </row>
    <row r="1243" spans="2:28" x14ac:dyDescent="0.15">
      <c r="B1243" s="333" t="s">
        <v>5349</v>
      </c>
      <c r="C1243" s="528">
        <v>43497</v>
      </c>
      <c r="D1243" s="198" t="s">
        <v>5350</v>
      </c>
      <c r="E1243" s="53" t="s">
        <v>1391</v>
      </c>
      <c r="F1243" s="198" t="s">
        <v>3783</v>
      </c>
      <c r="G1243" s="3" t="s">
        <v>362</v>
      </c>
      <c r="H1243" s="53" t="s">
        <v>692</v>
      </c>
      <c r="I1243" s="3" t="s">
        <v>1397</v>
      </c>
      <c r="J1243" s="4" t="s">
        <v>261</v>
      </c>
      <c r="K1243" s="4" t="s">
        <v>1153</v>
      </c>
      <c r="L1243" s="4" t="s">
        <v>5419</v>
      </c>
      <c r="M1243" s="43" t="s">
        <v>5304</v>
      </c>
      <c r="N1243" s="255">
        <v>275000</v>
      </c>
      <c r="O1243" s="265">
        <v>55</v>
      </c>
      <c r="P1243" s="270">
        <v>1</v>
      </c>
      <c r="Q1243" s="255">
        <v>151250</v>
      </c>
      <c r="R1243" s="283">
        <v>151250</v>
      </c>
      <c r="S1243" s="283">
        <v>44079</v>
      </c>
      <c r="T1243" s="287">
        <v>1</v>
      </c>
      <c r="U1243" s="287">
        <v>0</v>
      </c>
      <c r="V1243" s="287">
        <v>0</v>
      </c>
      <c r="W1243" s="283">
        <v>0</v>
      </c>
      <c r="X1243" s="283">
        <v>0</v>
      </c>
      <c r="Y1243" s="199" t="s">
        <v>1395</v>
      </c>
      <c r="Z1243" s="517" t="s">
        <v>5166</v>
      </c>
      <c r="AA1243" s="493" t="s">
        <v>1485</v>
      </c>
      <c r="AB1243" s="507"/>
    </row>
    <row r="1244" spans="2:28" x14ac:dyDescent="0.15">
      <c r="B1244" s="333" t="s">
        <v>5352</v>
      </c>
      <c r="C1244" s="528">
        <v>43497</v>
      </c>
      <c r="D1244" s="198" t="s">
        <v>5353</v>
      </c>
      <c r="E1244" s="53" t="s">
        <v>1391</v>
      </c>
      <c r="F1244" s="198" t="s">
        <v>3783</v>
      </c>
      <c r="G1244" s="3" t="s">
        <v>362</v>
      </c>
      <c r="H1244" s="53" t="s">
        <v>692</v>
      </c>
      <c r="I1244" s="3" t="s">
        <v>1397</v>
      </c>
      <c r="J1244" s="4" t="s">
        <v>1402</v>
      </c>
      <c r="K1244" s="4" t="s">
        <v>1403</v>
      </c>
      <c r="L1244" s="4" t="s">
        <v>2468</v>
      </c>
      <c r="M1244" s="43" t="s">
        <v>5420</v>
      </c>
      <c r="N1244" s="255">
        <v>270000</v>
      </c>
      <c r="O1244" s="265">
        <v>55</v>
      </c>
      <c r="P1244" s="270">
        <v>1</v>
      </c>
      <c r="Q1244" s="255">
        <v>148500</v>
      </c>
      <c r="R1244" s="283">
        <v>148500</v>
      </c>
      <c r="S1244" s="283">
        <v>41809</v>
      </c>
      <c r="T1244" s="287">
        <v>1</v>
      </c>
      <c r="U1244" s="287">
        <v>0</v>
      </c>
      <c r="V1244" s="287">
        <v>0</v>
      </c>
      <c r="W1244" s="283">
        <v>0</v>
      </c>
      <c r="X1244" s="283">
        <v>0</v>
      </c>
      <c r="Y1244" s="199" t="s">
        <v>1395</v>
      </c>
      <c r="Z1244" s="517" t="s">
        <v>5166</v>
      </c>
      <c r="AA1244" s="493" t="s">
        <v>1485</v>
      </c>
      <c r="AB1244" s="507"/>
    </row>
    <row r="1245" spans="2:28" x14ac:dyDescent="0.15">
      <c r="B1245" s="333" t="s">
        <v>5301</v>
      </c>
      <c r="C1245" s="528">
        <v>43497</v>
      </c>
      <c r="D1245" s="198" t="s">
        <v>5302</v>
      </c>
      <c r="E1245" s="53" t="s">
        <v>1391</v>
      </c>
      <c r="F1245" s="198" t="s">
        <v>3783</v>
      </c>
      <c r="G1245" s="3" t="s">
        <v>362</v>
      </c>
      <c r="H1245" s="53" t="s">
        <v>692</v>
      </c>
      <c r="I1245" s="3" t="s">
        <v>1397</v>
      </c>
      <c r="J1245" s="4" t="s">
        <v>261</v>
      </c>
      <c r="K1245" s="4" t="s">
        <v>1153</v>
      </c>
      <c r="L1245" s="4" t="s">
        <v>5421</v>
      </c>
      <c r="M1245" s="43" t="s">
        <v>5422</v>
      </c>
      <c r="N1245" s="255">
        <v>280000</v>
      </c>
      <c r="O1245" s="265">
        <v>55</v>
      </c>
      <c r="P1245" s="270">
        <v>1</v>
      </c>
      <c r="Q1245" s="255">
        <v>154000</v>
      </c>
      <c r="R1245" s="283">
        <v>154000</v>
      </c>
      <c r="S1245" s="283">
        <v>50829</v>
      </c>
      <c r="T1245" s="287">
        <v>1</v>
      </c>
      <c r="U1245" s="287">
        <v>0</v>
      </c>
      <c r="V1245" s="287">
        <v>0</v>
      </c>
      <c r="W1245" s="283">
        <v>0</v>
      </c>
      <c r="X1245" s="283">
        <v>0</v>
      </c>
      <c r="Y1245" s="199" t="s">
        <v>1395</v>
      </c>
      <c r="Z1245" s="517" t="s">
        <v>5166</v>
      </c>
      <c r="AA1245" s="493" t="s">
        <v>1485</v>
      </c>
      <c r="AB1245" s="507"/>
    </row>
    <row r="1246" spans="2:28" x14ac:dyDescent="0.15">
      <c r="B1246" s="333" t="s">
        <v>5305</v>
      </c>
      <c r="C1246" s="528">
        <v>43497</v>
      </c>
      <c r="D1246" s="198" t="s">
        <v>5306</v>
      </c>
      <c r="E1246" s="53" t="s">
        <v>1391</v>
      </c>
      <c r="F1246" s="198" t="s">
        <v>3783</v>
      </c>
      <c r="G1246" s="3" t="s">
        <v>362</v>
      </c>
      <c r="H1246" s="53" t="s">
        <v>692</v>
      </c>
      <c r="I1246" s="3" t="s">
        <v>1397</v>
      </c>
      <c r="J1246" s="4" t="s">
        <v>1402</v>
      </c>
      <c r="K1246" s="4" t="s">
        <v>1403</v>
      </c>
      <c r="L1246" s="190" t="s">
        <v>5423</v>
      </c>
      <c r="M1246" s="43" t="s">
        <v>5424</v>
      </c>
      <c r="N1246" s="255">
        <v>270000</v>
      </c>
      <c r="O1246" s="265">
        <v>55</v>
      </c>
      <c r="P1246" s="270">
        <v>1</v>
      </c>
      <c r="Q1246" s="255">
        <v>148500</v>
      </c>
      <c r="R1246" s="283">
        <v>148500</v>
      </c>
      <c r="S1246" s="283">
        <v>41709</v>
      </c>
      <c r="T1246" s="287">
        <v>1</v>
      </c>
      <c r="U1246" s="287">
        <v>0</v>
      </c>
      <c r="V1246" s="287">
        <v>0</v>
      </c>
      <c r="W1246" s="283">
        <v>0</v>
      </c>
      <c r="X1246" s="283">
        <v>0</v>
      </c>
      <c r="Y1246" s="199" t="s">
        <v>1395</v>
      </c>
      <c r="Z1246" s="517" t="s">
        <v>5166</v>
      </c>
      <c r="AA1246" s="493" t="s">
        <v>1485</v>
      </c>
      <c r="AB1246" s="507"/>
    </row>
    <row r="1247" spans="2:28" x14ac:dyDescent="0.15">
      <c r="B1247" s="333" t="s">
        <v>5308</v>
      </c>
      <c r="C1247" s="529">
        <v>43497</v>
      </c>
      <c r="D1247" s="198" t="s">
        <v>5309</v>
      </c>
      <c r="E1247" s="53" t="s">
        <v>1391</v>
      </c>
      <c r="F1247" s="198" t="s">
        <v>4014</v>
      </c>
      <c r="G1247" s="3" t="s">
        <v>370</v>
      </c>
      <c r="H1247" s="53" t="s">
        <v>1491</v>
      </c>
      <c r="I1247" s="3" t="s">
        <v>1492</v>
      </c>
      <c r="J1247" s="4" t="s">
        <v>292</v>
      </c>
      <c r="K1247" s="4" t="s">
        <v>1163</v>
      </c>
      <c r="L1247" s="4" t="s">
        <v>5425</v>
      </c>
      <c r="M1247" s="43" t="s">
        <v>5426</v>
      </c>
      <c r="N1247" s="255">
        <v>510000</v>
      </c>
      <c r="O1247" s="265">
        <v>60</v>
      </c>
      <c r="P1247" s="270">
        <v>1</v>
      </c>
      <c r="Q1247" s="255">
        <v>306000</v>
      </c>
      <c r="R1247" s="283">
        <v>306000</v>
      </c>
      <c r="S1247" s="283">
        <v>93501</v>
      </c>
      <c r="T1247" s="287">
        <v>0</v>
      </c>
      <c r="U1247" s="287">
        <v>1</v>
      </c>
      <c r="V1247" s="287">
        <v>0</v>
      </c>
      <c r="W1247" s="283">
        <v>30600</v>
      </c>
      <c r="X1247" s="283">
        <v>0</v>
      </c>
      <c r="Y1247" s="199" t="s">
        <v>1392</v>
      </c>
      <c r="Z1247" s="517" t="s">
        <v>5167</v>
      </c>
      <c r="AA1247" s="493" t="s">
        <v>1485</v>
      </c>
      <c r="AB1247" s="507"/>
    </row>
    <row r="1248" spans="2:28" x14ac:dyDescent="0.15">
      <c r="B1248" s="333" t="s">
        <v>5356</v>
      </c>
      <c r="C1248" s="528">
        <v>43497</v>
      </c>
      <c r="D1248" s="198" t="s">
        <v>5357</v>
      </c>
      <c r="E1248" s="53" t="s">
        <v>1396</v>
      </c>
      <c r="F1248" s="198" t="s">
        <v>21</v>
      </c>
      <c r="G1248" s="3" t="s">
        <v>50</v>
      </c>
      <c r="H1248" s="53" t="s">
        <v>380</v>
      </c>
      <c r="I1248" s="3" t="s">
        <v>1976</v>
      </c>
      <c r="J1248" s="4" t="s">
        <v>271</v>
      </c>
      <c r="K1248" s="4" t="s">
        <v>1160</v>
      </c>
      <c r="L1248" s="4" t="s">
        <v>1945</v>
      </c>
      <c r="M1248" s="43" t="s">
        <v>5427</v>
      </c>
      <c r="N1248" s="255">
        <v>348000</v>
      </c>
      <c r="O1248" s="265">
        <v>55</v>
      </c>
      <c r="P1248" s="270">
        <v>1</v>
      </c>
      <c r="Q1248" s="255">
        <v>191400</v>
      </c>
      <c r="R1248" s="283">
        <v>191400</v>
      </c>
      <c r="S1248" s="283">
        <v>47006</v>
      </c>
      <c r="T1248" s="287">
        <v>0</v>
      </c>
      <c r="U1248" s="287">
        <v>1</v>
      </c>
      <c r="V1248" s="287">
        <v>0</v>
      </c>
      <c r="W1248" s="283">
        <v>15660</v>
      </c>
      <c r="X1248" s="283">
        <v>0</v>
      </c>
      <c r="Y1248" s="199" t="s">
        <v>1392</v>
      </c>
      <c r="Z1248" s="517" t="s">
        <v>5166</v>
      </c>
      <c r="AA1248" s="493" t="s">
        <v>1485</v>
      </c>
      <c r="AB1248" s="507"/>
    </row>
    <row r="1249" spans="2:30" x14ac:dyDescent="0.15">
      <c r="B1249" s="333" t="s">
        <v>5371</v>
      </c>
      <c r="C1249" s="528">
        <v>43497</v>
      </c>
      <c r="D1249" s="198" t="s">
        <v>5372</v>
      </c>
      <c r="E1249" s="53" t="s">
        <v>1396</v>
      </c>
      <c r="F1249" s="198" t="s">
        <v>21</v>
      </c>
      <c r="G1249" s="3" t="s">
        <v>50</v>
      </c>
      <c r="H1249" s="53" t="s">
        <v>1434</v>
      </c>
      <c r="I1249" s="3" t="s">
        <v>1435</v>
      </c>
      <c r="J1249" s="4" t="s">
        <v>264</v>
      </c>
      <c r="K1249" s="4" t="s">
        <v>538</v>
      </c>
      <c r="L1249" s="4" t="s">
        <v>2017</v>
      </c>
      <c r="M1249" s="43" t="s">
        <v>5428</v>
      </c>
      <c r="N1249" s="255">
        <v>320000</v>
      </c>
      <c r="O1249" s="265">
        <v>55</v>
      </c>
      <c r="P1249" s="270">
        <v>1</v>
      </c>
      <c r="Q1249" s="255">
        <v>176000</v>
      </c>
      <c r="R1249" s="283">
        <v>176000</v>
      </c>
      <c r="S1249" s="283">
        <v>54388</v>
      </c>
      <c r="T1249" s="287">
        <v>0</v>
      </c>
      <c r="U1249" s="287">
        <v>1</v>
      </c>
      <c r="V1249" s="287">
        <v>0</v>
      </c>
      <c r="W1249" s="283">
        <v>14400</v>
      </c>
      <c r="X1249" s="283">
        <v>0</v>
      </c>
      <c r="Y1249" s="199" t="s">
        <v>1392</v>
      </c>
      <c r="Z1249" s="517" t="s">
        <v>5167</v>
      </c>
      <c r="AA1249" s="493" t="s">
        <v>1485</v>
      </c>
      <c r="AB1249" s="507"/>
    </row>
    <row r="1250" spans="2:30" x14ac:dyDescent="0.15">
      <c r="B1250" s="333" t="s">
        <v>5317</v>
      </c>
      <c r="C1250" s="528">
        <v>43497</v>
      </c>
      <c r="D1250" s="198" t="s">
        <v>5318</v>
      </c>
      <c r="E1250" s="53" t="s">
        <v>1396</v>
      </c>
      <c r="F1250" s="198" t="s">
        <v>21</v>
      </c>
      <c r="G1250" s="3" t="s">
        <v>50</v>
      </c>
      <c r="H1250" s="53" t="s">
        <v>379</v>
      </c>
      <c r="I1250" s="3" t="s">
        <v>2551</v>
      </c>
      <c r="J1250" s="4" t="s">
        <v>292</v>
      </c>
      <c r="K1250" s="4" t="s">
        <v>1163</v>
      </c>
      <c r="L1250" s="4" t="s">
        <v>1868</v>
      </c>
      <c r="M1250" s="43" t="s">
        <v>5429</v>
      </c>
      <c r="N1250" s="255">
        <v>380000</v>
      </c>
      <c r="O1250" s="265">
        <v>55</v>
      </c>
      <c r="P1250" s="270">
        <v>1</v>
      </c>
      <c r="Q1250" s="255">
        <v>209000</v>
      </c>
      <c r="R1250" s="283">
        <v>209000</v>
      </c>
      <c r="S1250" s="283">
        <v>48851</v>
      </c>
      <c r="T1250" s="287">
        <v>0</v>
      </c>
      <c r="U1250" s="287">
        <v>1</v>
      </c>
      <c r="V1250" s="287">
        <v>0</v>
      </c>
      <c r="W1250" s="283">
        <v>17100</v>
      </c>
      <c r="X1250" s="283">
        <v>0</v>
      </c>
      <c r="Y1250" s="199" t="s">
        <v>1392</v>
      </c>
      <c r="Z1250" s="517" t="s">
        <v>5166</v>
      </c>
      <c r="AA1250" s="493" t="s">
        <v>1485</v>
      </c>
      <c r="AB1250" s="507"/>
    </row>
    <row r="1251" spans="2:30" x14ac:dyDescent="0.15">
      <c r="B1251" s="333" t="s">
        <v>5319</v>
      </c>
      <c r="C1251" s="528">
        <v>43497</v>
      </c>
      <c r="D1251" s="198" t="s">
        <v>5320</v>
      </c>
      <c r="E1251" s="53" t="s">
        <v>1396</v>
      </c>
      <c r="F1251" s="198" t="s">
        <v>21</v>
      </c>
      <c r="G1251" s="3" t="s">
        <v>50</v>
      </c>
      <c r="H1251" s="53" t="s">
        <v>381</v>
      </c>
      <c r="I1251" s="3" t="s">
        <v>1408</v>
      </c>
      <c r="J1251" s="4" t="s">
        <v>294</v>
      </c>
      <c r="K1251" s="4" t="s">
        <v>1165</v>
      </c>
      <c r="L1251" s="4" t="s">
        <v>1409</v>
      </c>
      <c r="M1251" s="43"/>
      <c r="N1251" s="255">
        <v>42000</v>
      </c>
      <c r="O1251" s="265">
        <v>60</v>
      </c>
      <c r="P1251" s="270">
        <v>1</v>
      </c>
      <c r="Q1251" s="255">
        <v>25200</v>
      </c>
      <c r="R1251" s="283">
        <v>25200</v>
      </c>
      <c r="S1251" s="283">
        <v>7436</v>
      </c>
      <c r="T1251" s="287">
        <v>0</v>
      </c>
      <c r="U1251" s="287">
        <v>0</v>
      </c>
      <c r="V1251" s="287">
        <v>0</v>
      </c>
      <c r="W1251" s="283">
        <v>2520</v>
      </c>
      <c r="X1251" s="283">
        <v>0</v>
      </c>
      <c r="Y1251" s="199" t="s">
        <v>1392</v>
      </c>
      <c r="Z1251" s="517" t="s">
        <v>5166</v>
      </c>
      <c r="AA1251" s="493" t="s">
        <v>1485</v>
      </c>
      <c r="AB1251" s="507"/>
    </row>
    <row r="1252" spans="2:30" x14ac:dyDescent="0.15">
      <c r="B1252" s="333" t="s">
        <v>5413</v>
      </c>
      <c r="C1252" s="528">
        <v>43497</v>
      </c>
      <c r="D1252" s="198" t="s">
        <v>5414</v>
      </c>
      <c r="E1252" s="53" t="s">
        <v>1391</v>
      </c>
      <c r="F1252" s="198" t="s">
        <v>3783</v>
      </c>
      <c r="G1252" s="3" t="s">
        <v>362</v>
      </c>
      <c r="H1252" s="53" t="s">
        <v>1674</v>
      </c>
      <c r="I1252" s="3" t="s">
        <v>1676</v>
      </c>
      <c r="J1252" s="4" t="s">
        <v>262</v>
      </c>
      <c r="K1252" s="4" t="s">
        <v>365</v>
      </c>
      <c r="L1252" s="4" t="s">
        <v>1690</v>
      </c>
      <c r="M1252" s="43" t="s">
        <v>5430</v>
      </c>
      <c r="N1252" s="255">
        <v>260000</v>
      </c>
      <c r="O1252" s="265">
        <v>55</v>
      </c>
      <c r="P1252" s="270">
        <v>1</v>
      </c>
      <c r="Q1252" s="255">
        <v>143000</v>
      </c>
      <c r="R1252" s="283">
        <v>143000</v>
      </c>
      <c r="S1252" s="283">
        <v>47830</v>
      </c>
      <c r="T1252" s="287">
        <v>1</v>
      </c>
      <c r="U1252" s="287">
        <v>0</v>
      </c>
      <c r="V1252" s="287">
        <v>0</v>
      </c>
      <c r="W1252" s="283">
        <v>0</v>
      </c>
      <c r="X1252" s="283">
        <v>0</v>
      </c>
      <c r="Y1252" s="199" t="s">
        <v>1395</v>
      </c>
      <c r="Z1252" s="517" t="s">
        <v>5537</v>
      </c>
      <c r="AA1252" s="493" t="s">
        <v>1485</v>
      </c>
      <c r="AB1252" s="507"/>
    </row>
    <row r="1253" spans="2:30" x14ac:dyDescent="0.15">
      <c r="B1253" s="333" t="s">
        <v>5398</v>
      </c>
      <c r="C1253" s="528">
        <v>43497</v>
      </c>
      <c r="D1253" s="198" t="s">
        <v>5399</v>
      </c>
      <c r="E1253" s="53" t="s">
        <v>1391</v>
      </c>
      <c r="F1253" s="198" t="s">
        <v>3783</v>
      </c>
      <c r="G1253" s="3" t="s">
        <v>362</v>
      </c>
      <c r="H1253" s="53" t="s">
        <v>1674</v>
      </c>
      <c r="I1253" s="3" t="s">
        <v>1676</v>
      </c>
      <c r="J1253" s="4" t="s">
        <v>268</v>
      </c>
      <c r="K1253" s="4" t="s">
        <v>1158</v>
      </c>
      <c r="L1253" s="4" t="s">
        <v>4277</v>
      </c>
      <c r="M1253" s="43" t="s">
        <v>5431</v>
      </c>
      <c r="N1253" s="255">
        <v>130000</v>
      </c>
      <c r="O1253" s="265">
        <v>100</v>
      </c>
      <c r="P1253" s="270">
        <v>1</v>
      </c>
      <c r="Q1253" s="255">
        <v>130000</v>
      </c>
      <c r="R1253" s="283">
        <v>130000</v>
      </c>
      <c r="S1253" s="283">
        <v>56396</v>
      </c>
      <c r="T1253" s="287">
        <v>1</v>
      </c>
      <c r="U1253" s="287">
        <v>0</v>
      </c>
      <c r="V1253" s="287">
        <v>0</v>
      </c>
      <c r="W1253" s="283">
        <v>0</v>
      </c>
      <c r="X1253" s="283">
        <v>0</v>
      </c>
      <c r="Y1253" s="199" t="s">
        <v>1395</v>
      </c>
      <c r="Z1253" s="517" t="s">
        <v>5537</v>
      </c>
      <c r="AA1253" s="493" t="s">
        <v>1485</v>
      </c>
      <c r="AB1253" s="507"/>
    </row>
    <row r="1254" spans="2:30" x14ac:dyDescent="0.15">
      <c r="B1254" s="333" t="s">
        <v>5401</v>
      </c>
      <c r="C1254" s="528">
        <v>43501</v>
      </c>
      <c r="D1254" s="198" t="s">
        <v>5402</v>
      </c>
      <c r="E1254" s="53" t="s">
        <v>1391</v>
      </c>
      <c r="F1254" s="198" t="s">
        <v>3786</v>
      </c>
      <c r="G1254" s="3" t="s">
        <v>364</v>
      </c>
      <c r="H1254" s="53" t="s">
        <v>505</v>
      </c>
      <c r="I1254" s="3" t="s">
        <v>1501</v>
      </c>
      <c r="J1254" s="4" t="s">
        <v>262</v>
      </c>
      <c r="K1254" s="4" t="s">
        <v>365</v>
      </c>
      <c r="L1254" s="4" t="s">
        <v>5432</v>
      </c>
      <c r="M1254" s="43" t="s">
        <v>4885</v>
      </c>
      <c r="N1254" s="255">
        <v>285000</v>
      </c>
      <c r="O1254" s="265">
        <v>60</v>
      </c>
      <c r="P1254" s="270">
        <v>1</v>
      </c>
      <c r="Q1254" s="255">
        <v>171000</v>
      </c>
      <c r="R1254" s="283">
        <v>171000</v>
      </c>
      <c r="S1254" s="283">
        <v>73280</v>
      </c>
      <c r="T1254" s="287">
        <v>1</v>
      </c>
      <c r="U1254" s="287">
        <v>0</v>
      </c>
      <c r="V1254" s="287">
        <v>0</v>
      </c>
      <c r="W1254" s="283">
        <v>0</v>
      </c>
      <c r="X1254" s="283">
        <v>0</v>
      </c>
      <c r="Y1254" s="199" t="s">
        <v>1395</v>
      </c>
      <c r="Z1254" s="517" t="s">
        <v>5534</v>
      </c>
      <c r="AA1254" s="493" t="s">
        <v>1485</v>
      </c>
      <c r="AB1254" s="507"/>
      <c r="AD1254" s="283"/>
    </row>
    <row r="1255" spans="2:30" x14ac:dyDescent="0.15">
      <c r="B1255" s="333" t="s">
        <v>5404</v>
      </c>
      <c r="C1255" s="528">
        <v>43501</v>
      </c>
      <c r="D1255" s="198" t="s">
        <v>5405</v>
      </c>
      <c r="E1255" s="53" t="s">
        <v>1391</v>
      </c>
      <c r="F1255" s="198" t="s">
        <v>3783</v>
      </c>
      <c r="G1255" s="3" t="s">
        <v>362</v>
      </c>
      <c r="H1255" s="53" t="s">
        <v>1674</v>
      </c>
      <c r="I1255" s="3" t="s">
        <v>1676</v>
      </c>
      <c r="J1255" s="4" t="s">
        <v>268</v>
      </c>
      <c r="K1255" s="4" t="s">
        <v>1158</v>
      </c>
      <c r="L1255" s="4" t="s">
        <v>1577</v>
      </c>
      <c r="M1255" s="43" t="s">
        <v>1680</v>
      </c>
      <c r="N1255" s="255">
        <v>265000</v>
      </c>
      <c r="O1255" s="265">
        <v>58.5</v>
      </c>
      <c r="P1255" s="270">
        <v>-1</v>
      </c>
      <c r="Q1255" s="255">
        <v>155025</v>
      </c>
      <c r="R1255" s="283">
        <v>-155025</v>
      </c>
      <c r="S1255" s="283">
        <v>-52829</v>
      </c>
      <c r="T1255" s="287">
        <v>-1</v>
      </c>
      <c r="U1255" s="287">
        <v>0</v>
      </c>
      <c r="V1255" s="287">
        <v>0</v>
      </c>
      <c r="W1255" s="283">
        <v>0</v>
      </c>
      <c r="X1255" s="283">
        <v>0</v>
      </c>
      <c r="Y1255" s="199" t="s">
        <v>1395</v>
      </c>
      <c r="Z1255" s="517" t="s">
        <v>5537</v>
      </c>
      <c r="AA1255" s="493" t="s">
        <v>1485</v>
      </c>
      <c r="AB1255" s="507"/>
    </row>
    <row r="1256" spans="2:30" x14ac:dyDescent="0.15">
      <c r="B1256" s="333" t="s">
        <v>5408</v>
      </c>
      <c r="C1256" s="528">
        <v>43501</v>
      </c>
      <c r="D1256" s="198" t="s">
        <v>5409</v>
      </c>
      <c r="E1256" s="53" t="s">
        <v>1391</v>
      </c>
      <c r="F1256" s="198" t="s">
        <v>2834</v>
      </c>
      <c r="G1256" s="3" t="s">
        <v>3559</v>
      </c>
      <c r="H1256" s="53"/>
      <c r="I1256" s="3"/>
      <c r="J1256" s="4" t="s">
        <v>295</v>
      </c>
      <c r="K1256" s="4" t="s">
        <v>1166</v>
      </c>
      <c r="L1256" s="4" t="s">
        <v>1483</v>
      </c>
      <c r="M1256" s="43"/>
      <c r="N1256" s="255">
        <v>33000</v>
      </c>
      <c r="O1256" s="265">
        <v>65</v>
      </c>
      <c r="P1256" s="270">
        <v>1</v>
      </c>
      <c r="Q1256" s="255">
        <v>21450</v>
      </c>
      <c r="R1256" s="283">
        <v>21450</v>
      </c>
      <c r="S1256" s="283">
        <v>8200</v>
      </c>
      <c r="T1256" s="287">
        <v>0</v>
      </c>
      <c r="U1256" s="287">
        <v>0</v>
      </c>
      <c r="V1256" s="287">
        <v>0</v>
      </c>
      <c r="W1256" s="283">
        <v>0</v>
      </c>
      <c r="X1256" s="283">
        <v>0</v>
      </c>
      <c r="Y1256" s="199" t="s">
        <v>1395</v>
      </c>
      <c r="Z1256" s="517" t="s">
        <v>5170</v>
      </c>
      <c r="AA1256" s="493" t="s">
        <v>1485</v>
      </c>
      <c r="AB1256" s="507"/>
    </row>
    <row r="1257" spans="2:30" x14ac:dyDescent="0.15">
      <c r="B1257" s="333" t="s">
        <v>5433</v>
      </c>
      <c r="C1257" s="528">
        <v>43502</v>
      </c>
      <c r="D1257" s="198" t="s">
        <v>5434</v>
      </c>
      <c r="E1257" s="53" t="s">
        <v>1391</v>
      </c>
      <c r="F1257" s="198" t="s">
        <v>3783</v>
      </c>
      <c r="G1257" s="3" t="s">
        <v>362</v>
      </c>
      <c r="H1257" s="53" t="s">
        <v>689</v>
      </c>
      <c r="I1257" s="3" t="s">
        <v>1394</v>
      </c>
      <c r="J1257" s="4" t="s">
        <v>262</v>
      </c>
      <c r="K1257" s="4" t="s">
        <v>365</v>
      </c>
      <c r="L1257" s="4" t="s">
        <v>1738</v>
      </c>
      <c r="M1257" s="43" t="s">
        <v>5435</v>
      </c>
      <c r="N1257" s="255">
        <v>260000</v>
      </c>
      <c r="O1257" s="265">
        <v>55</v>
      </c>
      <c r="P1257" s="270">
        <v>1</v>
      </c>
      <c r="Q1257" s="255">
        <v>143000</v>
      </c>
      <c r="R1257" s="283">
        <v>143000</v>
      </c>
      <c r="S1257" s="283">
        <v>44830</v>
      </c>
      <c r="T1257" s="287">
        <v>1</v>
      </c>
      <c r="U1257" s="287">
        <v>0</v>
      </c>
      <c r="V1257" s="287">
        <v>0</v>
      </c>
      <c r="W1257" s="283">
        <v>0</v>
      </c>
      <c r="X1257" s="283">
        <v>0</v>
      </c>
      <c r="Y1257" s="199" t="s">
        <v>1395</v>
      </c>
      <c r="Z1257" s="517" t="s">
        <v>5532</v>
      </c>
      <c r="AA1257" s="493" t="s">
        <v>1485</v>
      </c>
      <c r="AB1257" s="507"/>
    </row>
    <row r="1258" spans="2:30" x14ac:dyDescent="0.15">
      <c r="B1258" s="333" t="s">
        <v>5436</v>
      </c>
      <c r="C1258" s="528">
        <v>43502</v>
      </c>
      <c r="D1258" s="198" t="s">
        <v>5437</v>
      </c>
      <c r="E1258" s="53" t="s">
        <v>1391</v>
      </c>
      <c r="F1258" s="198" t="s">
        <v>3783</v>
      </c>
      <c r="G1258" s="3" t="s">
        <v>362</v>
      </c>
      <c r="H1258" s="53" t="s">
        <v>689</v>
      </c>
      <c r="I1258" s="3" t="s">
        <v>1394</v>
      </c>
      <c r="J1258" s="4" t="s">
        <v>262</v>
      </c>
      <c r="K1258" s="4" t="s">
        <v>365</v>
      </c>
      <c r="L1258" s="4" t="s">
        <v>5438</v>
      </c>
      <c r="M1258" s="43" t="s">
        <v>5439</v>
      </c>
      <c r="N1258" s="255">
        <v>260000</v>
      </c>
      <c r="O1258" s="265">
        <v>55</v>
      </c>
      <c r="P1258" s="270">
        <v>1</v>
      </c>
      <c r="Q1258" s="255">
        <v>143000</v>
      </c>
      <c r="R1258" s="283">
        <v>143000</v>
      </c>
      <c r="S1258" s="283">
        <v>44830</v>
      </c>
      <c r="T1258" s="287">
        <v>1</v>
      </c>
      <c r="U1258" s="287">
        <v>0</v>
      </c>
      <c r="V1258" s="287">
        <v>0</v>
      </c>
      <c r="W1258" s="283">
        <v>0</v>
      </c>
      <c r="X1258" s="283">
        <v>0</v>
      </c>
      <c r="Y1258" s="199" t="s">
        <v>1395</v>
      </c>
      <c r="Z1258" s="517" t="s">
        <v>5166</v>
      </c>
      <c r="AA1258" s="493" t="s">
        <v>1485</v>
      </c>
      <c r="AB1258" s="507"/>
    </row>
    <row r="1259" spans="2:30" x14ac:dyDescent="0.15">
      <c r="B1259" s="333" t="s">
        <v>5440</v>
      </c>
      <c r="C1259" s="528">
        <v>43502</v>
      </c>
      <c r="D1259" s="198" t="s">
        <v>5441</v>
      </c>
      <c r="E1259" s="53" t="s">
        <v>1391</v>
      </c>
      <c r="F1259" s="198" t="s">
        <v>3783</v>
      </c>
      <c r="G1259" s="3" t="s">
        <v>362</v>
      </c>
      <c r="H1259" s="53" t="s">
        <v>689</v>
      </c>
      <c r="I1259" s="3" t="s">
        <v>1394</v>
      </c>
      <c r="J1259" s="4" t="s">
        <v>262</v>
      </c>
      <c r="K1259" s="4" t="s">
        <v>365</v>
      </c>
      <c r="L1259" s="4" t="s">
        <v>2235</v>
      </c>
      <c r="M1259" s="43" t="s">
        <v>5442</v>
      </c>
      <c r="N1259" s="255">
        <v>260000</v>
      </c>
      <c r="O1259" s="265">
        <v>55</v>
      </c>
      <c r="P1259" s="270">
        <v>1</v>
      </c>
      <c r="Q1259" s="255">
        <v>143000</v>
      </c>
      <c r="R1259" s="283">
        <v>143000</v>
      </c>
      <c r="S1259" s="283">
        <v>44830</v>
      </c>
      <c r="T1259" s="287">
        <v>1</v>
      </c>
      <c r="U1259" s="287">
        <v>0</v>
      </c>
      <c r="V1259" s="287">
        <v>0</v>
      </c>
      <c r="W1259" s="283">
        <v>0</v>
      </c>
      <c r="X1259" s="283">
        <v>0</v>
      </c>
      <c r="Y1259" s="199" t="s">
        <v>1395</v>
      </c>
      <c r="Z1259" s="517" t="s">
        <v>5166</v>
      </c>
      <c r="AA1259" s="493" t="s">
        <v>1485</v>
      </c>
      <c r="AB1259" s="507"/>
    </row>
    <row r="1260" spans="2:30" x14ac:dyDescent="0.15">
      <c r="B1260" s="333" t="s">
        <v>5443</v>
      </c>
      <c r="C1260" s="528">
        <v>43504</v>
      </c>
      <c r="D1260" s="198" t="s">
        <v>5444</v>
      </c>
      <c r="E1260" s="53" t="s">
        <v>1391</v>
      </c>
      <c r="F1260" s="198" t="s">
        <v>4154</v>
      </c>
      <c r="G1260" s="3" t="s">
        <v>371</v>
      </c>
      <c r="H1260" s="53" t="s">
        <v>383</v>
      </c>
      <c r="I1260" s="3" t="s">
        <v>5128</v>
      </c>
      <c r="J1260" s="4" t="s">
        <v>295</v>
      </c>
      <c r="K1260" s="4" t="s">
        <v>1166</v>
      </c>
      <c r="L1260" s="4" t="s">
        <v>1512</v>
      </c>
      <c r="M1260" s="43"/>
      <c r="N1260" s="255">
        <v>34000</v>
      </c>
      <c r="O1260" s="265">
        <v>65</v>
      </c>
      <c r="P1260" s="270">
        <v>1</v>
      </c>
      <c r="Q1260" s="255">
        <v>22100</v>
      </c>
      <c r="R1260" s="283">
        <v>22100</v>
      </c>
      <c r="S1260" s="283">
        <v>3600</v>
      </c>
      <c r="T1260" s="287">
        <v>0</v>
      </c>
      <c r="U1260" s="287">
        <v>0</v>
      </c>
      <c r="V1260" s="287">
        <v>0</v>
      </c>
      <c r="W1260" s="283">
        <v>2550</v>
      </c>
      <c r="X1260" s="283">
        <v>0</v>
      </c>
      <c r="Y1260" s="199" t="s">
        <v>1392</v>
      </c>
      <c r="Z1260" s="517" t="s">
        <v>5166</v>
      </c>
      <c r="AA1260" s="493" t="s">
        <v>1485</v>
      </c>
      <c r="AB1260" s="507"/>
    </row>
    <row r="1261" spans="2:30" x14ac:dyDescent="0.15">
      <c r="B1261" s="333" t="s">
        <v>5445</v>
      </c>
      <c r="C1261" s="528">
        <v>43504</v>
      </c>
      <c r="D1261" s="198" t="s">
        <v>5446</v>
      </c>
      <c r="E1261" s="53" t="s">
        <v>1391</v>
      </c>
      <c r="F1261" s="198" t="s">
        <v>4014</v>
      </c>
      <c r="G1261" s="3" t="s">
        <v>370</v>
      </c>
      <c r="H1261" s="53" t="s">
        <v>1134</v>
      </c>
      <c r="I1261" s="3" t="s">
        <v>1393</v>
      </c>
      <c r="J1261" s="4" t="s">
        <v>268</v>
      </c>
      <c r="K1261" s="4" t="s">
        <v>1158</v>
      </c>
      <c r="L1261" s="4" t="s">
        <v>5447</v>
      </c>
      <c r="M1261" s="43" t="s">
        <v>5448</v>
      </c>
      <c r="N1261" s="255">
        <v>305000</v>
      </c>
      <c r="O1261" s="265">
        <v>65</v>
      </c>
      <c r="P1261" s="270">
        <v>1</v>
      </c>
      <c r="Q1261" s="255">
        <v>198250</v>
      </c>
      <c r="R1261" s="283">
        <v>198250</v>
      </c>
      <c r="S1261" s="283">
        <v>53211</v>
      </c>
      <c r="T1261" s="287">
        <v>0</v>
      </c>
      <c r="U1261" s="287">
        <v>1</v>
      </c>
      <c r="V1261" s="287">
        <v>0</v>
      </c>
      <c r="W1261" s="283">
        <v>22875</v>
      </c>
      <c r="X1261" s="283">
        <v>0</v>
      </c>
      <c r="Y1261" s="199" t="s">
        <v>1392</v>
      </c>
      <c r="Z1261" s="517" t="s">
        <v>5540</v>
      </c>
      <c r="AA1261" s="493" t="s">
        <v>1485</v>
      </c>
      <c r="AB1261" s="507"/>
    </row>
    <row r="1262" spans="2:30" x14ac:dyDescent="0.15">
      <c r="B1262" s="333" t="s">
        <v>5454</v>
      </c>
      <c r="C1262" s="528">
        <v>43511</v>
      </c>
      <c r="D1262" s="198" t="s">
        <v>5455</v>
      </c>
      <c r="E1262" s="53" t="s">
        <v>1396</v>
      </c>
      <c r="F1262" s="198" t="s">
        <v>21</v>
      </c>
      <c r="G1262" s="3" t="s">
        <v>50</v>
      </c>
      <c r="H1262" s="53" t="s">
        <v>381</v>
      </c>
      <c r="I1262" s="3" t="s">
        <v>1408</v>
      </c>
      <c r="J1262" s="4" t="s">
        <v>264</v>
      </c>
      <c r="K1262" s="4" t="s">
        <v>538</v>
      </c>
      <c r="L1262" s="4" t="s">
        <v>5324</v>
      </c>
      <c r="M1262" s="43" t="s">
        <v>5456</v>
      </c>
      <c r="N1262" s="255">
        <v>320000</v>
      </c>
      <c r="O1262" s="265">
        <v>60</v>
      </c>
      <c r="P1262" s="270">
        <v>1</v>
      </c>
      <c r="Q1262" s="255">
        <v>192000</v>
      </c>
      <c r="R1262" s="283">
        <v>192000</v>
      </c>
      <c r="S1262" s="283">
        <v>56738</v>
      </c>
      <c r="T1262" s="287">
        <v>0</v>
      </c>
      <c r="U1262" s="287">
        <v>1</v>
      </c>
      <c r="V1262" s="287">
        <v>0</v>
      </c>
      <c r="W1262" s="283">
        <v>19200</v>
      </c>
      <c r="X1262" s="283">
        <v>0</v>
      </c>
      <c r="Y1262" s="199" t="s">
        <v>1392</v>
      </c>
      <c r="Z1262" s="517" t="s">
        <v>5166</v>
      </c>
      <c r="AA1262" s="504"/>
      <c r="AB1262" s="166"/>
    </row>
    <row r="1263" spans="2:30" x14ac:dyDescent="0.15">
      <c r="B1263" s="327" t="s">
        <v>5457</v>
      </c>
      <c r="C1263" s="527">
        <v>43511</v>
      </c>
      <c r="D1263" s="191" t="s">
        <v>5458</v>
      </c>
      <c r="E1263" s="43" t="s">
        <v>1396</v>
      </c>
      <c r="F1263" s="191" t="s">
        <v>3784</v>
      </c>
      <c r="G1263" s="4" t="s">
        <v>1110</v>
      </c>
      <c r="H1263" s="43" t="s">
        <v>796</v>
      </c>
      <c r="I1263" s="4" t="s">
        <v>1428</v>
      </c>
      <c r="J1263" s="4" t="s">
        <v>268</v>
      </c>
      <c r="K1263" s="4" t="s">
        <v>1158</v>
      </c>
      <c r="L1263" s="4" t="s">
        <v>1577</v>
      </c>
      <c r="M1263" s="43" t="s">
        <v>5459</v>
      </c>
      <c r="N1263" s="255">
        <v>260000</v>
      </c>
      <c r="O1263" s="265">
        <v>60</v>
      </c>
      <c r="P1263" s="270">
        <v>1</v>
      </c>
      <c r="Q1263" s="255">
        <v>156000</v>
      </c>
      <c r="R1263" s="283">
        <v>156000</v>
      </c>
      <c r="S1263" s="283">
        <v>46329</v>
      </c>
      <c r="T1263" s="287">
        <v>0</v>
      </c>
      <c r="U1263" s="287">
        <v>1</v>
      </c>
      <c r="V1263" s="287">
        <v>0</v>
      </c>
      <c r="W1263" s="283">
        <v>15600</v>
      </c>
      <c r="X1263" s="283">
        <v>0</v>
      </c>
      <c r="Y1263" s="199" t="s">
        <v>1392</v>
      </c>
      <c r="Z1263" s="517" t="s">
        <v>5166</v>
      </c>
      <c r="AA1263" s="504"/>
      <c r="AB1263" s="166"/>
    </row>
    <row r="1264" spans="2:30" x14ac:dyDescent="0.15">
      <c r="B1264" s="327" t="s">
        <v>5460</v>
      </c>
      <c r="C1264" s="527">
        <v>43511</v>
      </c>
      <c r="D1264" s="191" t="s">
        <v>5461</v>
      </c>
      <c r="E1264" s="43" t="s">
        <v>1396</v>
      </c>
      <c r="F1264" s="191" t="s">
        <v>3784</v>
      </c>
      <c r="G1264" s="4" t="s">
        <v>1110</v>
      </c>
      <c r="H1264" s="43" t="s">
        <v>796</v>
      </c>
      <c r="I1264" s="4" t="s">
        <v>1428</v>
      </c>
      <c r="J1264" s="4" t="s">
        <v>268</v>
      </c>
      <c r="K1264" s="4" t="s">
        <v>1158</v>
      </c>
      <c r="L1264" s="4" t="s">
        <v>2398</v>
      </c>
      <c r="M1264" s="43" t="s">
        <v>5462</v>
      </c>
      <c r="N1264" s="255">
        <v>260000</v>
      </c>
      <c r="O1264" s="265">
        <v>60</v>
      </c>
      <c r="P1264" s="270">
        <v>1</v>
      </c>
      <c r="Q1264" s="255">
        <v>156000</v>
      </c>
      <c r="R1264" s="283">
        <v>156000</v>
      </c>
      <c r="S1264" s="283">
        <v>46329</v>
      </c>
      <c r="T1264" s="287">
        <v>0</v>
      </c>
      <c r="U1264" s="287">
        <v>1</v>
      </c>
      <c r="V1264" s="287">
        <v>0</v>
      </c>
      <c r="W1264" s="283">
        <v>15600</v>
      </c>
      <c r="X1264" s="283">
        <v>0</v>
      </c>
      <c r="Y1264" s="199" t="s">
        <v>1392</v>
      </c>
      <c r="Z1264" s="517" t="s">
        <v>5543</v>
      </c>
      <c r="AA1264" s="504"/>
      <c r="AB1264" s="166"/>
    </row>
    <row r="1265" spans="2:28" x14ac:dyDescent="0.15">
      <c r="B1265" s="327" t="s">
        <v>5463</v>
      </c>
      <c r="C1265" s="527">
        <v>43511</v>
      </c>
      <c r="D1265" s="191" t="s">
        <v>5464</v>
      </c>
      <c r="E1265" s="43" t="s">
        <v>1396</v>
      </c>
      <c r="F1265" s="191" t="s">
        <v>3784</v>
      </c>
      <c r="G1265" s="4" t="s">
        <v>1110</v>
      </c>
      <c r="H1265" s="43" t="s">
        <v>796</v>
      </c>
      <c r="I1265" s="4" t="s">
        <v>1428</v>
      </c>
      <c r="J1265" s="4" t="s">
        <v>268</v>
      </c>
      <c r="K1265" s="4" t="s">
        <v>1158</v>
      </c>
      <c r="L1265" s="4" t="s">
        <v>1836</v>
      </c>
      <c r="M1265" s="43" t="s">
        <v>5465</v>
      </c>
      <c r="N1265" s="255">
        <v>260000</v>
      </c>
      <c r="O1265" s="265">
        <v>60</v>
      </c>
      <c r="P1265" s="270">
        <v>1</v>
      </c>
      <c r="Q1265" s="255">
        <v>156000</v>
      </c>
      <c r="R1265" s="283">
        <v>156000</v>
      </c>
      <c r="S1265" s="283">
        <v>48329</v>
      </c>
      <c r="T1265" s="287">
        <v>0</v>
      </c>
      <c r="U1265" s="287">
        <v>1</v>
      </c>
      <c r="V1265" s="287">
        <v>0</v>
      </c>
      <c r="W1265" s="283">
        <v>15600</v>
      </c>
      <c r="X1265" s="283">
        <v>0</v>
      </c>
      <c r="Y1265" s="199" t="s">
        <v>1392</v>
      </c>
      <c r="Z1265" s="517" t="s">
        <v>5166</v>
      </c>
      <c r="AA1265" s="504"/>
      <c r="AB1265" s="166"/>
    </row>
    <row r="1266" spans="2:28" x14ac:dyDescent="0.15">
      <c r="B1266" s="327" t="s">
        <v>5466</v>
      </c>
      <c r="C1266" s="527">
        <v>43511</v>
      </c>
      <c r="D1266" s="191" t="s">
        <v>5467</v>
      </c>
      <c r="E1266" s="43" t="s">
        <v>1396</v>
      </c>
      <c r="F1266" s="191" t="s">
        <v>3784</v>
      </c>
      <c r="G1266" s="4" t="s">
        <v>1110</v>
      </c>
      <c r="H1266" s="43" t="s">
        <v>796</v>
      </c>
      <c r="I1266" s="4" t="s">
        <v>1428</v>
      </c>
      <c r="J1266" s="4" t="s">
        <v>263</v>
      </c>
      <c r="K1266" s="4" t="s">
        <v>1154</v>
      </c>
      <c r="L1266" s="4" t="s">
        <v>2427</v>
      </c>
      <c r="M1266" s="43" t="s">
        <v>2428</v>
      </c>
      <c r="N1266" s="255">
        <v>250000</v>
      </c>
      <c r="O1266" s="265">
        <v>100</v>
      </c>
      <c r="P1266" s="270">
        <v>-1</v>
      </c>
      <c r="Q1266" s="255">
        <v>250000</v>
      </c>
      <c r="R1266" s="283">
        <v>-250000</v>
      </c>
      <c r="S1266" s="283">
        <v>-58351</v>
      </c>
      <c r="T1266" s="287">
        <v>0</v>
      </c>
      <c r="U1266" s="287">
        <v>-1</v>
      </c>
      <c r="V1266" s="287">
        <v>0</v>
      </c>
      <c r="W1266" s="283">
        <v>-28846</v>
      </c>
      <c r="X1266" s="283">
        <v>0</v>
      </c>
      <c r="Y1266" s="199" t="s">
        <v>1392</v>
      </c>
      <c r="Z1266" s="517" t="s">
        <v>5166</v>
      </c>
      <c r="AA1266" s="504"/>
      <c r="AB1266" s="166"/>
    </row>
    <row r="1267" spans="2:28" x14ac:dyDescent="0.15">
      <c r="B1267" s="327" t="s">
        <v>5468</v>
      </c>
      <c r="C1267" s="527">
        <v>43511</v>
      </c>
      <c r="D1267" s="191" t="s">
        <v>5469</v>
      </c>
      <c r="E1267" s="43" t="s">
        <v>1391</v>
      </c>
      <c r="F1267" s="191" t="s">
        <v>3783</v>
      </c>
      <c r="G1267" s="4" t="s">
        <v>362</v>
      </c>
      <c r="H1267" s="43" t="s">
        <v>695</v>
      </c>
      <c r="I1267" s="4" t="s">
        <v>1506</v>
      </c>
      <c r="J1267" s="4" t="s">
        <v>264</v>
      </c>
      <c r="K1267" s="4" t="s">
        <v>538</v>
      </c>
      <c r="L1267" s="4" t="s">
        <v>5470</v>
      </c>
      <c r="M1267" s="43" t="s">
        <v>5471</v>
      </c>
      <c r="N1267" s="255">
        <v>350000</v>
      </c>
      <c r="O1267" s="265">
        <v>55</v>
      </c>
      <c r="P1267" s="270">
        <v>1</v>
      </c>
      <c r="Q1267" s="255">
        <v>192500</v>
      </c>
      <c r="R1267" s="283">
        <v>192500</v>
      </c>
      <c r="S1267" s="283">
        <v>76280</v>
      </c>
      <c r="T1267" s="287">
        <v>1</v>
      </c>
      <c r="U1267" s="287">
        <v>0</v>
      </c>
      <c r="V1267" s="287">
        <v>0</v>
      </c>
      <c r="W1267" s="283">
        <v>0</v>
      </c>
      <c r="X1267" s="283">
        <v>0</v>
      </c>
      <c r="Y1267" s="199" t="s">
        <v>1395</v>
      </c>
      <c r="Z1267" s="517" t="s">
        <v>5166</v>
      </c>
      <c r="AA1267" s="504"/>
      <c r="AB1267" s="166"/>
    </row>
    <row r="1268" spans="2:28" x14ac:dyDescent="0.15">
      <c r="B1268" s="327" t="s">
        <v>5472</v>
      </c>
      <c r="C1268" s="527">
        <v>43511</v>
      </c>
      <c r="D1268" s="191" t="s">
        <v>5473</v>
      </c>
      <c r="E1268" s="43" t="s">
        <v>1391</v>
      </c>
      <c r="F1268" s="191" t="s">
        <v>3783</v>
      </c>
      <c r="G1268" s="4" t="s">
        <v>362</v>
      </c>
      <c r="H1268" s="43" t="s">
        <v>692</v>
      </c>
      <c r="I1268" s="4" t="s">
        <v>1397</v>
      </c>
      <c r="J1268" s="4" t="s">
        <v>264</v>
      </c>
      <c r="K1268" s="4" t="s">
        <v>538</v>
      </c>
      <c r="L1268" s="4" t="s">
        <v>5474</v>
      </c>
      <c r="M1268" s="43" t="s">
        <v>5475</v>
      </c>
      <c r="N1268" s="255">
        <v>370000</v>
      </c>
      <c r="O1268" s="265">
        <v>55</v>
      </c>
      <c r="P1268" s="270">
        <v>1</v>
      </c>
      <c r="Q1268" s="255">
        <v>203500</v>
      </c>
      <c r="R1268" s="283">
        <v>203500</v>
      </c>
      <c r="S1268" s="283">
        <v>84788</v>
      </c>
      <c r="T1268" s="287">
        <v>1</v>
      </c>
      <c r="U1268" s="287">
        <v>0</v>
      </c>
      <c r="V1268" s="287">
        <v>0</v>
      </c>
      <c r="W1268" s="283">
        <v>0</v>
      </c>
      <c r="X1268" s="283">
        <v>0</v>
      </c>
      <c r="Y1268" s="199" t="s">
        <v>1395</v>
      </c>
      <c r="Z1268" s="517" t="s">
        <v>5166</v>
      </c>
      <c r="AA1268" s="504"/>
      <c r="AB1268" s="166"/>
    </row>
    <row r="1269" spans="2:28" x14ac:dyDescent="0.15">
      <c r="B1269" s="327" t="s">
        <v>5476</v>
      </c>
      <c r="C1269" s="527">
        <v>43511</v>
      </c>
      <c r="D1269" s="191" t="s">
        <v>5477</v>
      </c>
      <c r="E1269" s="43" t="s">
        <v>1391</v>
      </c>
      <c r="F1269" s="191" t="s">
        <v>3783</v>
      </c>
      <c r="G1269" s="4" t="s">
        <v>362</v>
      </c>
      <c r="H1269" s="43" t="s">
        <v>689</v>
      </c>
      <c r="I1269" s="4" t="s">
        <v>1394</v>
      </c>
      <c r="J1269" s="4" t="s">
        <v>270</v>
      </c>
      <c r="K1269" s="4" t="s">
        <v>539</v>
      </c>
      <c r="L1269" s="4" t="s">
        <v>4852</v>
      </c>
      <c r="M1269" s="43" t="s">
        <v>5478</v>
      </c>
      <c r="N1269" s="255">
        <v>328000</v>
      </c>
      <c r="O1269" s="265">
        <v>55</v>
      </c>
      <c r="P1269" s="270">
        <v>1</v>
      </c>
      <c r="Q1269" s="255">
        <v>180400</v>
      </c>
      <c r="R1269" s="283">
        <v>180400</v>
      </c>
      <c r="S1269" s="283">
        <v>63599</v>
      </c>
      <c r="T1269" s="287">
        <v>1</v>
      </c>
      <c r="U1269" s="287">
        <v>0</v>
      </c>
      <c r="V1269" s="287">
        <v>0</v>
      </c>
      <c r="W1269" s="283">
        <v>0</v>
      </c>
      <c r="X1269" s="283">
        <v>0</v>
      </c>
      <c r="Y1269" s="199" t="s">
        <v>1395</v>
      </c>
      <c r="Z1269" s="517" t="s">
        <v>5166</v>
      </c>
      <c r="AA1269" s="504"/>
      <c r="AB1269" s="166"/>
    </row>
    <row r="1270" spans="2:28" x14ac:dyDescent="0.15">
      <c r="B1270" s="327" t="s">
        <v>5479</v>
      </c>
      <c r="C1270" s="527">
        <v>43511</v>
      </c>
      <c r="D1270" s="191" t="s">
        <v>5480</v>
      </c>
      <c r="E1270" s="43" t="s">
        <v>1396</v>
      </c>
      <c r="F1270" s="191" t="s">
        <v>21</v>
      </c>
      <c r="G1270" s="4" t="s">
        <v>50</v>
      </c>
      <c r="H1270" s="43" t="s">
        <v>381</v>
      </c>
      <c r="I1270" s="4" t="s">
        <v>1408</v>
      </c>
      <c r="J1270" s="4" t="s">
        <v>271</v>
      </c>
      <c r="K1270" s="4" t="s">
        <v>1160</v>
      </c>
      <c r="L1270" s="4" t="s">
        <v>4960</v>
      </c>
      <c r="M1270" s="43" t="s">
        <v>5481</v>
      </c>
      <c r="N1270" s="255">
        <v>210000</v>
      </c>
      <c r="O1270" s="265">
        <v>100</v>
      </c>
      <c r="P1270" s="270">
        <v>1</v>
      </c>
      <c r="Q1270" s="255">
        <v>210000</v>
      </c>
      <c r="R1270" s="283">
        <v>210000</v>
      </c>
      <c r="S1270" s="283">
        <v>58060</v>
      </c>
      <c r="T1270" s="287">
        <v>0</v>
      </c>
      <c r="U1270" s="287">
        <v>1</v>
      </c>
      <c r="V1270" s="287">
        <v>0</v>
      </c>
      <c r="W1270" s="283">
        <v>24230</v>
      </c>
      <c r="X1270" s="283">
        <v>0</v>
      </c>
      <c r="Y1270" s="199" t="s">
        <v>1392</v>
      </c>
      <c r="Z1270" s="517" t="s">
        <v>5166</v>
      </c>
      <c r="AA1270" s="504"/>
      <c r="AB1270" s="166"/>
    </row>
    <row r="1271" spans="2:28" x14ac:dyDescent="0.15">
      <c r="B1271" s="327" t="s">
        <v>5482</v>
      </c>
      <c r="C1271" s="527">
        <v>43525</v>
      </c>
      <c r="D1271" s="191" t="s">
        <v>5483</v>
      </c>
      <c r="E1271" s="43" t="s">
        <v>1391</v>
      </c>
      <c r="F1271" s="191" t="s">
        <v>3783</v>
      </c>
      <c r="G1271" s="4" t="s">
        <v>362</v>
      </c>
      <c r="H1271" s="43" t="s">
        <v>689</v>
      </c>
      <c r="I1271" s="4" t="s">
        <v>1394</v>
      </c>
      <c r="J1271" s="4" t="s">
        <v>264</v>
      </c>
      <c r="K1271" s="4" t="s">
        <v>538</v>
      </c>
      <c r="L1271" s="4" t="s">
        <v>5484</v>
      </c>
      <c r="M1271" s="43" t="s">
        <v>5485</v>
      </c>
      <c r="N1271" s="255">
        <v>350000</v>
      </c>
      <c r="O1271" s="265">
        <v>55</v>
      </c>
      <c r="P1271" s="270">
        <v>1</v>
      </c>
      <c r="Q1271" s="255">
        <v>192500</v>
      </c>
      <c r="R1271" s="283">
        <v>192500</v>
      </c>
      <c r="S1271" s="283">
        <v>75288</v>
      </c>
      <c r="T1271" s="287">
        <v>1</v>
      </c>
      <c r="U1271" s="287">
        <v>0</v>
      </c>
      <c r="V1271" s="287">
        <v>0</v>
      </c>
      <c r="W1271" s="283">
        <v>0</v>
      </c>
      <c r="X1271" s="283">
        <v>0</v>
      </c>
      <c r="Y1271" s="199" t="s">
        <v>1395</v>
      </c>
      <c r="Z1271" s="517" t="s">
        <v>5166</v>
      </c>
      <c r="AA1271" s="504"/>
      <c r="AB1271" s="166"/>
    </row>
    <row r="1272" spans="2:28" x14ac:dyDescent="0.15">
      <c r="B1272" s="327" t="s">
        <v>5486</v>
      </c>
      <c r="C1272" s="527">
        <v>43525</v>
      </c>
      <c r="D1272" s="191" t="s">
        <v>5487</v>
      </c>
      <c r="E1272" s="43" t="s">
        <v>1391</v>
      </c>
      <c r="F1272" s="191" t="s">
        <v>3783</v>
      </c>
      <c r="G1272" s="4" t="s">
        <v>362</v>
      </c>
      <c r="H1272" s="43" t="s">
        <v>689</v>
      </c>
      <c r="I1272" s="4" t="s">
        <v>1394</v>
      </c>
      <c r="J1272" s="4" t="s">
        <v>264</v>
      </c>
      <c r="K1272" s="4" t="s">
        <v>538</v>
      </c>
      <c r="L1272" s="4" t="s">
        <v>5488</v>
      </c>
      <c r="M1272" s="43" t="s">
        <v>5489</v>
      </c>
      <c r="N1272" s="255">
        <v>370000</v>
      </c>
      <c r="O1272" s="265">
        <v>55</v>
      </c>
      <c r="P1272" s="270">
        <v>1</v>
      </c>
      <c r="Q1272" s="255">
        <v>203500</v>
      </c>
      <c r="R1272" s="283">
        <v>203500</v>
      </c>
      <c r="S1272" s="283">
        <v>84788</v>
      </c>
      <c r="T1272" s="287">
        <v>1</v>
      </c>
      <c r="U1272" s="287">
        <v>0</v>
      </c>
      <c r="V1272" s="287">
        <v>0</v>
      </c>
      <c r="W1272" s="283">
        <v>0</v>
      </c>
      <c r="X1272" s="283">
        <v>0</v>
      </c>
      <c r="Y1272" s="199" t="s">
        <v>1395</v>
      </c>
      <c r="Z1272" s="517" t="s">
        <v>5543</v>
      </c>
      <c r="AA1272" s="504" t="s">
        <v>1485</v>
      </c>
      <c r="AB1272" s="166"/>
    </row>
    <row r="1273" spans="2:28" x14ac:dyDescent="0.15">
      <c r="B1273" s="327" t="s">
        <v>5492</v>
      </c>
      <c r="C1273" s="527">
        <v>43515</v>
      </c>
      <c r="D1273" s="191" t="s">
        <v>5493</v>
      </c>
      <c r="E1273" s="43" t="s">
        <v>1396</v>
      </c>
      <c r="F1273" s="191" t="s">
        <v>21</v>
      </c>
      <c r="G1273" s="4" t="s">
        <v>50</v>
      </c>
      <c r="H1273" s="43" t="s">
        <v>381</v>
      </c>
      <c r="I1273" s="4" t="s">
        <v>1408</v>
      </c>
      <c r="J1273" s="4" t="s">
        <v>265</v>
      </c>
      <c r="K1273" s="4" t="s">
        <v>1155</v>
      </c>
      <c r="L1273" s="4" t="s">
        <v>5199</v>
      </c>
      <c r="M1273" s="43" t="s">
        <v>5494</v>
      </c>
      <c r="N1273" s="255">
        <v>216000</v>
      </c>
      <c r="O1273" s="265">
        <v>100</v>
      </c>
      <c r="P1273" s="270">
        <v>1</v>
      </c>
      <c r="Q1273" s="255">
        <v>216000</v>
      </c>
      <c r="R1273" s="283">
        <v>216000</v>
      </c>
      <c r="S1273" s="283">
        <v>73995</v>
      </c>
      <c r="T1273" s="287">
        <v>0</v>
      </c>
      <c r="U1273" s="287">
        <v>1</v>
      </c>
      <c r="V1273" s="287">
        <v>0</v>
      </c>
      <c r="W1273" s="283">
        <v>24923</v>
      </c>
      <c r="X1273" s="283">
        <v>0</v>
      </c>
      <c r="Y1273" s="199" t="s">
        <v>1392</v>
      </c>
      <c r="Z1273" s="517" t="s">
        <v>5166</v>
      </c>
      <c r="AA1273" s="504" t="s">
        <v>1485</v>
      </c>
    </row>
    <row r="1274" spans="2:28" x14ac:dyDescent="0.15">
      <c r="B1274" s="327" t="s">
        <v>5495</v>
      </c>
      <c r="C1274" s="527">
        <v>43511</v>
      </c>
      <c r="D1274" s="191" t="s">
        <v>5496</v>
      </c>
      <c r="E1274" s="43" t="s">
        <v>2382</v>
      </c>
      <c r="F1274" s="191" t="s">
        <v>3842</v>
      </c>
      <c r="G1274" s="4" t="s">
        <v>2375</v>
      </c>
      <c r="H1274" s="43"/>
      <c r="I1274" s="4" t="s">
        <v>5497</v>
      </c>
      <c r="J1274" s="4" t="s">
        <v>298</v>
      </c>
      <c r="K1274" s="4" t="s">
        <v>1168</v>
      </c>
      <c r="L1274" s="4" t="s">
        <v>1482</v>
      </c>
      <c r="M1274" s="43"/>
      <c r="N1274" s="255">
        <v>111000</v>
      </c>
      <c r="O1274" s="265">
        <v>100</v>
      </c>
      <c r="P1274" s="270">
        <v>1</v>
      </c>
      <c r="Q1274" s="255">
        <v>111000</v>
      </c>
      <c r="R1274" s="283">
        <v>111000</v>
      </c>
      <c r="S1274" s="283">
        <v>72000</v>
      </c>
      <c r="T1274" s="287">
        <v>0</v>
      </c>
      <c r="U1274" s="287">
        <v>0</v>
      </c>
      <c r="V1274" s="287">
        <v>0</v>
      </c>
      <c r="W1274" s="283">
        <v>0</v>
      </c>
      <c r="X1274" s="283">
        <v>0</v>
      </c>
      <c r="Y1274" s="199" t="s">
        <v>1395</v>
      </c>
      <c r="Z1274" s="517" t="s">
        <v>5547</v>
      </c>
      <c r="AA1274" s="504"/>
    </row>
    <row r="1275" spans="2:28" x14ac:dyDescent="0.15">
      <c r="B1275" s="327" t="s">
        <v>5498</v>
      </c>
      <c r="C1275" s="527">
        <v>43525</v>
      </c>
      <c r="D1275" s="191" t="s">
        <v>5499</v>
      </c>
      <c r="E1275" s="43" t="s">
        <v>1391</v>
      </c>
      <c r="F1275" s="191" t="s">
        <v>3783</v>
      </c>
      <c r="G1275" s="4" t="s">
        <v>362</v>
      </c>
      <c r="H1275" s="43" t="s">
        <v>692</v>
      </c>
      <c r="I1275" s="4" t="s">
        <v>1397</v>
      </c>
      <c r="J1275" s="4" t="s">
        <v>264</v>
      </c>
      <c r="K1275" s="4" t="s">
        <v>538</v>
      </c>
      <c r="L1275" s="190" t="s">
        <v>5501</v>
      </c>
      <c r="M1275" s="43" t="s">
        <v>5500</v>
      </c>
      <c r="N1275" s="255">
        <v>204500</v>
      </c>
      <c r="O1275" s="265">
        <v>100</v>
      </c>
      <c r="P1275" s="270">
        <v>1</v>
      </c>
      <c r="Q1275" s="255">
        <v>204500</v>
      </c>
      <c r="R1275" s="283">
        <v>204500</v>
      </c>
      <c r="S1275" s="283">
        <v>77818</v>
      </c>
      <c r="T1275" s="287">
        <v>1</v>
      </c>
      <c r="U1275" s="287">
        <v>0</v>
      </c>
      <c r="V1275" s="287">
        <v>0</v>
      </c>
      <c r="W1275" s="283">
        <v>0</v>
      </c>
      <c r="X1275" s="283">
        <v>0</v>
      </c>
      <c r="Y1275" s="199" t="s">
        <v>1395</v>
      </c>
      <c r="Z1275" s="517" t="s">
        <v>5543</v>
      </c>
      <c r="AA1275" s="504" t="s">
        <v>1485</v>
      </c>
    </row>
    <row r="1276" spans="2:28" x14ac:dyDescent="0.15">
      <c r="B1276" s="327" t="s">
        <v>5502</v>
      </c>
      <c r="C1276" s="527">
        <v>43516</v>
      </c>
      <c r="D1276" s="191" t="s">
        <v>5503</v>
      </c>
      <c r="E1276" s="43" t="s">
        <v>1391</v>
      </c>
      <c r="F1276" s="191" t="s">
        <v>3783</v>
      </c>
      <c r="G1276" s="4" t="s">
        <v>362</v>
      </c>
      <c r="H1276" s="43" t="s">
        <v>689</v>
      </c>
      <c r="I1276" s="4" t="s">
        <v>1394</v>
      </c>
      <c r="J1276" s="4" t="s">
        <v>301</v>
      </c>
      <c r="K1276" s="4" t="s">
        <v>1214</v>
      </c>
      <c r="L1276" s="4" t="s">
        <v>5504</v>
      </c>
      <c r="M1276" s="43" t="s">
        <v>5505</v>
      </c>
      <c r="N1276" s="255">
        <v>170000</v>
      </c>
      <c r="O1276" s="265">
        <v>100</v>
      </c>
      <c r="P1276" s="270">
        <v>1</v>
      </c>
      <c r="Q1276" s="255">
        <v>170000</v>
      </c>
      <c r="R1276" s="283">
        <v>170000</v>
      </c>
      <c r="S1276" s="283">
        <v>72915</v>
      </c>
      <c r="T1276" s="287">
        <v>1</v>
      </c>
      <c r="U1276" s="287">
        <v>0</v>
      </c>
      <c r="V1276" s="287">
        <v>0</v>
      </c>
      <c r="W1276" s="283">
        <v>0</v>
      </c>
      <c r="X1276" s="283">
        <v>0</v>
      </c>
      <c r="Y1276" s="199" t="s">
        <v>1395</v>
      </c>
      <c r="Z1276" s="517" t="s">
        <v>5532</v>
      </c>
      <c r="AA1276" s="504" t="s">
        <v>1485</v>
      </c>
    </row>
    <row r="1277" spans="2:28" x14ac:dyDescent="0.15">
      <c r="B1277" s="327" t="s">
        <v>5502</v>
      </c>
      <c r="C1277" s="527">
        <v>43516</v>
      </c>
      <c r="D1277" s="191" t="s">
        <v>5503</v>
      </c>
      <c r="E1277" s="43" t="s">
        <v>1391</v>
      </c>
      <c r="F1277" s="191" t="s">
        <v>3783</v>
      </c>
      <c r="G1277" s="4" t="s">
        <v>362</v>
      </c>
      <c r="H1277" s="43" t="s">
        <v>689</v>
      </c>
      <c r="I1277" s="4" t="s">
        <v>1394</v>
      </c>
      <c r="J1277" s="4" t="s">
        <v>301</v>
      </c>
      <c r="K1277" s="4" t="s">
        <v>1214</v>
      </c>
      <c r="L1277" s="4" t="s">
        <v>5506</v>
      </c>
      <c r="M1277" s="191" t="s">
        <v>5509</v>
      </c>
      <c r="N1277" s="255">
        <v>170000</v>
      </c>
      <c r="O1277" s="265">
        <v>100</v>
      </c>
      <c r="P1277" s="270">
        <v>1</v>
      </c>
      <c r="Q1277" s="255">
        <v>170000</v>
      </c>
      <c r="R1277" s="283">
        <v>170000</v>
      </c>
      <c r="S1277" s="283">
        <v>72915</v>
      </c>
      <c r="T1277" s="287">
        <v>1</v>
      </c>
      <c r="U1277" s="287">
        <v>0</v>
      </c>
      <c r="V1277" s="287">
        <v>0</v>
      </c>
      <c r="W1277" s="283">
        <v>0</v>
      </c>
      <c r="X1277" s="283">
        <v>0</v>
      </c>
      <c r="Y1277" s="199" t="s">
        <v>1395</v>
      </c>
      <c r="Z1277" s="517" t="s">
        <v>5166</v>
      </c>
      <c r="AA1277" s="504" t="s">
        <v>1485</v>
      </c>
    </row>
    <row r="1278" spans="2:28" x14ac:dyDescent="0.15">
      <c r="B1278" s="327" t="s">
        <v>5502</v>
      </c>
      <c r="C1278" s="309">
        <v>43516</v>
      </c>
      <c r="D1278" s="191" t="s">
        <v>5503</v>
      </c>
      <c r="E1278" s="191" t="s">
        <v>1391</v>
      </c>
      <c r="F1278" s="191" t="s">
        <v>3783</v>
      </c>
      <c r="G1278" s="190" t="s">
        <v>362</v>
      </c>
      <c r="H1278" s="191" t="s">
        <v>689</v>
      </c>
      <c r="I1278" s="190" t="s">
        <v>1394</v>
      </c>
      <c r="J1278" s="190" t="s">
        <v>301</v>
      </c>
      <c r="K1278" s="190" t="s">
        <v>1214</v>
      </c>
      <c r="L1278" s="190" t="s">
        <v>5507</v>
      </c>
      <c r="M1278" s="191" t="s">
        <v>5508</v>
      </c>
      <c r="N1278" s="256">
        <v>170000</v>
      </c>
      <c r="O1278" s="264">
        <v>100</v>
      </c>
      <c r="P1278" s="271">
        <v>1</v>
      </c>
      <c r="Q1278" s="256">
        <v>170000</v>
      </c>
      <c r="R1278" s="285">
        <v>170000</v>
      </c>
      <c r="S1278" s="285">
        <v>68915</v>
      </c>
      <c r="T1278" s="271">
        <v>1</v>
      </c>
      <c r="U1278" s="271">
        <v>0</v>
      </c>
      <c r="V1278" s="271">
        <v>0</v>
      </c>
      <c r="W1278" s="285">
        <v>0</v>
      </c>
      <c r="X1278" s="285">
        <v>0</v>
      </c>
      <c r="Y1278" s="191" t="s">
        <v>1395</v>
      </c>
      <c r="Z1278" s="190" t="s">
        <v>5542</v>
      </c>
      <c r="AA1278" s="533" t="s">
        <v>1485</v>
      </c>
    </row>
    <row r="1279" spans="2:28" x14ac:dyDescent="0.15">
      <c r="B1279" s="327" t="s">
        <v>5510</v>
      </c>
      <c r="C1279" s="527">
        <v>43518</v>
      </c>
      <c r="D1279" s="191" t="s">
        <v>5511</v>
      </c>
      <c r="E1279" s="43" t="s">
        <v>1396</v>
      </c>
      <c r="F1279" s="191" t="s">
        <v>21</v>
      </c>
      <c r="G1279" s="4" t="s">
        <v>50</v>
      </c>
      <c r="H1279" s="43" t="s">
        <v>381</v>
      </c>
      <c r="I1279" s="4" t="s">
        <v>1408</v>
      </c>
      <c r="J1279" s="4" t="s">
        <v>293</v>
      </c>
      <c r="K1279" s="4" t="s">
        <v>1164</v>
      </c>
      <c r="L1279" s="4" t="s">
        <v>2739</v>
      </c>
      <c r="M1279" s="43" t="s">
        <v>5512</v>
      </c>
      <c r="N1279" s="255">
        <v>475000</v>
      </c>
      <c r="O1279" s="265">
        <v>60</v>
      </c>
      <c r="P1279" s="270">
        <v>1</v>
      </c>
      <c r="Q1279" s="255">
        <v>285000</v>
      </c>
      <c r="R1279" s="283">
        <v>285000</v>
      </c>
      <c r="S1279" s="283">
        <v>65120</v>
      </c>
      <c r="T1279" s="287">
        <v>0</v>
      </c>
      <c r="U1279" s="287">
        <v>1</v>
      </c>
      <c r="V1279" s="287">
        <v>0</v>
      </c>
      <c r="W1279" s="283">
        <v>28500</v>
      </c>
      <c r="X1279" s="283">
        <v>0</v>
      </c>
      <c r="Y1279" s="199" t="s">
        <v>1392</v>
      </c>
      <c r="Z1279" s="517" t="s">
        <v>5543</v>
      </c>
      <c r="AA1279" s="504" t="s">
        <v>1485</v>
      </c>
    </row>
    <row r="1280" spans="2:28" x14ac:dyDescent="0.15">
      <c r="B1280" s="327" t="s">
        <v>5513</v>
      </c>
      <c r="C1280" s="527">
        <v>43518</v>
      </c>
      <c r="D1280" s="191" t="s">
        <v>5514</v>
      </c>
      <c r="E1280" s="43" t="s">
        <v>1396</v>
      </c>
      <c r="F1280" s="191" t="s">
        <v>21</v>
      </c>
      <c r="G1280" s="4" t="s">
        <v>50</v>
      </c>
      <c r="H1280" s="43" t="s">
        <v>381</v>
      </c>
      <c r="I1280" s="4" t="s">
        <v>1408</v>
      </c>
      <c r="J1280" s="4" t="s">
        <v>272</v>
      </c>
      <c r="K1280" s="4" t="s">
        <v>363</v>
      </c>
      <c r="L1280" s="4" t="s">
        <v>2043</v>
      </c>
      <c r="M1280" s="43" t="s">
        <v>5515</v>
      </c>
      <c r="N1280" s="255">
        <v>186000</v>
      </c>
      <c r="O1280" s="265">
        <v>100</v>
      </c>
      <c r="P1280" s="270">
        <v>1</v>
      </c>
      <c r="Q1280" s="255">
        <v>186000</v>
      </c>
      <c r="R1280" s="283">
        <v>186000</v>
      </c>
      <c r="S1280" s="283">
        <v>40531</v>
      </c>
      <c r="T1280" s="287">
        <v>0</v>
      </c>
      <c r="U1280" s="287">
        <v>1</v>
      </c>
      <c r="V1280" s="287">
        <v>0</v>
      </c>
      <c r="W1280" s="283">
        <v>21461</v>
      </c>
      <c r="X1280" s="283">
        <v>0</v>
      </c>
      <c r="Y1280" s="199" t="s">
        <v>1392</v>
      </c>
      <c r="Z1280" s="517" t="s">
        <v>5166</v>
      </c>
      <c r="AA1280" s="504" t="s">
        <v>1485</v>
      </c>
    </row>
    <row r="1281" spans="2:27" x14ac:dyDescent="0.15">
      <c r="B1281" s="327" t="s">
        <v>5516</v>
      </c>
      <c r="C1281" s="527">
        <v>43516</v>
      </c>
      <c r="D1281" s="191" t="s">
        <v>5517</v>
      </c>
      <c r="E1281" s="43" t="s">
        <v>1391</v>
      </c>
      <c r="F1281" s="191" t="s">
        <v>3786</v>
      </c>
      <c r="G1281" s="4" t="s">
        <v>364</v>
      </c>
      <c r="H1281" s="43" t="s">
        <v>432</v>
      </c>
      <c r="I1281" s="4" t="s">
        <v>375</v>
      </c>
      <c r="J1281" s="4" t="s">
        <v>299</v>
      </c>
      <c r="K1281" s="4" t="s">
        <v>373</v>
      </c>
      <c r="L1281" s="4" t="s">
        <v>1860</v>
      </c>
      <c r="M1281" s="43"/>
      <c r="N1281" s="255">
        <v>4000</v>
      </c>
      <c r="O1281" s="265">
        <v>100</v>
      </c>
      <c r="P1281" s="270">
        <v>1</v>
      </c>
      <c r="Q1281" s="255">
        <v>4000</v>
      </c>
      <c r="R1281" s="283">
        <v>4000</v>
      </c>
      <c r="S1281" s="283">
        <v>1078</v>
      </c>
      <c r="T1281" s="287">
        <v>0</v>
      </c>
      <c r="U1281" s="287">
        <v>0</v>
      </c>
      <c r="V1281" s="287">
        <v>0</v>
      </c>
      <c r="W1281" s="283">
        <v>2922</v>
      </c>
      <c r="X1281" s="283">
        <v>0</v>
      </c>
      <c r="Y1281" s="199" t="s">
        <v>1392</v>
      </c>
      <c r="Z1281" s="517" t="s">
        <v>5166</v>
      </c>
      <c r="AA1281" s="504" t="s">
        <v>1485</v>
      </c>
    </row>
    <row r="1282" spans="2:27" x14ac:dyDescent="0.15">
      <c r="B1282" s="327" t="s">
        <v>5518</v>
      </c>
      <c r="C1282" s="527">
        <v>43518</v>
      </c>
      <c r="D1282" s="191" t="s">
        <v>5519</v>
      </c>
      <c r="E1282" s="43" t="s">
        <v>1396</v>
      </c>
      <c r="F1282" s="191" t="s">
        <v>3863</v>
      </c>
      <c r="G1282" s="4" t="s">
        <v>322</v>
      </c>
      <c r="H1282" s="43"/>
      <c r="I1282" s="4"/>
      <c r="J1282" s="4" t="s">
        <v>297</v>
      </c>
      <c r="K1282" s="4" t="s">
        <v>369</v>
      </c>
      <c r="L1282" s="4" t="s">
        <v>5520</v>
      </c>
      <c r="M1282" s="43"/>
      <c r="N1282" s="255">
        <v>200</v>
      </c>
      <c r="O1282" s="265">
        <v>50</v>
      </c>
      <c r="P1282" s="270">
        <v>200</v>
      </c>
      <c r="Q1282" s="255">
        <v>100</v>
      </c>
      <c r="R1282" s="283">
        <v>20000</v>
      </c>
      <c r="S1282" s="283">
        <v>11400</v>
      </c>
      <c r="T1282" s="287">
        <v>0</v>
      </c>
      <c r="U1282" s="287">
        <v>0</v>
      </c>
      <c r="V1282" s="287">
        <v>0</v>
      </c>
      <c r="W1282" s="283">
        <v>3000</v>
      </c>
      <c r="X1282" s="283">
        <v>0</v>
      </c>
      <c r="Y1282" s="199" t="s">
        <v>1392</v>
      </c>
      <c r="Z1282" s="517" t="s">
        <v>5167</v>
      </c>
      <c r="AA1282" s="504" t="s">
        <v>1485</v>
      </c>
    </row>
    <row r="1283" spans="2:27" ht="14.25" thickBot="1" x14ac:dyDescent="0.2">
      <c r="B1283" s="494" t="s">
        <v>5525</v>
      </c>
      <c r="C1283" s="534">
        <v>43516</v>
      </c>
      <c r="D1283" s="495" t="s">
        <v>5526</v>
      </c>
      <c r="E1283" s="535" t="s">
        <v>1396</v>
      </c>
      <c r="F1283" s="495" t="s">
        <v>21</v>
      </c>
      <c r="G1283" s="536" t="s">
        <v>50</v>
      </c>
      <c r="H1283" s="535" t="s">
        <v>2685</v>
      </c>
      <c r="I1283" s="536" t="s">
        <v>2376</v>
      </c>
      <c r="J1283" s="536"/>
      <c r="K1283" s="536"/>
      <c r="L1283" s="536" t="s">
        <v>3610</v>
      </c>
      <c r="M1283" s="535"/>
      <c r="N1283" s="537">
        <v>-82746</v>
      </c>
      <c r="O1283" s="538">
        <v>100</v>
      </c>
      <c r="P1283" s="539">
        <v>-1</v>
      </c>
      <c r="Q1283" s="537">
        <v>-82746</v>
      </c>
      <c r="R1283" s="540">
        <v>-82746</v>
      </c>
      <c r="S1283" s="540">
        <v>-74472</v>
      </c>
      <c r="T1283" s="541">
        <v>0</v>
      </c>
      <c r="U1283" s="541">
        <v>0</v>
      </c>
      <c r="V1283" s="541">
        <v>0</v>
      </c>
      <c r="W1283" s="540">
        <v>-8274</v>
      </c>
      <c r="X1283" s="540">
        <v>0</v>
      </c>
      <c r="Y1283" s="542" t="s">
        <v>1392</v>
      </c>
      <c r="Z1283" s="543" t="s">
        <v>5563</v>
      </c>
      <c r="AA1283" s="544"/>
    </row>
  </sheetData>
  <sortState xmlns:xlrd2="http://schemas.microsoft.com/office/spreadsheetml/2017/richdata2" ref="B5:Z1672">
    <sortCondition ref="C4"/>
  </sortState>
  <mergeCells count="7">
    <mergeCell ref="D2:E2"/>
    <mergeCell ref="Y2:Z2"/>
    <mergeCell ref="Y1:Z1"/>
    <mergeCell ref="J1:K1"/>
    <mergeCell ref="J2:K2"/>
    <mergeCell ref="T1:U1"/>
    <mergeCell ref="T2:U2"/>
  </mergeCells>
  <phoneticPr fontId="2"/>
  <dataValidations disablePrompts="1" count="1">
    <dataValidation type="list" allowBlank="1" showInputMessage="1" showErrorMessage="1" sqref="F4 AA1:AB1" xr:uid="{00000000-0002-0000-0100-000000000000}">
      <formula1>#REF!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9" r:id="rId4" name="CommandButton10">
          <controlPr defaultSize="0" autoLine="0" r:id="rId5">
            <anchor moveWithCells="1">
              <from>
                <xdr:col>50</xdr:col>
                <xdr:colOff>466725</xdr:colOff>
                <xdr:row>1</xdr:row>
                <xdr:rowOff>47625</xdr:rowOff>
              </from>
              <to>
                <xdr:col>53</xdr:col>
                <xdr:colOff>323850</xdr:colOff>
                <xdr:row>2</xdr:row>
                <xdr:rowOff>114300</xdr:rowOff>
              </to>
            </anchor>
          </controlPr>
        </control>
      </mc:Choice>
      <mc:Fallback>
        <control shapeId="2069" r:id="rId4" name="CommandButton10"/>
      </mc:Fallback>
    </mc:AlternateContent>
    <mc:AlternateContent xmlns:mc="http://schemas.openxmlformats.org/markup-compatibility/2006">
      <mc:Choice Requires="x14">
        <control shapeId="2068" r:id="rId6" name="CommandButton9">
          <controlPr defaultSize="0" autoLine="0" autoPict="0" r:id="rId7">
            <anchor moveWithCells="1">
              <from>
                <xdr:col>30</xdr:col>
                <xdr:colOff>57150</xdr:colOff>
                <xdr:row>2</xdr:row>
                <xdr:rowOff>76200</xdr:rowOff>
              </from>
              <to>
                <xdr:col>30</xdr:col>
                <xdr:colOff>1095375</xdr:colOff>
                <xdr:row>3</xdr:row>
                <xdr:rowOff>180975</xdr:rowOff>
              </to>
            </anchor>
          </controlPr>
        </control>
      </mc:Choice>
      <mc:Fallback>
        <control shapeId="2068" r:id="rId6" name="CommandButton9"/>
      </mc:Fallback>
    </mc:AlternateContent>
    <mc:AlternateContent xmlns:mc="http://schemas.openxmlformats.org/markup-compatibility/2006">
      <mc:Choice Requires="x14">
        <control shapeId="2064" r:id="rId8" name="CommandButton6">
          <controlPr defaultSize="0" autoLine="0" r:id="rId9">
            <anchor moveWithCells="1">
              <from>
                <xdr:col>46</xdr:col>
                <xdr:colOff>447675</xdr:colOff>
                <xdr:row>1</xdr:row>
                <xdr:rowOff>19050</xdr:rowOff>
              </from>
              <to>
                <xdr:col>48</xdr:col>
                <xdr:colOff>247650</xdr:colOff>
                <xdr:row>2</xdr:row>
                <xdr:rowOff>85725</xdr:rowOff>
              </to>
            </anchor>
          </controlPr>
        </control>
      </mc:Choice>
      <mc:Fallback>
        <control shapeId="2064" r:id="rId8" name="CommandButton6"/>
      </mc:Fallback>
    </mc:AlternateContent>
    <mc:AlternateContent xmlns:mc="http://schemas.openxmlformats.org/markup-compatibility/2006">
      <mc:Choice Requires="x14">
        <control shapeId="2056" r:id="rId10" name="CommandButton4">
          <controlPr autoLine="0" autoPict="0" r:id="rId11">
            <anchor moveWithCells="1">
              <from>
                <xdr:col>5</xdr:col>
                <xdr:colOff>247650</xdr:colOff>
                <xdr:row>1</xdr:row>
                <xdr:rowOff>0</xdr:rowOff>
              </from>
              <to>
                <xdr:col>6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2056" r:id="rId10" name="CommandButton4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r:id="rId13">
            <anchor moveWithCells="1">
              <from>
                <xdr:col>16</xdr:col>
                <xdr:colOff>371475</xdr:colOff>
                <xdr:row>0</xdr:row>
                <xdr:rowOff>114300</xdr:rowOff>
              </from>
              <to>
                <xdr:col>17</xdr:col>
                <xdr:colOff>561975</xdr:colOff>
                <xdr:row>1</xdr:row>
                <xdr:rowOff>152400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1">
          <controlPr defaultSize="0" autoLine="0" r:id="rId15">
            <anchor moveWithCells="1">
              <from>
                <xdr:col>11</xdr:col>
                <xdr:colOff>304800</xdr:colOff>
                <xdr:row>1</xdr:row>
                <xdr:rowOff>0</xdr:rowOff>
              </from>
              <to>
                <xdr:col>11</xdr:col>
                <xdr:colOff>1419225</xdr:colOff>
                <xdr:row>2</xdr:row>
                <xdr:rowOff>38100</xdr:rowOff>
              </to>
            </anchor>
          </controlPr>
        </control>
      </mc:Choice>
      <mc:Fallback>
        <control shapeId="2049" r:id="rId14" name="CommandButton1"/>
      </mc:Fallback>
    </mc:AlternateContent>
    <mc:AlternateContent xmlns:mc="http://schemas.openxmlformats.org/markup-compatibility/2006">
      <mc:Choice Requires="x14">
        <control shapeId="2055" r:id="rId16" name="CommandButton5">
          <controlPr autoLine="0" r:id="rId17">
            <anchor moveWithCells="1">
              <from>
                <xdr:col>6</xdr:col>
                <xdr:colOff>1590675</xdr:colOff>
                <xdr:row>0</xdr:row>
                <xdr:rowOff>190500</xdr:rowOff>
              </from>
              <to>
                <xdr:col>6</xdr:col>
                <xdr:colOff>2257425</xdr:colOff>
                <xdr:row>2</xdr:row>
                <xdr:rowOff>38100</xdr:rowOff>
              </to>
            </anchor>
          </controlPr>
        </control>
      </mc:Choice>
      <mc:Fallback>
        <control shapeId="2055" r:id="rId16" name="CommandButton5"/>
      </mc:Fallback>
    </mc:AlternateContent>
    <mc:AlternateContent xmlns:mc="http://schemas.openxmlformats.org/markup-compatibility/2006">
      <mc:Choice Requires="x14">
        <control shapeId="2065" r:id="rId18" name="CommandButton3">
          <controlPr defaultSize="0" autoLine="0" r:id="rId19">
            <anchor moveWithCells="1">
              <from>
                <xdr:col>49</xdr:col>
                <xdr:colOff>28575</xdr:colOff>
                <xdr:row>1</xdr:row>
                <xdr:rowOff>123825</xdr:rowOff>
              </from>
              <to>
                <xdr:col>50</xdr:col>
                <xdr:colOff>323850</xdr:colOff>
                <xdr:row>2</xdr:row>
                <xdr:rowOff>152400</xdr:rowOff>
              </to>
            </anchor>
          </controlPr>
        </control>
      </mc:Choice>
      <mc:Fallback>
        <control shapeId="2065" r:id="rId18" name="CommandButton3"/>
      </mc:Fallback>
    </mc:AlternateContent>
    <mc:AlternateContent xmlns:mc="http://schemas.openxmlformats.org/markup-compatibility/2006">
      <mc:Choice Requires="x14">
        <control shapeId="2067" r:id="rId20" name="CommandButton8">
          <controlPr defaultSize="0" autoLine="0" r:id="rId21">
            <anchor moveWithCells="1">
              <from>
                <xdr:col>28</xdr:col>
                <xdr:colOff>123825</xdr:colOff>
                <xdr:row>2</xdr:row>
                <xdr:rowOff>104775</xdr:rowOff>
              </from>
              <to>
                <xdr:col>29</xdr:col>
                <xdr:colOff>1085850</xdr:colOff>
                <xdr:row>3</xdr:row>
                <xdr:rowOff>190500</xdr:rowOff>
              </to>
            </anchor>
          </controlPr>
        </control>
      </mc:Choice>
      <mc:Fallback>
        <control shapeId="2067" r:id="rId20" name="CommandButton8"/>
      </mc:Fallback>
    </mc:AlternateContent>
    <mc:AlternateContent xmlns:mc="http://schemas.openxmlformats.org/markup-compatibility/2006">
      <mc:Choice Requires="x14">
        <control shapeId="2070" r:id="rId22" name="CommandButton11">
          <controlPr defaultSize="0" autoLine="0" autoPict="0" r:id="rId23">
            <anchor moveWithCells="1">
              <from>
                <xdr:col>6</xdr:col>
                <xdr:colOff>828675</xdr:colOff>
                <xdr:row>0</xdr:row>
                <xdr:rowOff>190500</xdr:rowOff>
              </from>
              <to>
                <xdr:col>6</xdr:col>
                <xdr:colOff>1485900</xdr:colOff>
                <xdr:row>2</xdr:row>
                <xdr:rowOff>47625</xdr:rowOff>
              </to>
            </anchor>
          </controlPr>
        </control>
      </mc:Choice>
      <mc:Fallback>
        <control shapeId="2070" r:id="rId22" name="CommandButton11"/>
      </mc:Fallback>
    </mc:AlternateContent>
    <mc:AlternateContent xmlns:mc="http://schemas.openxmlformats.org/markup-compatibility/2006">
      <mc:Choice Requires="x14">
        <control shapeId="2071" r:id="rId24" name="CommandButton12">
          <controlPr defaultSize="0" autoLine="0" r:id="rId25">
            <anchor moveWithCells="1">
              <from>
                <xdr:col>32</xdr:col>
                <xdr:colOff>142875</xdr:colOff>
                <xdr:row>2</xdr:row>
                <xdr:rowOff>95250</xdr:rowOff>
              </from>
              <to>
                <xdr:col>33</xdr:col>
                <xdr:colOff>66675</xdr:colOff>
                <xdr:row>3</xdr:row>
                <xdr:rowOff>161925</xdr:rowOff>
              </to>
            </anchor>
          </controlPr>
        </control>
      </mc:Choice>
      <mc:Fallback>
        <control shapeId="2071" r:id="rId24" name="CommandButton12"/>
      </mc:Fallback>
    </mc:AlternateContent>
    <mc:AlternateContent xmlns:mc="http://schemas.openxmlformats.org/markup-compatibility/2006">
      <mc:Choice Requires="x14">
        <control shapeId="2072" r:id="rId26" name="CommandButton7">
          <controlPr defaultSize="0" autoLine="0" r:id="rId27">
            <anchor moveWithCells="1">
              <from>
                <xdr:col>34</xdr:col>
                <xdr:colOff>95250</xdr:colOff>
                <xdr:row>2</xdr:row>
                <xdr:rowOff>95250</xdr:rowOff>
              </from>
              <to>
                <xdr:col>35</xdr:col>
                <xdr:colOff>733425</xdr:colOff>
                <xdr:row>3</xdr:row>
                <xdr:rowOff>190500</xdr:rowOff>
              </to>
            </anchor>
          </controlPr>
        </control>
      </mc:Choice>
      <mc:Fallback>
        <control shapeId="2072" r:id="rId26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2:J18"/>
  <sheetViews>
    <sheetView workbookViewId="0">
      <selection activeCell="H11" sqref="H11"/>
    </sheetView>
  </sheetViews>
  <sheetFormatPr defaultRowHeight="13.5" x14ac:dyDescent="0.15"/>
  <cols>
    <col min="2" max="2" width="12.375" customWidth="1"/>
    <col min="3" max="3" width="9" bestFit="1" customWidth="1"/>
    <col min="8" max="8" width="96.5" customWidth="1"/>
    <col min="9" max="9" width="13.875" customWidth="1"/>
    <col min="10" max="10" width="10" bestFit="1" customWidth="1"/>
  </cols>
  <sheetData>
    <row r="2" spans="2:10" x14ac:dyDescent="0.15">
      <c r="B2" t="s">
        <v>5165</v>
      </c>
      <c r="I2" t="s">
        <v>5159</v>
      </c>
    </row>
    <row r="3" spans="2:10" ht="14.25" thickBot="1" x14ac:dyDescent="0.2"/>
    <row r="4" spans="2:10" ht="14.25" thickBot="1" x14ac:dyDescent="0.2">
      <c r="B4" s="478" t="s">
        <v>5150</v>
      </c>
      <c r="C4" s="479" t="s">
        <v>766</v>
      </c>
      <c r="I4" s="551" t="s">
        <v>5150</v>
      </c>
      <c r="J4" s="552" t="s">
        <v>5564</v>
      </c>
    </row>
    <row r="5" spans="2:10" ht="14.25" thickBot="1" x14ac:dyDescent="0.2">
      <c r="B5" s="496" t="s">
        <v>5160</v>
      </c>
      <c r="C5" s="514">
        <v>0</v>
      </c>
      <c r="I5" s="551" t="s">
        <v>5151</v>
      </c>
      <c r="J5" s="553">
        <v>710400</v>
      </c>
    </row>
    <row r="6" spans="2:10" ht="14.25" thickBot="1" x14ac:dyDescent="0.2">
      <c r="B6" s="496" t="s">
        <v>5161</v>
      </c>
      <c r="C6" s="514">
        <v>225000</v>
      </c>
      <c r="I6" s="551" t="s">
        <v>5152</v>
      </c>
      <c r="J6" s="553">
        <v>548875</v>
      </c>
    </row>
    <row r="7" spans="2:10" ht="14.25" thickBot="1" x14ac:dyDescent="0.2">
      <c r="B7" s="496" t="s">
        <v>5162</v>
      </c>
      <c r="C7" s="514">
        <v>1633770</v>
      </c>
      <c r="I7" s="551" t="s">
        <v>5153</v>
      </c>
      <c r="J7" s="553">
        <v>44921048</v>
      </c>
    </row>
    <row r="8" spans="2:10" ht="14.25" thickBot="1" x14ac:dyDescent="0.2">
      <c r="B8" s="496" t="s">
        <v>5163</v>
      </c>
      <c r="C8" s="514">
        <v>0</v>
      </c>
      <c r="I8" s="551" t="s">
        <v>5156</v>
      </c>
      <c r="J8" s="553">
        <v>541000</v>
      </c>
    </row>
    <row r="9" spans="2:10" ht="14.25" thickBot="1" x14ac:dyDescent="0.2">
      <c r="B9" s="496" t="s">
        <v>5528</v>
      </c>
      <c r="C9" s="514">
        <v>0</v>
      </c>
      <c r="I9" s="554" t="s">
        <v>5531</v>
      </c>
      <c r="J9" s="553">
        <v>3273100</v>
      </c>
    </row>
    <row r="10" spans="2:10" ht="14.25" thickBot="1" x14ac:dyDescent="0.2">
      <c r="B10" s="496" t="s">
        <v>5529</v>
      </c>
      <c r="C10" s="514">
        <v>0</v>
      </c>
      <c r="I10" s="496" t="s">
        <v>5529</v>
      </c>
      <c r="J10" s="553">
        <v>1280800</v>
      </c>
    </row>
    <row r="11" spans="2:10" ht="14.25" thickBot="1" x14ac:dyDescent="0.2">
      <c r="B11" s="496" t="s">
        <v>5157</v>
      </c>
      <c r="C11" s="514">
        <v>1683200</v>
      </c>
      <c r="I11" s="551" t="s">
        <v>5157</v>
      </c>
      <c r="J11" s="553">
        <v>10821625</v>
      </c>
    </row>
    <row r="12" spans="2:10" ht="14.25" thickBot="1" x14ac:dyDescent="0.2">
      <c r="B12" s="550" t="s">
        <v>5530</v>
      </c>
      <c r="C12" s="514">
        <v>0</v>
      </c>
      <c r="I12" s="552" t="s">
        <v>5527</v>
      </c>
      <c r="J12" s="553">
        <v>1189000</v>
      </c>
    </row>
    <row r="13" spans="2:10" ht="14.25" thickBot="1" x14ac:dyDescent="0.2">
      <c r="B13" s="496" t="s">
        <v>5154</v>
      </c>
      <c r="C13" s="514">
        <v>724825</v>
      </c>
      <c r="I13" s="552" t="s">
        <v>5154</v>
      </c>
      <c r="J13" s="553">
        <v>3322450</v>
      </c>
    </row>
    <row r="14" spans="2:10" ht="14.25" thickBot="1" x14ac:dyDescent="0.2">
      <c r="B14" s="496" t="s">
        <v>5164</v>
      </c>
      <c r="C14" s="514">
        <v>0</v>
      </c>
      <c r="I14" s="551" t="s">
        <v>5164</v>
      </c>
      <c r="J14" s="553">
        <v>5488911</v>
      </c>
    </row>
    <row r="15" spans="2:10" ht="14.25" thickBot="1" x14ac:dyDescent="0.2">
      <c r="B15" s="497" t="s">
        <v>344</v>
      </c>
      <c r="C15" s="515">
        <v>71666</v>
      </c>
      <c r="I15" s="554" t="s">
        <v>5452</v>
      </c>
      <c r="J15" s="551">
        <v>1991666</v>
      </c>
    </row>
    <row r="17" spans="10:10" x14ac:dyDescent="0.15">
      <c r="J17" s="25">
        <v>43132</v>
      </c>
    </row>
    <row r="18" spans="10:10" x14ac:dyDescent="0.15">
      <c r="J18" s="25">
        <v>43496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3729" r:id="rId4" name="CommandButton1">
          <controlPr defaultSize="0" autoLine="0" r:id="rId5">
            <anchor moveWithCells="1">
              <from>
                <xdr:col>1</xdr:col>
                <xdr:colOff>0</xdr:colOff>
                <xdr:row>19</xdr:row>
                <xdr:rowOff>28575</xdr:rowOff>
              </from>
              <to>
                <xdr:col>2</xdr:col>
                <xdr:colOff>266700</xdr:colOff>
                <xdr:row>21</xdr:row>
                <xdr:rowOff>9525</xdr:rowOff>
              </to>
            </anchor>
          </controlPr>
        </control>
      </mc:Choice>
      <mc:Fallback>
        <control shapeId="73729" r:id="rId4" name="CommandButton1"/>
      </mc:Fallback>
    </mc:AlternateContent>
    <mc:AlternateContent xmlns:mc="http://schemas.openxmlformats.org/markup-compatibility/2006">
      <mc:Choice Requires="x14">
        <control shapeId="73731" r:id="rId6" name="CommandButton2">
          <controlPr defaultSize="0" autoLine="0" r:id="rId7">
            <anchor moveWithCells="1">
              <from>
                <xdr:col>8</xdr:col>
                <xdr:colOff>47625</xdr:colOff>
                <xdr:row>19</xdr:row>
                <xdr:rowOff>19050</xdr:rowOff>
              </from>
              <to>
                <xdr:col>9</xdr:col>
                <xdr:colOff>200025</xdr:colOff>
                <xdr:row>21</xdr:row>
                <xdr:rowOff>0</xdr:rowOff>
              </to>
            </anchor>
          </controlPr>
        </control>
      </mc:Choice>
      <mc:Fallback>
        <control shapeId="73731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EP141"/>
  <sheetViews>
    <sheetView topLeftCell="A31" zoomScale="120" zoomScaleNormal="120" workbookViewId="0">
      <selection activeCell="AH10" sqref="AH10:AL10"/>
    </sheetView>
  </sheetViews>
  <sheetFormatPr defaultRowHeight="13.5" x14ac:dyDescent="0.15"/>
  <cols>
    <col min="1" max="1" width="2.625" customWidth="1"/>
    <col min="2" max="2" width="7" style="44" customWidth="1"/>
    <col min="3" max="3" width="33.5" customWidth="1"/>
    <col min="4" max="4" width="8.875" customWidth="1"/>
    <col min="5" max="5" width="50.625" customWidth="1"/>
    <col min="6" max="6" width="27.125" style="90" customWidth="1"/>
    <col min="7" max="7" width="6.375" customWidth="1"/>
    <col min="8" max="8" width="25.875" customWidth="1"/>
    <col min="9" max="9" width="2.5" customWidth="1"/>
    <col min="10" max="10" width="7.875" customWidth="1"/>
    <col min="11" max="11" width="26.625" customWidth="1"/>
    <col min="12" max="12" width="8.875" customWidth="1"/>
    <col min="13" max="13" width="29.875" customWidth="1"/>
    <col min="14" max="14" width="20.875" customWidth="1"/>
    <col min="15" max="15" width="2.625" customWidth="1"/>
    <col min="16" max="16" width="5.125" customWidth="1"/>
    <col min="17" max="17" width="18.625" customWidth="1"/>
    <col min="18" max="18" width="11.5" customWidth="1"/>
    <col min="19" max="19" width="27.125" customWidth="1"/>
    <col min="20" max="20" width="30.375" customWidth="1"/>
    <col min="21" max="21" width="3.625" customWidth="1"/>
    <col min="22" max="22" width="8" customWidth="1"/>
    <col min="23" max="23" width="20.125" customWidth="1"/>
    <col min="24" max="24" width="10.875" customWidth="1"/>
    <col min="25" max="25" width="39" customWidth="1"/>
    <col min="26" max="26" width="20.875" customWidth="1"/>
    <col min="27" max="27" width="1.875" customWidth="1"/>
    <col min="28" max="28" width="5.375" customWidth="1"/>
    <col min="29" max="29" width="28.125" customWidth="1"/>
    <col min="30" max="30" width="9" customWidth="1"/>
    <col min="31" max="31" width="38.125" customWidth="1"/>
    <col min="32" max="32" width="52.125" customWidth="1"/>
    <col min="33" max="33" width="2.125" customWidth="1"/>
    <col min="34" max="34" width="5.625" customWidth="1"/>
    <col min="35" max="35" width="17" customWidth="1"/>
    <col min="36" max="36" width="9.125" customWidth="1"/>
    <col min="37" max="37" width="25.125" customWidth="1"/>
    <col min="38" max="38" width="15.875" customWidth="1"/>
    <col min="39" max="39" width="2.375" customWidth="1"/>
    <col min="40" max="40" width="5.5" customWidth="1"/>
    <col min="41" max="41" width="13.125" customWidth="1"/>
    <col min="43" max="43" width="26.625" customWidth="1"/>
    <col min="44" max="44" width="10.125" customWidth="1"/>
    <col min="45" max="45" width="1.375" customWidth="1"/>
    <col min="46" max="46" width="5.5" customWidth="1"/>
    <col min="47" max="47" width="10.875" customWidth="1"/>
    <col min="49" max="49" width="24.625" customWidth="1"/>
    <col min="50" max="50" width="21.5" customWidth="1"/>
    <col min="51" max="51" width="1.625" customWidth="1"/>
    <col min="52" max="52" width="4.625" customWidth="1"/>
    <col min="53" max="53" width="19.125" customWidth="1"/>
    <col min="55" max="55" width="28.375" customWidth="1"/>
    <col min="56" max="56" width="13.875" customWidth="1"/>
    <col min="57" max="57" width="1.875" customWidth="1"/>
    <col min="58" max="58" width="5.125" customWidth="1"/>
    <col min="59" max="59" width="12" customWidth="1"/>
    <col min="61" max="61" width="23.5" customWidth="1"/>
    <col min="62" max="62" width="33.125" customWidth="1"/>
    <col min="63" max="63" width="1.875" customWidth="1"/>
    <col min="64" max="64" width="5.5" customWidth="1"/>
    <col min="65" max="65" width="21.125" customWidth="1"/>
    <col min="67" max="67" width="25.5" customWidth="1"/>
    <col min="68" max="68" width="32.625" customWidth="1"/>
    <col min="69" max="69" width="2.375" customWidth="1"/>
    <col min="70" max="70" width="5.125" customWidth="1"/>
    <col min="71" max="71" width="14" customWidth="1"/>
    <col min="73" max="73" width="29.375" customWidth="1"/>
    <col min="74" max="74" width="17.875" customWidth="1"/>
    <col min="75" max="75" width="1.125" customWidth="1"/>
    <col min="76" max="76" width="4.875" customWidth="1"/>
    <col min="77" max="77" width="12.875" customWidth="1"/>
    <col min="79" max="79" width="19.875" customWidth="1"/>
    <col min="80" max="80" width="17.5" customWidth="1"/>
    <col min="81" max="81" width="1.375" customWidth="1"/>
    <col min="82" max="82" width="5.5" customWidth="1"/>
    <col min="83" max="83" width="14.875" customWidth="1"/>
    <col min="85" max="85" width="21.875" customWidth="1"/>
    <col min="86" max="86" width="18.5" customWidth="1"/>
    <col min="87" max="87" width="2.375" customWidth="1"/>
    <col min="88" max="88" width="5.625" customWidth="1"/>
    <col min="89" max="89" width="13.375" customWidth="1"/>
    <col min="90" max="90" width="10.625" customWidth="1"/>
    <col min="91" max="91" width="18.375" customWidth="1"/>
    <col min="92" max="92" width="17.125" customWidth="1"/>
    <col min="93" max="93" width="2.375" customWidth="1"/>
    <col min="94" max="94" width="5.125" customWidth="1"/>
    <col min="95" max="95" width="13.375" customWidth="1"/>
    <col min="97" max="97" width="21.5" customWidth="1"/>
    <col min="98" max="98" width="18" customWidth="1"/>
    <col min="99" max="99" width="1.625" customWidth="1"/>
    <col min="100" max="100" width="5.875" customWidth="1"/>
    <col min="101" max="101" width="19.5" customWidth="1"/>
    <col min="102" max="102" width="9.5" customWidth="1"/>
    <col min="103" max="103" width="54.125" customWidth="1"/>
    <col min="104" max="104" width="16.125" customWidth="1"/>
    <col min="105" max="105" width="3" customWidth="1"/>
    <col min="106" max="106" width="5.5" customWidth="1"/>
    <col min="107" max="107" width="43.625" customWidth="1"/>
    <col min="109" max="109" width="32.125" customWidth="1"/>
    <col min="110" max="110" width="30.5" customWidth="1"/>
    <col min="111" max="111" width="2.625" customWidth="1"/>
    <col min="112" max="112" width="4.125" customWidth="1"/>
    <col min="113" max="113" width="15.125" customWidth="1"/>
    <col min="115" max="115" width="29.125" customWidth="1"/>
    <col min="116" max="116" width="17.625" customWidth="1"/>
    <col min="117" max="117" width="1.375" customWidth="1"/>
    <col min="118" max="118" width="4.875" customWidth="1"/>
    <col min="119" max="119" width="10.125" customWidth="1"/>
    <col min="121" max="121" width="21.875" customWidth="1"/>
    <col min="122" max="122" width="16.125" customWidth="1"/>
    <col min="123" max="123" width="1.125" customWidth="1"/>
    <col min="124" max="124" width="4.875" customWidth="1"/>
    <col min="125" max="125" width="9.875" customWidth="1"/>
    <col min="127" max="127" width="21.5" customWidth="1"/>
    <col min="128" max="128" width="17.875" customWidth="1"/>
    <col min="129" max="129" width="1.375" customWidth="1"/>
    <col min="130" max="130" width="5.375" customWidth="1"/>
    <col min="131" max="131" width="15.125" customWidth="1"/>
    <col min="133" max="133" width="18.625" customWidth="1"/>
    <col min="134" max="134" width="15.125" customWidth="1"/>
    <col min="135" max="135" width="1.875" customWidth="1"/>
    <col min="136" max="136" width="6.875" customWidth="1"/>
    <col min="137" max="137" width="13.875" customWidth="1"/>
    <col min="139" max="139" width="26.875" customWidth="1"/>
    <col min="140" max="140" width="18" customWidth="1"/>
    <col min="141" max="141" width="1.875" customWidth="1"/>
    <col min="143" max="143" width="12.875" customWidth="1"/>
    <col min="145" max="145" width="14.875" customWidth="1"/>
    <col min="146" max="146" width="9.875" customWidth="1"/>
  </cols>
  <sheetData>
    <row r="2" spans="2:146" x14ac:dyDescent="0.15">
      <c r="B2" s="44" t="s">
        <v>5</v>
      </c>
      <c r="G2">
        <v>85</v>
      </c>
      <c r="I2" t="s">
        <v>755</v>
      </c>
      <c r="J2" s="572" t="s">
        <v>50</v>
      </c>
      <c r="K2" s="572"/>
      <c r="L2" s="572"/>
      <c r="M2" s="572"/>
      <c r="N2" s="572"/>
      <c r="P2" s="572" t="s">
        <v>312</v>
      </c>
      <c r="Q2" s="572"/>
      <c r="R2" s="572"/>
      <c r="S2" s="572"/>
      <c r="T2" s="572"/>
      <c r="W2" s="573" t="s">
        <v>1181</v>
      </c>
      <c r="X2" s="573"/>
      <c r="Y2" s="573"/>
      <c r="Z2" s="90"/>
      <c r="AA2" s="90"/>
      <c r="AB2" s="572" t="s">
        <v>611</v>
      </c>
      <c r="AC2" s="572"/>
      <c r="AD2" s="572"/>
      <c r="AE2" s="572"/>
      <c r="AF2" s="572"/>
      <c r="AH2" s="572" t="s">
        <v>688</v>
      </c>
      <c r="AI2" s="572"/>
      <c r="AJ2" s="572"/>
      <c r="AK2" s="572"/>
      <c r="AL2" s="572"/>
      <c r="AN2" s="573" t="s">
        <v>1095</v>
      </c>
      <c r="AO2" s="572"/>
      <c r="AP2" s="572"/>
      <c r="AQ2" s="572"/>
      <c r="AR2" s="572"/>
      <c r="AT2" s="573" t="s">
        <v>1100</v>
      </c>
      <c r="AU2" s="572"/>
      <c r="AV2" s="572"/>
      <c r="AW2" s="572"/>
      <c r="AX2" s="572"/>
      <c r="AZ2" s="573" t="s">
        <v>1102</v>
      </c>
      <c r="BA2" s="572"/>
      <c r="BB2" s="572"/>
      <c r="BC2" s="572"/>
      <c r="BD2" s="572"/>
      <c r="BF2" s="572" t="s">
        <v>737</v>
      </c>
      <c r="BG2" s="572"/>
      <c r="BH2" s="572"/>
      <c r="BI2" s="572"/>
      <c r="BJ2" s="572"/>
      <c r="BL2" s="572" t="s">
        <v>1054</v>
      </c>
      <c r="BM2" s="572"/>
      <c r="BN2" s="572"/>
      <c r="BO2" s="572"/>
      <c r="BP2" s="572"/>
      <c r="BR2" s="572" t="s">
        <v>1064</v>
      </c>
      <c r="BS2" s="572"/>
      <c r="BT2" s="572"/>
      <c r="BU2" s="572"/>
      <c r="BV2" s="572"/>
      <c r="BX2" s="572" t="s">
        <v>1067</v>
      </c>
      <c r="BY2" s="572"/>
      <c r="BZ2" s="572"/>
      <c r="CA2" s="572"/>
      <c r="CB2" s="572"/>
      <c r="CD2" s="572" t="s">
        <v>1070</v>
      </c>
      <c r="CE2" s="572"/>
      <c r="CF2" s="572"/>
      <c r="CG2" s="572"/>
      <c r="CH2" s="572"/>
      <c r="CJ2" s="572" t="s">
        <v>1072</v>
      </c>
      <c r="CK2" s="572"/>
      <c r="CL2" s="572"/>
      <c r="CM2" s="572"/>
      <c r="CN2" s="572"/>
      <c r="CP2" s="573" t="s">
        <v>1106</v>
      </c>
      <c r="CQ2" s="572"/>
      <c r="CR2" s="572"/>
      <c r="CS2" s="572"/>
      <c r="CT2" s="572"/>
      <c r="CV2" s="572" t="s">
        <v>1080</v>
      </c>
      <c r="CW2" s="572"/>
      <c r="CX2" s="572"/>
      <c r="CY2" s="572"/>
      <c r="CZ2" s="572"/>
      <c r="DB2" s="572" t="s">
        <v>1082</v>
      </c>
      <c r="DC2" s="572"/>
      <c r="DD2" s="572"/>
      <c r="DE2" s="572"/>
      <c r="DF2" s="572"/>
      <c r="DH2" s="572" t="s">
        <v>1086</v>
      </c>
      <c r="DI2" s="572"/>
      <c r="DJ2" s="572"/>
      <c r="DK2" s="572"/>
      <c r="DL2" s="572"/>
      <c r="DO2" s="573" t="s">
        <v>1180</v>
      </c>
      <c r="DP2" s="573"/>
      <c r="DQ2" s="573"/>
      <c r="DR2" s="573"/>
      <c r="DU2" s="572" t="s">
        <v>1326</v>
      </c>
      <c r="DV2" s="572"/>
      <c r="DW2" s="572"/>
      <c r="EA2" s="572" t="s">
        <v>1334</v>
      </c>
      <c r="EB2" s="572"/>
      <c r="EC2" s="572"/>
      <c r="EF2" s="572" t="s">
        <v>1341</v>
      </c>
      <c r="EG2" s="572"/>
      <c r="EH2" s="572"/>
      <c r="EI2" s="572"/>
      <c r="EL2" s="570" t="s">
        <v>1478</v>
      </c>
      <c r="EM2" s="571"/>
      <c r="EN2" s="571"/>
      <c r="EO2" s="571"/>
      <c r="EP2" s="215"/>
    </row>
    <row r="3" spans="2:146" ht="14.25" thickBot="1" x14ac:dyDescent="0.2">
      <c r="EL3" s="215"/>
      <c r="EM3" s="215"/>
      <c r="EN3" s="215"/>
      <c r="EO3" s="215"/>
      <c r="EP3" s="215"/>
    </row>
    <row r="4" spans="2:146" ht="17.45" customHeight="1" x14ac:dyDescent="0.15">
      <c r="B4" s="103" t="s">
        <v>12</v>
      </c>
      <c r="C4" s="104" t="s">
        <v>1</v>
      </c>
      <c r="D4" s="104" t="s">
        <v>51</v>
      </c>
      <c r="E4" s="105" t="s">
        <v>52</v>
      </c>
      <c r="F4" s="339" t="s">
        <v>53</v>
      </c>
      <c r="G4" s="105" t="s">
        <v>351</v>
      </c>
      <c r="H4" s="106" t="s">
        <v>899</v>
      </c>
      <c r="J4" s="189" t="s">
        <v>16</v>
      </c>
      <c r="K4" s="187" t="s">
        <v>14</v>
      </c>
      <c r="L4" s="187" t="s">
        <v>51</v>
      </c>
      <c r="M4" s="187" t="s">
        <v>52</v>
      </c>
      <c r="N4" s="188" t="s">
        <v>53</v>
      </c>
      <c r="P4" s="189" t="s">
        <v>16</v>
      </c>
      <c r="Q4" s="187" t="s">
        <v>14</v>
      </c>
      <c r="R4" s="187" t="s">
        <v>51</v>
      </c>
      <c r="S4" s="187" t="s">
        <v>52</v>
      </c>
      <c r="T4" s="188" t="s">
        <v>53</v>
      </c>
      <c r="V4" s="189" t="s">
        <v>16</v>
      </c>
      <c r="W4" s="187" t="s">
        <v>14</v>
      </c>
      <c r="X4" s="187" t="s">
        <v>571</v>
      </c>
      <c r="Y4" s="187" t="s">
        <v>572</v>
      </c>
      <c r="Z4" s="188" t="s">
        <v>573</v>
      </c>
      <c r="AB4" s="186" t="s">
        <v>16</v>
      </c>
      <c r="AC4" s="187" t="s">
        <v>14</v>
      </c>
      <c r="AD4" s="187" t="s">
        <v>594</v>
      </c>
      <c r="AE4" s="187" t="s">
        <v>595</v>
      </c>
      <c r="AF4" s="188" t="s">
        <v>596</v>
      </c>
      <c r="AH4" s="189" t="s">
        <v>683</v>
      </c>
      <c r="AI4" s="187" t="s">
        <v>684</v>
      </c>
      <c r="AJ4" s="187" t="s">
        <v>685</v>
      </c>
      <c r="AK4" s="187" t="s">
        <v>686</v>
      </c>
      <c r="AL4" s="188" t="s">
        <v>687</v>
      </c>
      <c r="AN4" s="189" t="s">
        <v>683</v>
      </c>
      <c r="AO4" s="187" t="s">
        <v>14</v>
      </c>
      <c r="AP4" s="187" t="s">
        <v>51</v>
      </c>
      <c r="AQ4" s="187" t="s">
        <v>572</v>
      </c>
      <c r="AR4" s="188" t="s">
        <v>573</v>
      </c>
      <c r="AT4" s="189" t="s">
        <v>683</v>
      </c>
      <c r="AU4" s="187" t="s">
        <v>14</v>
      </c>
      <c r="AV4" s="187" t="s">
        <v>51</v>
      </c>
      <c r="AW4" s="187" t="s">
        <v>572</v>
      </c>
      <c r="AX4" s="188" t="s">
        <v>573</v>
      </c>
      <c r="AZ4" s="189" t="s">
        <v>683</v>
      </c>
      <c r="BA4" s="187" t="s">
        <v>14</v>
      </c>
      <c r="BB4" s="187" t="s">
        <v>51</v>
      </c>
      <c r="BC4" s="187" t="s">
        <v>572</v>
      </c>
      <c r="BD4" s="188" t="s">
        <v>573</v>
      </c>
      <c r="BF4" s="189" t="s">
        <v>683</v>
      </c>
      <c r="BG4" s="187" t="s">
        <v>14</v>
      </c>
      <c r="BH4" s="187" t="s">
        <v>51</v>
      </c>
      <c r="BI4" s="187" t="s">
        <v>572</v>
      </c>
      <c r="BJ4" s="188" t="s">
        <v>573</v>
      </c>
      <c r="BL4" s="189" t="s">
        <v>1049</v>
      </c>
      <c r="BM4" s="187" t="s">
        <v>1050</v>
      </c>
      <c r="BN4" s="187" t="s">
        <v>1051</v>
      </c>
      <c r="BO4" s="187" t="s">
        <v>1052</v>
      </c>
      <c r="BP4" s="188" t="s">
        <v>1053</v>
      </c>
      <c r="BR4" s="189" t="s">
        <v>1059</v>
      </c>
      <c r="BS4" s="187" t="s">
        <v>1060</v>
      </c>
      <c r="BT4" s="187" t="s">
        <v>1061</v>
      </c>
      <c r="BU4" s="187" t="s">
        <v>1062</v>
      </c>
      <c r="BV4" s="188" t="s">
        <v>1063</v>
      </c>
      <c r="BX4" s="189" t="s">
        <v>1059</v>
      </c>
      <c r="BY4" s="187" t="s">
        <v>1060</v>
      </c>
      <c r="BZ4" s="187" t="s">
        <v>1061</v>
      </c>
      <c r="CA4" s="187" t="s">
        <v>1062</v>
      </c>
      <c r="CB4" s="188" t="s">
        <v>1069</v>
      </c>
      <c r="CD4" s="189" t="s">
        <v>1059</v>
      </c>
      <c r="CE4" s="187" t="s">
        <v>1060</v>
      </c>
      <c r="CF4" s="187" t="s">
        <v>1061</v>
      </c>
      <c r="CG4" s="187" t="s">
        <v>1062</v>
      </c>
      <c r="CH4" s="188" t="s">
        <v>1063</v>
      </c>
      <c r="CJ4" s="189" t="s">
        <v>1059</v>
      </c>
      <c r="CK4" s="187" t="s">
        <v>1060</v>
      </c>
      <c r="CL4" s="187" t="s">
        <v>1061</v>
      </c>
      <c r="CM4" s="187" t="s">
        <v>1062</v>
      </c>
      <c r="CN4" s="188" t="s">
        <v>1063</v>
      </c>
      <c r="CP4" s="189" t="s">
        <v>1074</v>
      </c>
      <c r="CQ4" s="187" t="s">
        <v>1075</v>
      </c>
      <c r="CR4" s="187" t="s">
        <v>1076</v>
      </c>
      <c r="CS4" s="187" t="s">
        <v>1077</v>
      </c>
      <c r="CT4" s="188" t="s">
        <v>1078</v>
      </c>
      <c r="CV4" s="91" t="s">
        <v>1074</v>
      </c>
      <c r="CW4" s="92" t="s">
        <v>1075</v>
      </c>
      <c r="CX4" s="92" t="s">
        <v>1076</v>
      </c>
      <c r="CY4" s="92" t="s">
        <v>1077</v>
      </c>
      <c r="CZ4" s="93" t="s">
        <v>1078</v>
      </c>
      <c r="DB4" s="91" t="s">
        <v>1081</v>
      </c>
      <c r="DC4" s="92" t="s">
        <v>1075</v>
      </c>
      <c r="DD4" s="92" t="s">
        <v>1076</v>
      </c>
      <c r="DE4" s="92" t="s">
        <v>1077</v>
      </c>
      <c r="DF4" s="93" t="s">
        <v>1078</v>
      </c>
      <c r="DH4" s="91" t="s">
        <v>1074</v>
      </c>
      <c r="DI4" s="92" t="s">
        <v>1075</v>
      </c>
      <c r="DJ4" s="92" t="s">
        <v>1076</v>
      </c>
      <c r="DK4" s="92" t="s">
        <v>1077</v>
      </c>
      <c r="DL4" s="93" t="s">
        <v>1078</v>
      </c>
      <c r="DN4" s="186" t="s">
        <v>1087</v>
      </c>
      <c r="DO4" s="187" t="s">
        <v>1075</v>
      </c>
      <c r="DP4" s="187" t="s">
        <v>1076</v>
      </c>
      <c r="DQ4" s="187" t="s">
        <v>1077</v>
      </c>
      <c r="DR4" s="188" t="s">
        <v>1078</v>
      </c>
      <c r="DT4" s="186" t="s">
        <v>1087</v>
      </c>
      <c r="DU4" s="187" t="s">
        <v>14</v>
      </c>
      <c r="DV4" s="187" t="s">
        <v>51</v>
      </c>
      <c r="DW4" s="187" t="s">
        <v>572</v>
      </c>
      <c r="DX4" s="188" t="s">
        <v>573</v>
      </c>
      <c r="DZ4" s="186" t="s">
        <v>1087</v>
      </c>
      <c r="EA4" s="187" t="s">
        <v>14</v>
      </c>
      <c r="EB4" s="187" t="s">
        <v>51</v>
      </c>
      <c r="EC4" s="187" t="s">
        <v>572</v>
      </c>
      <c r="ED4" s="188" t="s">
        <v>573</v>
      </c>
      <c r="EF4" s="186" t="s">
        <v>1087</v>
      </c>
      <c r="EG4" s="187" t="s">
        <v>14</v>
      </c>
      <c r="EH4" s="187" t="s">
        <v>51</v>
      </c>
      <c r="EI4" s="187" t="s">
        <v>572</v>
      </c>
      <c r="EJ4" s="188" t="s">
        <v>573</v>
      </c>
      <c r="EL4" s="216" t="s">
        <v>1472</v>
      </c>
      <c r="EM4" s="217" t="s">
        <v>1473</v>
      </c>
      <c r="EN4" s="217" t="s">
        <v>1474</v>
      </c>
      <c r="EO4" s="217" t="s">
        <v>1475</v>
      </c>
      <c r="EP4" s="218" t="s">
        <v>1476</v>
      </c>
    </row>
    <row r="5" spans="2:146" ht="13.7" customHeight="1" x14ac:dyDescent="0.15">
      <c r="B5" s="107" t="s">
        <v>54</v>
      </c>
      <c r="C5" s="108" t="s">
        <v>55</v>
      </c>
      <c r="D5" s="108" t="s">
        <v>158</v>
      </c>
      <c r="E5" s="108" t="e">
        <f>IF(D5="","",郵住13(D5))</f>
        <v>#VALUE!</v>
      </c>
      <c r="F5" s="340" t="s">
        <v>339</v>
      </c>
      <c r="G5" s="108" t="s">
        <v>352</v>
      </c>
      <c r="H5" s="109" t="s">
        <v>900</v>
      </c>
      <c r="J5" s="94" t="s">
        <v>378</v>
      </c>
      <c r="K5" s="95" t="s">
        <v>15</v>
      </c>
      <c r="L5" s="95" t="s">
        <v>546</v>
      </c>
      <c r="M5" s="95" t="e">
        <f t="shared" ref="M5:M10" si="0">IF(L5="","",郵住13(L5))</f>
        <v>#VALUE!</v>
      </c>
      <c r="N5" s="96" t="s">
        <v>339</v>
      </c>
      <c r="P5" s="94" t="s">
        <v>382</v>
      </c>
      <c r="Q5" s="95" t="s">
        <v>15</v>
      </c>
      <c r="R5" s="95" t="s">
        <v>542</v>
      </c>
      <c r="S5" s="95" t="e">
        <f>IF(R5="","",郵住13(R5))</f>
        <v>#VALUE!</v>
      </c>
      <c r="T5" s="129" t="s">
        <v>543</v>
      </c>
      <c r="V5" s="94" t="s">
        <v>397</v>
      </c>
      <c r="W5" s="95" t="s">
        <v>15</v>
      </c>
      <c r="X5" s="133" t="s">
        <v>857</v>
      </c>
      <c r="Y5" s="133" t="e">
        <f>IF(X5="","",郵住13(X5))</f>
        <v>#VALUE!</v>
      </c>
      <c r="Z5" s="129" t="s">
        <v>892</v>
      </c>
      <c r="AB5" s="131" t="s">
        <v>593</v>
      </c>
      <c r="AC5" s="134" t="s">
        <v>15</v>
      </c>
      <c r="AD5" s="133" t="s">
        <v>597</v>
      </c>
      <c r="AE5" s="135" t="e">
        <f>IF(AD5="","",郵住13(AD5))</f>
        <v>#VALUE!</v>
      </c>
      <c r="AF5" s="96" t="s">
        <v>598</v>
      </c>
      <c r="AH5" s="141" t="s">
        <v>777</v>
      </c>
      <c r="AI5" s="95" t="s">
        <v>696</v>
      </c>
      <c r="AJ5" s="95" t="s">
        <v>697</v>
      </c>
      <c r="AK5" s="95" t="e">
        <f>IF(AJ5="","",郵住13(AJ5))</f>
        <v>#VALUE!</v>
      </c>
      <c r="AL5" s="97" t="s">
        <v>698</v>
      </c>
      <c r="AN5" s="131" t="s">
        <v>779</v>
      </c>
      <c r="AO5" s="95" t="s">
        <v>723</v>
      </c>
      <c r="AP5" s="95" t="s">
        <v>724</v>
      </c>
      <c r="AQ5" s="95" t="e">
        <f>IF(AP5="","",郵住13(AP5))</f>
        <v>#VALUE!</v>
      </c>
      <c r="AR5" s="129" t="s">
        <v>725</v>
      </c>
      <c r="AT5" s="131" t="s">
        <v>789</v>
      </c>
      <c r="AU5" s="95" t="s">
        <v>731</v>
      </c>
      <c r="AV5" s="95" t="s">
        <v>1091</v>
      </c>
      <c r="AW5" s="95" t="e">
        <f>IF(AV5="","",郵住13(AV5))</f>
        <v>#VALUE!</v>
      </c>
      <c r="AX5" s="97" t="s">
        <v>1092</v>
      </c>
      <c r="AZ5" s="131" t="s">
        <v>791</v>
      </c>
      <c r="BA5" s="95" t="s">
        <v>733</v>
      </c>
      <c r="BB5" s="95" t="s">
        <v>734</v>
      </c>
      <c r="BC5" s="95" t="e">
        <f>IF(BB5="","",郵住13(BB5))</f>
        <v>#VALUE!</v>
      </c>
      <c r="BD5" s="129" t="s">
        <v>736</v>
      </c>
      <c r="BF5" s="131" t="s">
        <v>795</v>
      </c>
      <c r="BG5" s="95" t="s">
        <v>733</v>
      </c>
      <c r="BH5" s="95"/>
      <c r="BI5" s="95" t="str">
        <f>IF(BH5="","",郵住13(BH5))</f>
        <v/>
      </c>
      <c r="BJ5" s="97"/>
      <c r="BL5" s="141" t="s">
        <v>1055</v>
      </c>
      <c r="BM5" s="95" t="s">
        <v>1056</v>
      </c>
      <c r="BN5" s="133" t="s">
        <v>774</v>
      </c>
      <c r="BO5" s="95" t="e">
        <f>IF(BN5="","",郵住13(BN5))</f>
        <v>#VALUE!</v>
      </c>
      <c r="BP5" s="97"/>
      <c r="BR5" s="141" t="s">
        <v>1065</v>
      </c>
      <c r="BS5" s="95" t="s">
        <v>1066</v>
      </c>
      <c r="BT5" s="95"/>
      <c r="BU5" s="95" t="str">
        <f>IF(BT5="","",郵住13(BT5))</f>
        <v/>
      </c>
      <c r="BV5" s="97"/>
      <c r="BX5" s="141" t="s">
        <v>1068</v>
      </c>
      <c r="BY5" s="95" t="s">
        <v>1066</v>
      </c>
      <c r="BZ5" s="95"/>
      <c r="CA5" s="95" t="str">
        <f t="shared" ref="CA5:CA10" si="1">IF(BZ5="","",郵住13(BZ5))</f>
        <v/>
      </c>
      <c r="CB5" s="97"/>
      <c r="CD5" s="141" t="s">
        <v>1071</v>
      </c>
      <c r="CE5" s="95" t="s">
        <v>1066</v>
      </c>
      <c r="CF5" s="95"/>
      <c r="CG5" s="95" t="str">
        <f>IF(CF5="","",郵住13(CF5))</f>
        <v/>
      </c>
      <c r="CH5" s="97"/>
      <c r="CJ5" s="141" t="s">
        <v>1073</v>
      </c>
      <c r="CK5" s="95" t="s">
        <v>1066</v>
      </c>
      <c r="CL5" s="95"/>
      <c r="CM5" s="95" t="str">
        <f>IF(CL5="","",郵住13(CL5))</f>
        <v/>
      </c>
      <c r="CN5" s="97"/>
      <c r="CP5" s="141" t="s">
        <v>1079</v>
      </c>
      <c r="CQ5" s="95"/>
      <c r="CR5" s="95"/>
      <c r="CS5" s="95" t="str">
        <f>IF(CR5="","",郵住13(CR5))</f>
        <v/>
      </c>
      <c r="CT5" s="97"/>
      <c r="CV5" s="141" t="s">
        <v>1083</v>
      </c>
      <c r="CW5" s="95"/>
      <c r="CX5" s="95"/>
      <c r="CY5" s="95" t="str">
        <f>IF(CX5="","",郵住13(CX5))</f>
        <v/>
      </c>
      <c r="CZ5" s="97"/>
      <c r="DB5" s="141" t="s">
        <v>1084</v>
      </c>
      <c r="DC5" s="95"/>
      <c r="DD5" s="95"/>
      <c r="DE5" s="95" t="str">
        <f>IF(DD5="","",郵住13(DD5))</f>
        <v/>
      </c>
      <c r="DF5" s="97"/>
      <c r="DH5" s="141" t="s">
        <v>1085</v>
      </c>
      <c r="DI5" s="95" t="s">
        <v>1146</v>
      </c>
      <c r="DJ5" s="95"/>
      <c r="DK5" s="95" t="str">
        <f>IF(DJ5="","",郵住13(DJ5))</f>
        <v/>
      </c>
      <c r="DL5" s="97"/>
      <c r="DN5" s="141" t="s">
        <v>1088</v>
      </c>
      <c r="DO5" s="95"/>
      <c r="DP5" s="95"/>
      <c r="DQ5" s="95" t="str">
        <f>IF(DP5="","",郵住13(DP5))</f>
        <v/>
      </c>
      <c r="DR5" s="97"/>
      <c r="DT5" s="141" t="s">
        <v>1335</v>
      </c>
      <c r="DU5" s="95"/>
      <c r="DV5" s="95"/>
      <c r="DW5" s="95"/>
      <c r="DX5" s="97"/>
      <c r="DZ5" s="141" t="s">
        <v>1336</v>
      </c>
      <c r="EA5" s="95" t="s">
        <v>1348</v>
      </c>
      <c r="EB5" s="95"/>
      <c r="EC5" s="95"/>
      <c r="ED5" s="97"/>
      <c r="EF5" s="141" t="s">
        <v>1342</v>
      </c>
      <c r="EG5" s="95" t="s">
        <v>1345</v>
      </c>
      <c r="EH5" s="95"/>
      <c r="EI5" s="95"/>
      <c r="EJ5" s="97"/>
      <c r="EL5" s="219" t="s">
        <v>1479</v>
      </c>
      <c r="EM5" s="220"/>
      <c r="EN5" s="220"/>
      <c r="EO5" s="220"/>
      <c r="EP5" s="221"/>
    </row>
    <row r="6" spans="2:146" ht="14.25" thickBot="1" x14ac:dyDescent="0.2">
      <c r="B6" s="107" t="s">
        <v>56</v>
      </c>
      <c r="C6" s="110" t="s">
        <v>57</v>
      </c>
      <c r="D6" s="110" t="s">
        <v>159</v>
      </c>
      <c r="E6" s="108" t="e">
        <f>IF(D6="","",郵住13(D6))</f>
        <v>#VALUE!</v>
      </c>
      <c r="F6" s="341" t="s">
        <v>190</v>
      </c>
      <c r="G6" s="108" t="s">
        <v>358</v>
      </c>
      <c r="H6" s="109" t="s">
        <v>901</v>
      </c>
      <c r="J6" s="94" t="s">
        <v>379</v>
      </c>
      <c r="K6" s="133" t="s">
        <v>2497</v>
      </c>
      <c r="L6" s="95" t="s">
        <v>527</v>
      </c>
      <c r="M6" s="95" t="e">
        <f t="shared" si="0"/>
        <v>#VALUE!</v>
      </c>
      <c r="N6" s="97" t="s">
        <v>528</v>
      </c>
      <c r="P6" s="94" t="s">
        <v>383</v>
      </c>
      <c r="Q6" s="133" t="s">
        <v>5129</v>
      </c>
      <c r="R6" s="95" t="s">
        <v>540</v>
      </c>
      <c r="S6" s="95" t="e">
        <f>IF(R6="","",郵住13(R6))</f>
        <v>#VALUE!</v>
      </c>
      <c r="T6" s="129" t="s">
        <v>544</v>
      </c>
      <c r="V6" s="94" t="s">
        <v>398</v>
      </c>
      <c r="W6" s="95" t="s">
        <v>205</v>
      </c>
      <c r="X6" s="95" t="s">
        <v>574</v>
      </c>
      <c r="Y6" s="133" t="e">
        <f>IF(X6="","",郵住13(X6))</f>
        <v>#VALUE!</v>
      </c>
      <c r="Z6" s="129" t="s">
        <v>575</v>
      </c>
      <c r="AB6" s="131" t="s">
        <v>408</v>
      </c>
      <c r="AC6" s="95" t="s">
        <v>215</v>
      </c>
      <c r="AD6" s="95" t="s">
        <v>599</v>
      </c>
      <c r="AE6" s="135" t="e">
        <f>IF(AD6="","",郵住13(AD6))</f>
        <v>#VALUE!</v>
      </c>
      <c r="AF6" s="97" t="s">
        <v>600</v>
      </c>
      <c r="AH6" s="141" t="s">
        <v>778</v>
      </c>
      <c r="AI6" s="95" t="s">
        <v>703</v>
      </c>
      <c r="AJ6" s="95" t="s">
        <v>699</v>
      </c>
      <c r="AK6" s="95" t="e">
        <f>IF(AJ6="","",郵住13(AJ6))</f>
        <v>#VALUE!</v>
      </c>
      <c r="AL6" s="97" t="s">
        <v>700</v>
      </c>
      <c r="AN6" s="131" t="s">
        <v>780</v>
      </c>
      <c r="AO6" s="95" t="s">
        <v>726</v>
      </c>
      <c r="AP6" s="95" t="s">
        <v>724</v>
      </c>
      <c r="AQ6" s="95" t="e">
        <f>IF(AP6="","",郵住13(AP6))</f>
        <v>#VALUE!</v>
      </c>
      <c r="AR6" s="129" t="s">
        <v>725</v>
      </c>
      <c r="AT6" s="139" t="s">
        <v>790</v>
      </c>
      <c r="AU6" s="100" t="s">
        <v>732</v>
      </c>
      <c r="AV6" s="100" t="s">
        <v>1093</v>
      </c>
      <c r="AW6" s="100" t="e">
        <f>IF(AV6="","",郵住13(AV6))</f>
        <v>#VALUE!</v>
      </c>
      <c r="AX6" s="140" t="s">
        <v>1094</v>
      </c>
      <c r="AZ6" s="131" t="s">
        <v>792</v>
      </c>
      <c r="BA6" s="95" t="s">
        <v>735</v>
      </c>
      <c r="BB6" s="95" t="s">
        <v>734</v>
      </c>
      <c r="BC6" s="95" t="e">
        <f>IF(BB6="","",郵住13(BB6))</f>
        <v>#VALUE!</v>
      </c>
      <c r="BD6" s="129" t="s">
        <v>736</v>
      </c>
      <c r="BF6" s="131" t="s">
        <v>796</v>
      </c>
      <c r="BG6" s="95" t="s">
        <v>738</v>
      </c>
      <c r="BH6" s="95" t="s">
        <v>739</v>
      </c>
      <c r="BI6" s="95" t="e">
        <f>IF(BH6="","",郵住13(BH6))</f>
        <v>#VALUE!</v>
      </c>
      <c r="BJ6" s="129" t="s">
        <v>743</v>
      </c>
      <c r="BL6" s="141" t="s">
        <v>1057</v>
      </c>
      <c r="BM6" s="95" t="s">
        <v>1058</v>
      </c>
      <c r="BN6" s="95" t="s">
        <v>1191</v>
      </c>
      <c r="BO6" s="95" t="e">
        <f>IF(BN6="","",郵住13(BN6))</f>
        <v>#VALUE!</v>
      </c>
      <c r="BP6" s="138" t="s">
        <v>1242</v>
      </c>
      <c r="BR6" s="141" t="s">
        <v>1115</v>
      </c>
      <c r="BS6" s="95" t="s">
        <v>1202</v>
      </c>
      <c r="BT6" s="95" t="s">
        <v>536</v>
      </c>
      <c r="BU6" s="133" t="s">
        <v>1235</v>
      </c>
      <c r="BV6" s="97" t="s">
        <v>1236</v>
      </c>
      <c r="BX6" s="141" t="s">
        <v>1117</v>
      </c>
      <c r="BY6" s="95" t="s">
        <v>1147</v>
      </c>
      <c r="BZ6" s="95"/>
      <c r="CA6" s="95" t="str">
        <f t="shared" si="1"/>
        <v/>
      </c>
      <c r="CB6" s="97"/>
      <c r="CD6" s="141" t="s">
        <v>1122</v>
      </c>
      <c r="CE6" s="95" t="s">
        <v>1197</v>
      </c>
      <c r="CF6" s="95"/>
      <c r="CG6" s="95" t="str">
        <f>IF(CF6="","",郵住13(CF6))</f>
        <v/>
      </c>
      <c r="CH6" s="97"/>
      <c r="CJ6" s="141" t="s">
        <v>1125</v>
      </c>
      <c r="CK6" s="95"/>
      <c r="CL6" s="95"/>
      <c r="CM6" s="95" t="str">
        <f>IF(CL6="","",郵住13(CL6))</f>
        <v/>
      </c>
      <c r="CN6" s="97"/>
      <c r="CP6" s="141" t="s">
        <v>1128</v>
      </c>
      <c r="CQ6" s="95" t="s">
        <v>1145</v>
      </c>
      <c r="CR6" s="95"/>
      <c r="CS6" s="95" t="str">
        <f>IF(CR6="","",郵住13(CR6))</f>
        <v/>
      </c>
      <c r="CT6" s="97"/>
      <c r="CV6" s="141" t="s">
        <v>1130</v>
      </c>
      <c r="CW6" s="95" t="s">
        <v>1143</v>
      </c>
      <c r="CX6" s="95" t="s">
        <v>181</v>
      </c>
      <c r="CY6" s="95" t="e">
        <f>IF(CX6="","",郵住13(CX6))</f>
        <v>#VALUE!</v>
      </c>
      <c r="CZ6" s="97"/>
      <c r="DB6" s="141" t="s">
        <v>1133</v>
      </c>
      <c r="DC6" s="95" t="s">
        <v>1141</v>
      </c>
      <c r="DD6" s="95" t="s">
        <v>1246</v>
      </c>
      <c r="DE6" s="95" t="e">
        <f>IF(DD6="","",郵住13(DD6))</f>
        <v>#VALUE!</v>
      </c>
      <c r="DF6" s="97" t="s">
        <v>1247</v>
      </c>
      <c r="DH6" s="141" t="s">
        <v>1136</v>
      </c>
      <c r="DI6" s="95" t="s">
        <v>1144</v>
      </c>
      <c r="DJ6" s="95" t="s">
        <v>1241</v>
      </c>
      <c r="DK6" s="95" t="e">
        <f>IF(DJ6="","",郵住13(DJ6))</f>
        <v>#VALUE!</v>
      </c>
      <c r="DL6" s="96">
        <v>332</v>
      </c>
      <c r="DN6" s="141" t="s">
        <v>1138</v>
      </c>
      <c r="DO6" s="95"/>
      <c r="DP6" s="95"/>
      <c r="DQ6" s="95" t="str">
        <f>IF(DP6="","",郵住13(DP6))</f>
        <v/>
      </c>
      <c r="DR6" s="97"/>
      <c r="DT6" s="141" t="s">
        <v>1327</v>
      </c>
      <c r="DU6" s="95" t="s">
        <v>1328</v>
      </c>
      <c r="DV6" s="95"/>
      <c r="DW6" s="95"/>
      <c r="DX6" s="97"/>
      <c r="DZ6" s="141" t="s">
        <v>1337</v>
      </c>
      <c r="EA6" s="95" t="s">
        <v>1347</v>
      </c>
      <c r="EB6" s="95"/>
      <c r="EC6" s="95"/>
      <c r="ED6" s="97"/>
      <c r="EF6" s="141" t="s">
        <v>1343</v>
      </c>
      <c r="EG6" s="95" t="s">
        <v>1346</v>
      </c>
      <c r="EH6" s="95"/>
      <c r="EI6" s="95"/>
      <c r="EJ6" s="97"/>
      <c r="EL6" s="222" t="s">
        <v>1480</v>
      </c>
      <c r="EM6" s="223" t="s">
        <v>1477</v>
      </c>
      <c r="EN6" s="223"/>
      <c r="EO6" s="223"/>
      <c r="EP6" s="224"/>
    </row>
    <row r="7" spans="2:146" ht="15" thickBot="1" x14ac:dyDescent="0.25">
      <c r="B7" s="112" t="s">
        <v>58</v>
      </c>
      <c r="C7" s="113" t="s">
        <v>59</v>
      </c>
      <c r="D7" s="113" t="s">
        <v>2074</v>
      </c>
      <c r="E7" s="108" t="e">
        <f>IF(D7="","",郵住13(D7))</f>
        <v>#VALUE!</v>
      </c>
      <c r="F7" s="342" t="s">
        <v>2075</v>
      </c>
      <c r="G7" s="108" t="s">
        <v>358</v>
      </c>
      <c r="H7" s="115" t="s">
        <v>1182</v>
      </c>
      <c r="I7" s="102"/>
      <c r="J7" s="94" t="s">
        <v>380</v>
      </c>
      <c r="K7" s="133" t="s">
        <v>1940</v>
      </c>
      <c r="L7" s="95" t="s">
        <v>529</v>
      </c>
      <c r="M7" s="95" t="e">
        <f t="shared" si="0"/>
        <v>#VALUE!</v>
      </c>
      <c r="N7" s="98" t="s">
        <v>2422</v>
      </c>
      <c r="P7" s="94" t="s">
        <v>384</v>
      </c>
      <c r="Q7" s="95" t="s">
        <v>196</v>
      </c>
      <c r="R7" s="95" t="s">
        <v>541</v>
      </c>
      <c r="S7" s="95" t="e">
        <f>IF(R7="","",郵住13(R7))</f>
        <v>#VALUE!</v>
      </c>
      <c r="T7" s="129" t="s">
        <v>549</v>
      </c>
      <c r="V7" s="94" t="s">
        <v>399</v>
      </c>
      <c r="W7" s="95" t="s">
        <v>206</v>
      </c>
      <c r="X7" s="95" t="s">
        <v>576</v>
      </c>
      <c r="Y7" s="133" t="e">
        <f t="shared" ref="Y7:Y16" si="2">IF(X7="","",郵住13(X7))</f>
        <v>#VALUE!</v>
      </c>
      <c r="Z7" s="129" t="s">
        <v>577</v>
      </c>
      <c r="AB7" s="131" t="s">
        <v>409</v>
      </c>
      <c r="AC7" s="95" t="s">
        <v>43</v>
      </c>
      <c r="AD7" s="95" t="s">
        <v>601</v>
      </c>
      <c r="AE7" s="135" t="e">
        <f>IF(AD7="","",郵住13(AD7))</f>
        <v>#VALUE!</v>
      </c>
      <c r="AF7" s="97" t="s">
        <v>602</v>
      </c>
      <c r="AH7" s="141" t="s">
        <v>689</v>
      </c>
      <c r="AI7" s="95" t="s">
        <v>704</v>
      </c>
      <c r="AJ7" s="95" t="s">
        <v>701</v>
      </c>
      <c r="AK7" s="95" t="e">
        <f>IF(AJ7="","",郵住13(AJ7))</f>
        <v>#VALUE!</v>
      </c>
      <c r="AL7" s="97" t="s">
        <v>702</v>
      </c>
      <c r="AN7" s="131" t="s">
        <v>781</v>
      </c>
      <c r="AO7" s="95" t="s">
        <v>727</v>
      </c>
      <c r="AP7" s="95" t="s">
        <v>1089</v>
      </c>
      <c r="AQ7" s="95" t="e">
        <f>IF(AP7="","",郵住13(AP7))</f>
        <v>#VALUE!</v>
      </c>
      <c r="AR7" s="129" t="s">
        <v>1090</v>
      </c>
      <c r="AZ7" s="131" t="s">
        <v>793</v>
      </c>
      <c r="BA7" s="133" t="s">
        <v>1315</v>
      </c>
      <c r="BB7" s="95" t="s">
        <v>1316</v>
      </c>
      <c r="BC7" s="95" t="e">
        <f>IF(BB7="","",郵住13(BB7))</f>
        <v>#VALUE!</v>
      </c>
      <c r="BD7" s="129" t="s">
        <v>1317</v>
      </c>
      <c r="BF7" s="131" t="s">
        <v>797</v>
      </c>
      <c r="BG7" s="95" t="s">
        <v>740</v>
      </c>
      <c r="BH7" s="95"/>
      <c r="BI7" s="95" t="str">
        <f>IF(BH7="","",郵住13(BH7))</f>
        <v/>
      </c>
      <c r="BJ7" s="129"/>
      <c r="BL7" s="141" t="s">
        <v>1172</v>
      </c>
      <c r="BM7" s="95" t="s">
        <v>1173</v>
      </c>
      <c r="BN7" s="95"/>
      <c r="BO7" s="95" t="str">
        <f>IF(BN7="","",郵住13(BN7))</f>
        <v/>
      </c>
      <c r="BP7" s="97"/>
      <c r="BR7" s="132" t="s">
        <v>1116</v>
      </c>
      <c r="BS7" s="100" t="s">
        <v>3952</v>
      </c>
      <c r="BT7" s="100"/>
      <c r="BU7" s="100"/>
      <c r="BV7" s="101"/>
      <c r="BX7" s="141" t="s">
        <v>1118</v>
      </c>
      <c r="BY7" s="95" t="s">
        <v>1148</v>
      </c>
      <c r="BZ7" s="95"/>
      <c r="CA7" s="95" t="str">
        <f t="shared" si="1"/>
        <v/>
      </c>
      <c r="CB7" s="97"/>
      <c r="CD7" s="141" t="s">
        <v>1123</v>
      </c>
      <c r="CE7" s="95" t="s">
        <v>1224</v>
      </c>
      <c r="CF7" s="95" t="s">
        <v>1243</v>
      </c>
      <c r="CG7" s="95" t="e">
        <f>IF(CF7="","",郵住13(CF7))</f>
        <v>#VALUE!</v>
      </c>
      <c r="CH7" s="163" t="s">
        <v>1273</v>
      </c>
      <c r="CJ7" s="141" t="s">
        <v>1126</v>
      </c>
      <c r="CK7" s="95"/>
      <c r="CL7" s="95"/>
      <c r="CM7" s="95" t="str">
        <f>IF(CL7="","",郵住13(CL7))</f>
        <v/>
      </c>
      <c r="CN7" s="97"/>
      <c r="CP7" s="132" t="s">
        <v>1129</v>
      </c>
      <c r="CQ7" s="100"/>
      <c r="CR7" s="100"/>
      <c r="CS7" s="100" t="str">
        <f>IF(CR7="","",郵住13(CR7))</f>
        <v/>
      </c>
      <c r="CT7" s="101"/>
      <c r="CV7" s="141" t="s">
        <v>1131</v>
      </c>
      <c r="CW7" s="476" t="s">
        <v>4985</v>
      </c>
      <c r="CX7" s="95" t="s">
        <v>1237</v>
      </c>
      <c r="CY7" s="95"/>
      <c r="CZ7" s="97"/>
      <c r="DB7" s="141" t="s">
        <v>1134</v>
      </c>
      <c r="DC7" s="95" t="s">
        <v>1205</v>
      </c>
      <c r="DD7" s="95" t="s">
        <v>1260</v>
      </c>
      <c r="DE7" s="95" t="e">
        <f>IF(DD7="","",郵住13(DD7))</f>
        <v>#VALUE!</v>
      </c>
      <c r="DF7" s="163" t="s">
        <v>1272</v>
      </c>
      <c r="DH7" s="132" t="s">
        <v>1137</v>
      </c>
      <c r="DI7" s="100" t="s">
        <v>1140</v>
      </c>
      <c r="DJ7" s="100" t="s">
        <v>1252</v>
      </c>
      <c r="DK7" s="95" t="e">
        <f>IF(DJ7="","",郵住13(DJ7))</f>
        <v>#VALUE!</v>
      </c>
      <c r="DL7" s="101" t="s">
        <v>1253</v>
      </c>
      <c r="DN7" s="132" t="s">
        <v>1139</v>
      </c>
      <c r="DO7" s="100"/>
      <c r="DP7" s="100"/>
      <c r="DQ7" s="100" t="str">
        <f>IF(DP7="","",郵住13(DP7))</f>
        <v/>
      </c>
      <c r="DR7" s="101"/>
      <c r="DT7" s="132" t="s">
        <v>1339</v>
      </c>
      <c r="DU7" s="100"/>
      <c r="DV7" s="100"/>
      <c r="DW7" s="100"/>
      <c r="DX7" s="101"/>
      <c r="DZ7" s="132" t="s">
        <v>1338</v>
      </c>
      <c r="EA7" s="100"/>
      <c r="EB7" s="100"/>
      <c r="EC7" s="100"/>
      <c r="ED7" s="101"/>
      <c r="EF7" s="132" t="s">
        <v>1344</v>
      </c>
      <c r="EG7" s="100"/>
      <c r="EH7" s="100"/>
      <c r="EI7" s="100"/>
      <c r="EJ7" s="101"/>
      <c r="EL7" s="227" t="s">
        <v>1504</v>
      </c>
      <c r="EM7" t="s">
        <v>1505</v>
      </c>
    </row>
    <row r="8" spans="2:146" ht="14.25" thickBot="1" x14ac:dyDescent="0.2">
      <c r="B8" s="107" t="s">
        <v>60</v>
      </c>
      <c r="C8" s="111" t="s">
        <v>194</v>
      </c>
      <c r="D8" s="108" t="s">
        <v>165</v>
      </c>
      <c r="E8" s="108" t="e">
        <f>IF(D8="","",郵住13(D8))</f>
        <v>#VALUE!</v>
      </c>
      <c r="F8" s="341" t="s">
        <v>176</v>
      </c>
      <c r="G8" s="108" t="s">
        <v>358</v>
      </c>
      <c r="H8" s="109" t="s">
        <v>902</v>
      </c>
      <c r="J8" s="94" t="s">
        <v>381</v>
      </c>
      <c r="K8" s="95" t="s">
        <v>195</v>
      </c>
      <c r="L8" s="95" t="s">
        <v>530</v>
      </c>
      <c r="M8" s="95" t="e">
        <f t="shared" si="0"/>
        <v>#VALUE!</v>
      </c>
      <c r="N8" s="99" t="s">
        <v>531</v>
      </c>
      <c r="P8" s="94" t="s">
        <v>385</v>
      </c>
      <c r="Q8" s="95" t="s">
        <v>42</v>
      </c>
      <c r="R8" s="95" t="s">
        <v>545</v>
      </c>
      <c r="S8" s="95" t="e">
        <f>IF(R8="","",郵住13(R8))</f>
        <v>#VALUE!</v>
      </c>
      <c r="T8" s="129" t="s">
        <v>550</v>
      </c>
      <c r="V8" s="94" t="s">
        <v>400</v>
      </c>
      <c r="W8" s="95" t="s">
        <v>207</v>
      </c>
      <c r="X8" s="95" t="s">
        <v>578</v>
      </c>
      <c r="Y8" s="133" t="e">
        <f t="shared" si="2"/>
        <v>#VALUE!</v>
      </c>
      <c r="Z8" s="129" t="s">
        <v>579</v>
      </c>
      <c r="AB8" s="131" t="s">
        <v>410</v>
      </c>
      <c r="AC8" s="95" t="s">
        <v>216</v>
      </c>
      <c r="AD8" s="95" t="s">
        <v>603</v>
      </c>
      <c r="AE8" s="135" t="e">
        <f>IF(AD8="","",郵住13(AD8))</f>
        <v>#VALUE!</v>
      </c>
      <c r="AF8" s="97" t="s">
        <v>604</v>
      </c>
      <c r="AH8" s="141" t="s">
        <v>690</v>
      </c>
      <c r="AI8" s="95" t="s">
        <v>710</v>
      </c>
      <c r="AJ8" s="95" t="s">
        <v>705</v>
      </c>
      <c r="AK8" s="95" t="e">
        <f>IF(AJ8="","",郵住13(AJ8))</f>
        <v>#VALUE!</v>
      </c>
      <c r="AL8" s="97" t="s">
        <v>706</v>
      </c>
      <c r="AN8" s="131" t="s">
        <v>782</v>
      </c>
      <c r="AO8" s="95" t="s">
        <v>728</v>
      </c>
      <c r="AP8" s="95" t="s">
        <v>729</v>
      </c>
      <c r="AQ8" s="95" t="e">
        <f>IF(AP8="","",郵住13(AP8))</f>
        <v>#VALUE!</v>
      </c>
      <c r="AR8" s="129" t="s">
        <v>730</v>
      </c>
      <c r="AZ8" s="131" t="s">
        <v>794</v>
      </c>
      <c r="BA8" s="95" t="s">
        <v>1149</v>
      </c>
      <c r="BB8" s="95" t="s">
        <v>1263</v>
      </c>
      <c r="BC8" s="95" t="e">
        <f>IF(BB8="","",郵住13(BB8))</f>
        <v>#VALUE!</v>
      </c>
      <c r="BD8" s="129" t="s">
        <v>1264</v>
      </c>
      <c r="BF8" s="131" t="s">
        <v>798</v>
      </c>
      <c r="BG8" s="95" t="s">
        <v>741</v>
      </c>
      <c r="BH8" s="95" t="s">
        <v>742</v>
      </c>
      <c r="BI8" s="95" t="e">
        <f>IF(BH8="","",郵住13(BH8))</f>
        <v>#VALUE!</v>
      </c>
      <c r="BJ8" s="129" t="s">
        <v>744</v>
      </c>
      <c r="BL8" s="141" t="s">
        <v>1192</v>
      </c>
      <c r="BM8" s="95" t="s">
        <v>1193</v>
      </c>
      <c r="BN8" s="95"/>
      <c r="BO8" s="95" t="str">
        <f>IF(BN8="","",郵住13(BN8))</f>
        <v/>
      </c>
      <c r="BP8" s="97"/>
      <c r="BX8" s="141" t="s">
        <v>1119</v>
      </c>
      <c r="BY8" s="95" t="s">
        <v>1265</v>
      </c>
      <c r="BZ8" s="95" t="s">
        <v>1266</v>
      </c>
      <c r="CA8" s="95" t="e">
        <f>IF(BZ8="","",郵住13(BZ8))</f>
        <v>#VALUE!</v>
      </c>
      <c r="CB8" s="162" t="s">
        <v>1274</v>
      </c>
      <c r="CD8" s="132" t="s">
        <v>1124</v>
      </c>
      <c r="CE8" s="100"/>
      <c r="CF8" s="100"/>
      <c r="CG8" s="100" t="str">
        <f>IF(CF8="","",郵住13(CF8))</f>
        <v/>
      </c>
      <c r="CH8" s="101"/>
      <c r="CJ8" s="132" t="s">
        <v>1127</v>
      </c>
      <c r="CK8" s="100"/>
      <c r="CL8" s="100"/>
      <c r="CM8" s="100" t="str">
        <f>IF(CL8="","",郵住13(CL8))</f>
        <v/>
      </c>
      <c r="CN8" s="101"/>
      <c r="CV8" s="141" t="s">
        <v>1132</v>
      </c>
      <c r="CW8" s="95" t="s">
        <v>1238</v>
      </c>
      <c r="CX8" s="95" t="s">
        <v>1239</v>
      </c>
      <c r="CY8" s="95" t="e">
        <f>IF(CX8="","",郵住13(CX8))</f>
        <v>#VALUE!</v>
      </c>
      <c r="CZ8" s="97" t="s">
        <v>1240</v>
      </c>
      <c r="DB8" s="141" t="s">
        <v>1135</v>
      </c>
      <c r="DC8" s="95" t="s">
        <v>1142</v>
      </c>
      <c r="DD8" s="95" t="s">
        <v>1270</v>
      </c>
      <c r="DE8" s="95" t="e">
        <f>IF(DD8="","",郵住13(DD8))</f>
        <v>#VALUE!</v>
      </c>
      <c r="DF8" s="97" t="s">
        <v>1271</v>
      </c>
    </row>
    <row r="9" spans="2:146" ht="14.25" thickBot="1" x14ac:dyDescent="0.2">
      <c r="B9" s="116" t="s">
        <v>61</v>
      </c>
      <c r="C9" s="117" t="s">
        <v>62</v>
      </c>
      <c r="D9" s="117" t="s">
        <v>166</v>
      </c>
      <c r="E9" s="108" t="e">
        <f>IF(D9="","",郵住13(D9))</f>
        <v>#VALUE!</v>
      </c>
      <c r="F9" s="343"/>
      <c r="G9" s="118"/>
      <c r="H9" s="119"/>
      <c r="J9" s="136" t="s">
        <v>804</v>
      </c>
      <c r="K9" s="133" t="s">
        <v>765</v>
      </c>
      <c r="L9" s="95" t="s">
        <v>805</v>
      </c>
      <c r="M9" s="95" t="e">
        <f t="shared" si="0"/>
        <v>#VALUE!</v>
      </c>
      <c r="N9" s="138" t="s">
        <v>1199</v>
      </c>
      <c r="P9" s="94" t="s">
        <v>386</v>
      </c>
      <c r="Q9" s="95" t="s">
        <v>197</v>
      </c>
      <c r="R9" s="95" t="s">
        <v>547</v>
      </c>
      <c r="S9" s="95" t="e">
        <f>IF(R9="","",郵住13(R9))</f>
        <v>#VALUE!</v>
      </c>
      <c r="T9" s="129" t="s">
        <v>548</v>
      </c>
      <c r="V9" s="94" t="s">
        <v>401</v>
      </c>
      <c r="W9" s="95" t="s">
        <v>208</v>
      </c>
      <c r="X9" s="95" t="s">
        <v>580</v>
      </c>
      <c r="Y9" s="133" t="e">
        <f t="shared" si="2"/>
        <v>#VALUE!</v>
      </c>
      <c r="Z9" s="129" t="s">
        <v>581</v>
      </c>
      <c r="AB9" s="131" t="s">
        <v>411</v>
      </c>
      <c r="AC9" s="133" t="s">
        <v>2616</v>
      </c>
      <c r="AD9" s="95" t="s">
        <v>5173</v>
      </c>
      <c r="AE9" s="135" t="e">
        <f>IF(AD9="","",郵住13(AD9))</f>
        <v>#VALUE!</v>
      </c>
      <c r="AF9" s="97"/>
      <c r="AH9" s="141" t="s">
        <v>691</v>
      </c>
      <c r="AI9" s="95" t="s">
        <v>711</v>
      </c>
      <c r="AJ9" s="95" t="s">
        <v>707</v>
      </c>
      <c r="AK9" s="95" t="e">
        <f>IF(AJ9="","",郵住13(AJ9))</f>
        <v>#VALUE!</v>
      </c>
      <c r="AL9" s="97" t="s">
        <v>708</v>
      </c>
      <c r="AN9" s="131" t="s">
        <v>783</v>
      </c>
      <c r="AO9" s="95"/>
      <c r="AP9" s="95"/>
      <c r="AQ9" s="95" t="str">
        <f>IF(AP9="","",郵住12(AP9))</f>
        <v/>
      </c>
      <c r="AR9" s="129"/>
      <c r="AZ9" s="139" t="s">
        <v>3830</v>
      </c>
      <c r="BA9" s="142" t="s">
        <v>3832</v>
      </c>
      <c r="BB9" s="100"/>
      <c r="BC9" s="100"/>
      <c r="BD9" s="101"/>
      <c r="BF9" s="131" t="s">
        <v>799</v>
      </c>
      <c r="BG9" s="95" t="s">
        <v>745</v>
      </c>
      <c r="BH9" s="95" t="s">
        <v>746</v>
      </c>
      <c r="BI9" s="95" t="e">
        <f>IF(BH9="","",郵住13(BH9))</f>
        <v>#VALUE!</v>
      </c>
      <c r="BJ9" s="129" t="s">
        <v>747</v>
      </c>
      <c r="BL9" s="141" t="s">
        <v>1203</v>
      </c>
      <c r="BM9" s="95" t="s">
        <v>1204</v>
      </c>
      <c r="BN9" s="95" t="s">
        <v>1244</v>
      </c>
      <c r="BO9" s="95" t="e">
        <f>IF(BN9="","",郵住13(BN9))</f>
        <v>#VALUE!</v>
      </c>
      <c r="BP9" s="138" t="s">
        <v>1245</v>
      </c>
      <c r="BX9" s="141" t="s">
        <v>1120</v>
      </c>
      <c r="BY9" s="95" t="s">
        <v>1290</v>
      </c>
      <c r="BZ9" s="95"/>
      <c r="CA9" s="95" t="str">
        <f t="shared" si="1"/>
        <v/>
      </c>
      <c r="CB9" s="97"/>
      <c r="CV9" s="145" t="s">
        <v>2339</v>
      </c>
      <c r="CW9" s="142" t="s">
        <v>2341</v>
      </c>
      <c r="CX9" s="100"/>
      <c r="CY9" s="100"/>
      <c r="CZ9" s="101"/>
      <c r="DB9" s="141" t="s">
        <v>1174</v>
      </c>
      <c r="DC9" s="133" t="s">
        <v>1488</v>
      </c>
      <c r="DD9" s="95" t="s">
        <v>1489</v>
      </c>
      <c r="DE9" s="95" t="e">
        <f>IF(DD9="","",郵住13(DD9))</f>
        <v>#VALUE!</v>
      </c>
      <c r="DF9" s="138" t="s">
        <v>1490</v>
      </c>
    </row>
    <row r="10" spans="2:146" ht="14.25" thickBot="1" x14ac:dyDescent="0.2">
      <c r="B10" s="112" t="s">
        <v>63</v>
      </c>
      <c r="C10" s="110" t="s">
        <v>64</v>
      </c>
      <c r="D10" s="110" t="s">
        <v>167</v>
      </c>
      <c r="E10" s="108" t="e">
        <f>IF(D10="","",郵住13(D10))</f>
        <v>#VALUE!</v>
      </c>
      <c r="F10" s="341" t="s">
        <v>177</v>
      </c>
      <c r="G10" s="108" t="s">
        <v>358</v>
      </c>
      <c r="H10" s="109" t="s">
        <v>903</v>
      </c>
      <c r="J10" s="146" t="s">
        <v>1198</v>
      </c>
      <c r="K10" s="147" t="s">
        <v>893</v>
      </c>
      <c r="L10" s="137" t="s">
        <v>1200</v>
      </c>
      <c r="M10" s="95" t="e">
        <f t="shared" si="0"/>
        <v>#VALUE!</v>
      </c>
      <c r="N10" s="148" t="s">
        <v>1201</v>
      </c>
      <c r="P10" s="94" t="s">
        <v>387</v>
      </c>
      <c r="Q10" s="95" t="s">
        <v>198</v>
      </c>
      <c r="R10" s="95" t="s">
        <v>551</v>
      </c>
      <c r="S10" s="95" t="e">
        <f>IF(R10="","",郵住13(R10))</f>
        <v>#VALUE!</v>
      </c>
      <c r="T10" s="129" t="s">
        <v>552</v>
      </c>
      <c r="V10" s="94" t="s">
        <v>402</v>
      </c>
      <c r="W10" s="95" t="s">
        <v>209</v>
      </c>
      <c r="X10" s="95" t="s">
        <v>580</v>
      </c>
      <c r="Y10" s="133" t="e">
        <f t="shared" si="2"/>
        <v>#VALUE!</v>
      </c>
      <c r="Z10" s="129" t="s">
        <v>582</v>
      </c>
      <c r="AB10" s="131" t="s">
        <v>412</v>
      </c>
      <c r="AC10" s="95" t="s">
        <v>217</v>
      </c>
      <c r="AD10" s="95" t="s">
        <v>605</v>
      </c>
      <c r="AE10" s="135" t="e">
        <f>IF(AD10="","",郵住13(AD10))</f>
        <v>#VALUE!</v>
      </c>
      <c r="AF10" s="97" t="s">
        <v>606</v>
      </c>
      <c r="AH10" s="141" t="s">
        <v>692</v>
      </c>
      <c r="AI10" s="95" t="s">
        <v>709</v>
      </c>
      <c r="AJ10" s="95" t="s">
        <v>712</v>
      </c>
      <c r="AK10" s="95" t="e">
        <f>IF(AJ10="","",郵住13(AJ10))</f>
        <v>#VALUE!</v>
      </c>
      <c r="AL10" s="97" t="s">
        <v>713</v>
      </c>
      <c r="AN10" s="131" t="s">
        <v>784</v>
      </c>
      <c r="AO10" s="95"/>
      <c r="AP10" s="95"/>
      <c r="AQ10" s="95" t="str">
        <f>IF(AP10="","",郵住12(AP10))</f>
        <v/>
      </c>
      <c r="AR10" s="129"/>
      <c r="BF10" s="131" t="s">
        <v>800</v>
      </c>
      <c r="BG10" s="95" t="s">
        <v>748</v>
      </c>
      <c r="BH10" s="95" t="s">
        <v>749</v>
      </c>
      <c r="BI10" s="95" t="e">
        <f>IF(BH10="","",郵住13(BH10))</f>
        <v>#VALUE!</v>
      </c>
      <c r="BJ10" s="129" t="s">
        <v>750</v>
      </c>
      <c r="BL10" s="149" t="s">
        <v>1206</v>
      </c>
      <c r="BM10" s="137" t="s">
        <v>1207</v>
      </c>
      <c r="BN10" s="95"/>
      <c r="BO10" s="95" t="str">
        <f>IF(BN10="","",郵住13(BN10))</f>
        <v/>
      </c>
      <c r="BP10" s="97"/>
      <c r="BX10" s="132" t="s">
        <v>1121</v>
      </c>
      <c r="BY10" s="100"/>
      <c r="BZ10" s="100"/>
      <c r="CA10" s="100" t="str">
        <f t="shared" si="1"/>
        <v/>
      </c>
      <c r="CB10" s="101"/>
      <c r="DB10" s="145" t="s">
        <v>5010</v>
      </c>
      <c r="DC10" s="142" t="s">
        <v>5012</v>
      </c>
      <c r="DD10" s="100"/>
      <c r="DE10" s="100"/>
      <c r="DF10" s="101"/>
    </row>
    <row r="11" spans="2:146" x14ac:dyDescent="0.15">
      <c r="B11" s="112" t="s">
        <v>65</v>
      </c>
      <c r="C11" s="110" t="s">
        <v>66</v>
      </c>
      <c r="D11" s="110" t="s">
        <v>536</v>
      </c>
      <c r="E11" s="108" t="e">
        <f>IF(D11="","",郵住13(D11))</f>
        <v>#VALUE!</v>
      </c>
      <c r="F11" s="344" t="s">
        <v>537</v>
      </c>
      <c r="G11" s="108" t="s">
        <v>358</v>
      </c>
      <c r="H11" s="109" t="s">
        <v>1096</v>
      </c>
      <c r="J11" s="149" t="s">
        <v>1208</v>
      </c>
      <c r="K11" s="137" t="s">
        <v>1209</v>
      </c>
      <c r="L11" s="95"/>
      <c r="M11" s="95" t="str">
        <f>IF(L11="","",郵住13(L11))</f>
        <v/>
      </c>
      <c r="N11" s="97"/>
      <c r="P11" s="94" t="s">
        <v>388</v>
      </c>
      <c r="Q11" s="95" t="s">
        <v>199</v>
      </c>
      <c r="R11" s="95" t="s">
        <v>555</v>
      </c>
      <c r="S11" s="95" t="e">
        <f>IF(R11="","",郵住13(R11))</f>
        <v>#VALUE!</v>
      </c>
      <c r="T11" s="129" t="s">
        <v>556</v>
      </c>
      <c r="V11" s="94" t="s">
        <v>403</v>
      </c>
      <c r="W11" s="95" t="s">
        <v>210</v>
      </c>
      <c r="X11" s="95" t="s">
        <v>583</v>
      </c>
      <c r="Y11" s="133" t="e">
        <f t="shared" si="2"/>
        <v>#VALUE!</v>
      </c>
      <c r="Z11" s="129" t="s">
        <v>584</v>
      </c>
      <c r="AB11" s="131" t="s">
        <v>413</v>
      </c>
      <c r="AC11" s="95" t="s">
        <v>218</v>
      </c>
      <c r="AD11" s="95" t="s">
        <v>607</v>
      </c>
      <c r="AE11" s="135" t="e">
        <f>IF(AD11="","",郵住13(AD11))</f>
        <v>#VALUE!</v>
      </c>
      <c r="AF11" s="97" t="s">
        <v>608</v>
      </c>
      <c r="AH11" s="141" t="s">
        <v>693</v>
      </c>
      <c r="AI11" s="95" t="s">
        <v>714</v>
      </c>
      <c r="AJ11" s="95" t="s">
        <v>715</v>
      </c>
      <c r="AK11" s="95" t="e">
        <f>IF(AJ11="","",郵住13(AJ11))</f>
        <v>#VALUE!</v>
      </c>
      <c r="AL11" s="97" t="s">
        <v>716</v>
      </c>
      <c r="AN11" s="131" t="s">
        <v>785</v>
      </c>
      <c r="AO11" s="95"/>
      <c r="AP11" s="95"/>
      <c r="AQ11" s="95" t="str">
        <f>IF(AP11="","",郵住12(AP11))</f>
        <v/>
      </c>
      <c r="AR11" s="129"/>
      <c r="BF11" s="131" t="s">
        <v>801</v>
      </c>
      <c r="BG11" s="95" t="s">
        <v>751</v>
      </c>
      <c r="BH11" s="95"/>
      <c r="BI11" s="95" t="str">
        <f>IF(BH11="","",郵住13(BH11))</f>
        <v/>
      </c>
      <c r="BJ11" s="129"/>
      <c r="BL11" s="149" t="s">
        <v>1210</v>
      </c>
      <c r="BM11" s="137" t="s">
        <v>1211</v>
      </c>
      <c r="BN11" s="95"/>
      <c r="BO11" s="95" t="str">
        <f>IF(BN11="","",郵住13(BN11))</f>
        <v/>
      </c>
      <c r="BP11" s="97"/>
    </row>
    <row r="12" spans="2:146" x14ac:dyDescent="0.15">
      <c r="B12" s="112" t="s">
        <v>67</v>
      </c>
      <c r="C12" s="110" t="s">
        <v>68</v>
      </c>
      <c r="D12" s="110"/>
      <c r="E12" s="108" t="str">
        <f>IF(D12="","",郵住13(D12))</f>
        <v/>
      </c>
      <c r="F12" s="340"/>
      <c r="G12" s="108"/>
      <c r="H12" s="109" t="s">
        <v>1101</v>
      </c>
      <c r="J12" s="149" t="s">
        <v>1534</v>
      </c>
      <c r="K12" s="137" t="s">
        <v>1535</v>
      </c>
      <c r="L12" s="95"/>
      <c r="M12" s="95"/>
      <c r="N12" s="97"/>
      <c r="P12" s="94" t="s">
        <v>389</v>
      </c>
      <c r="Q12" s="95" t="s">
        <v>200</v>
      </c>
      <c r="R12" s="95" t="s">
        <v>553</v>
      </c>
      <c r="S12" s="95" t="e">
        <f>IF(R12="","",郵住13(R12))</f>
        <v>#VALUE!</v>
      </c>
      <c r="T12" s="129" t="s">
        <v>554</v>
      </c>
      <c r="V12" s="94" t="s">
        <v>404</v>
      </c>
      <c r="W12" s="95" t="s">
        <v>211</v>
      </c>
      <c r="X12" s="95" t="s">
        <v>585</v>
      </c>
      <c r="Y12" s="133" t="e">
        <f t="shared" si="2"/>
        <v>#VALUE!</v>
      </c>
      <c r="Z12" s="129" t="s">
        <v>586</v>
      </c>
      <c r="AB12" s="131" t="s">
        <v>414</v>
      </c>
      <c r="AC12" s="95" t="s">
        <v>219</v>
      </c>
      <c r="AD12" s="95" t="s">
        <v>609</v>
      </c>
      <c r="AE12" s="135" t="e">
        <f>IF(AD12="","",郵住13(AD12))</f>
        <v>#VALUE!</v>
      </c>
      <c r="AF12" s="97" t="s">
        <v>610</v>
      </c>
      <c r="AH12" s="141" t="s">
        <v>694</v>
      </c>
      <c r="AI12" s="95" t="s">
        <v>717</v>
      </c>
      <c r="AJ12" s="95" t="s">
        <v>718</v>
      </c>
      <c r="AK12" s="95" t="e">
        <f>IF(AJ12="","",郵住13(AJ12))</f>
        <v>#VALUE!</v>
      </c>
      <c r="AL12" s="97" t="s">
        <v>719</v>
      </c>
      <c r="AN12" s="131" t="s">
        <v>786</v>
      </c>
      <c r="AO12" s="95"/>
      <c r="AP12" s="95"/>
      <c r="AQ12" s="95" t="str">
        <f>IF(AP12="","",郵住12(AP12))</f>
        <v/>
      </c>
      <c r="AR12" s="129"/>
      <c r="BF12" s="131" t="s">
        <v>802</v>
      </c>
      <c r="BG12" s="95" t="s">
        <v>752</v>
      </c>
      <c r="BH12" s="95" t="s">
        <v>1258</v>
      </c>
      <c r="BI12" s="95" t="e">
        <f>IF(BH12="","",郵住13(BH12))</f>
        <v>#VALUE!</v>
      </c>
      <c r="BJ12" s="129" t="s">
        <v>1259</v>
      </c>
      <c r="BL12" s="149" t="s">
        <v>1293</v>
      </c>
      <c r="BM12" s="137" t="s">
        <v>1294</v>
      </c>
      <c r="BN12" s="95"/>
      <c r="BO12" s="95" t="str">
        <f>IF(BN12="","",郵住13(BN12))</f>
        <v/>
      </c>
      <c r="BP12" s="97"/>
    </row>
    <row r="13" spans="2:146" ht="14.25" thickBot="1" x14ac:dyDescent="0.2">
      <c r="B13" s="112" t="s">
        <v>69</v>
      </c>
      <c r="C13" s="111" t="s">
        <v>5182</v>
      </c>
      <c r="D13" s="111" t="s">
        <v>5183</v>
      </c>
      <c r="E13" s="108" t="e">
        <f>IF(D13="","",郵住13(D13))</f>
        <v>#VALUE!</v>
      </c>
      <c r="F13" s="341"/>
      <c r="G13" s="108" t="s">
        <v>358</v>
      </c>
      <c r="H13" s="109"/>
      <c r="J13" s="141" t="s">
        <v>1937</v>
      </c>
      <c r="K13" s="236" t="s">
        <v>1939</v>
      </c>
      <c r="L13" s="95"/>
      <c r="M13" s="95"/>
      <c r="N13" s="97"/>
      <c r="P13" s="94" t="s">
        <v>390</v>
      </c>
      <c r="Q13" s="95" t="s">
        <v>41</v>
      </c>
      <c r="R13" s="95" t="s">
        <v>557</v>
      </c>
      <c r="S13" s="95" t="e">
        <f>IF(R13="","",郵住13(R13))</f>
        <v>#VALUE!</v>
      </c>
      <c r="T13" s="129" t="s">
        <v>558</v>
      </c>
      <c r="V13" s="94" t="s">
        <v>405</v>
      </c>
      <c r="W13" s="95" t="s">
        <v>212</v>
      </c>
      <c r="X13" s="95" t="s">
        <v>587</v>
      </c>
      <c r="Y13" s="133" t="e">
        <f t="shared" si="2"/>
        <v>#VALUE!</v>
      </c>
      <c r="Z13" s="129" t="s">
        <v>588</v>
      </c>
      <c r="AB13" s="131" t="s">
        <v>415</v>
      </c>
      <c r="AC13" s="95" t="s">
        <v>220</v>
      </c>
      <c r="AD13" s="95" t="s">
        <v>612</v>
      </c>
      <c r="AE13" s="135" t="e">
        <f>IF(AD13="","",郵住13(AD13))</f>
        <v>#VALUE!</v>
      </c>
      <c r="AF13" s="97" t="s">
        <v>613</v>
      </c>
      <c r="AH13" s="141" t="s">
        <v>695</v>
      </c>
      <c r="AI13" s="95" t="s">
        <v>720</v>
      </c>
      <c r="AJ13" s="95" t="s">
        <v>721</v>
      </c>
      <c r="AK13" s="95" t="e">
        <f>IF(AJ13="","",郵住13(AJ13))</f>
        <v>#VALUE!</v>
      </c>
      <c r="AL13" s="97" t="s">
        <v>722</v>
      </c>
      <c r="AN13" s="131" t="s">
        <v>787</v>
      </c>
      <c r="AO13" s="95"/>
      <c r="AP13" s="95"/>
      <c r="AQ13" s="95" t="str">
        <f>IF(AP13="","",郵住12(AP13))</f>
        <v/>
      </c>
      <c r="AR13" s="129"/>
      <c r="BF13" s="139" t="s">
        <v>803</v>
      </c>
      <c r="BG13" s="100" t="s">
        <v>753</v>
      </c>
      <c r="BH13" s="100"/>
      <c r="BI13" s="95" t="str">
        <f>IF(BH13="","",郵住13(BH13))</f>
        <v/>
      </c>
      <c r="BJ13" s="130"/>
      <c r="BL13" s="149" t="s">
        <v>1302</v>
      </c>
      <c r="BM13" s="137" t="s">
        <v>1303</v>
      </c>
      <c r="BN13" s="95"/>
      <c r="BO13" s="95" t="str">
        <f>IF(BN13="","",郵住13(BN13))</f>
        <v/>
      </c>
      <c r="BP13" s="97"/>
    </row>
    <row r="14" spans="2:146" ht="14.25" thickBot="1" x14ac:dyDescent="0.2">
      <c r="B14" s="112" t="s">
        <v>71</v>
      </c>
      <c r="C14" s="110" t="s">
        <v>72</v>
      </c>
      <c r="D14" s="110"/>
      <c r="E14" s="108" t="str">
        <f>IF(D14="","",郵住13(D14))</f>
        <v/>
      </c>
      <c r="F14" s="340"/>
      <c r="G14" s="108"/>
      <c r="H14" s="109"/>
      <c r="J14" s="149" t="s">
        <v>2020</v>
      </c>
      <c r="K14" s="95" t="s">
        <v>2022</v>
      </c>
      <c r="L14" s="95"/>
      <c r="M14" s="95"/>
      <c r="N14" s="97"/>
      <c r="P14" s="94" t="s">
        <v>391</v>
      </c>
      <c r="Q14" s="95" t="s">
        <v>193</v>
      </c>
      <c r="R14" s="95" t="s">
        <v>559</v>
      </c>
      <c r="S14" s="95" t="e">
        <f>IF(R14="","",郵住13(R14))</f>
        <v>#VALUE!</v>
      </c>
      <c r="T14" s="129" t="s">
        <v>560</v>
      </c>
      <c r="V14" s="94" t="s">
        <v>406</v>
      </c>
      <c r="W14" s="95" t="s">
        <v>213</v>
      </c>
      <c r="X14" s="95" t="s">
        <v>589</v>
      </c>
      <c r="Y14" s="133" t="e">
        <f t="shared" si="2"/>
        <v>#VALUE!</v>
      </c>
      <c r="Z14" s="129" t="s">
        <v>590</v>
      </c>
      <c r="AB14" s="131" t="s">
        <v>416</v>
      </c>
      <c r="AC14" s="95" t="s">
        <v>221</v>
      </c>
      <c r="AD14" s="95" t="s">
        <v>614</v>
      </c>
      <c r="AE14" s="135" t="e">
        <f>IF(AD14="","",郵住13(AD14))</f>
        <v>#VALUE!</v>
      </c>
      <c r="AF14" s="97" t="s">
        <v>615</v>
      </c>
      <c r="AH14" s="145" t="s">
        <v>1675</v>
      </c>
      <c r="AI14" s="142" t="s">
        <v>1677</v>
      </c>
      <c r="AJ14" s="142" t="s">
        <v>1678</v>
      </c>
      <c r="AK14" s="95" t="e">
        <f>IF(AJ14="","",郵住13(AJ14))</f>
        <v>#VALUE!</v>
      </c>
      <c r="AL14" s="235" t="s">
        <v>1679</v>
      </c>
      <c r="AN14" s="139" t="s">
        <v>788</v>
      </c>
      <c r="AO14" s="100"/>
      <c r="AP14" s="100"/>
      <c r="AQ14" s="100" t="str">
        <f>IF(AP14="","",郵住12(AP14))</f>
        <v/>
      </c>
      <c r="AR14" s="130"/>
      <c r="BL14" s="149" t="s">
        <v>1657</v>
      </c>
      <c r="BM14" s="137" t="s">
        <v>1658</v>
      </c>
      <c r="BN14" s="95" t="s">
        <v>1659</v>
      </c>
      <c r="BO14" s="95" t="e">
        <f>IF(BN14="","",郵住13(BN14))</f>
        <v>#VALUE!</v>
      </c>
      <c r="BP14" s="159" t="s">
        <v>1660</v>
      </c>
    </row>
    <row r="15" spans="2:146" x14ac:dyDescent="0.15">
      <c r="B15" s="112" t="s">
        <v>73</v>
      </c>
      <c r="C15" s="110" t="s">
        <v>74</v>
      </c>
      <c r="D15" s="110" t="s">
        <v>159</v>
      </c>
      <c r="E15" s="108" t="e">
        <f>IF(D15="","",郵住13(D15))</f>
        <v>#VALUE!</v>
      </c>
      <c r="F15" s="345" t="s">
        <v>171</v>
      </c>
      <c r="G15" s="120" t="s">
        <v>353</v>
      </c>
      <c r="H15" s="121" t="s">
        <v>1188</v>
      </c>
      <c r="J15" s="149" t="s">
        <v>2495</v>
      </c>
      <c r="K15" s="147" t="s">
        <v>2496</v>
      </c>
      <c r="L15" s="95"/>
      <c r="M15" s="95"/>
      <c r="N15" s="97"/>
      <c r="P15" s="94" t="s">
        <v>392</v>
      </c>
      <c r="Q15" s="95" t="s">
        <v>201</v>
      </c>
      <c r="R15" s="95" t="s">
        <v>561</v>
      </c>
      <c r="S15" s="95" t="e">
        <f>IF(R15="","",郵住13(R15))</f>
        <v>#VALUE!</v>
      </c>
      <c r="T15" s="129" t="s">
        <v>562</v>
      </c>
      <c r="V15" s="94" t="s">
        <v>407</v>
      </c>
      <c r="W15" s="95" t="s">
        <v>214</v>
      </c>
      <c r="X15" s="95" t="s">
        <v>591</v>
      </c>
      <c r="Y15" s="133" t="e">
        <f t="shared" si="2"/>
        <v>#VALUE!</v>
      </c>
      <c r="Z15" s="129" t="s">
        <v>592</v>
      </c>
      <c r="AB15" s="131" t="s">
        <v>417</v>
      </c>
      <c r="AC15" s="95" t="s">
        <v>222</v>
      </c>
      <c r="AD15" s="95" t="s">
        <v>616</v>
      </c>
      <c r="AE15" s="135" t="e">
        <f>IF(AD15="","",郵住13(AD15))</f>
        <v>#VALUE!</v>
      </c>
      <c r="AF15" s="97" t="s">
        <v>617</v>
      </c>
      <c r="AR15" s="54"/>
      <c r="BL15" s="149" t="s">
        <v>2225</v>
      </c>
      <c r="BM15" s="137" t="s">
        <v>2227</v>
      </c>
      <c r="BN15" s="95"/>
      <c r="BO15" s="95" t="str">
        <f>IF(BN15="","",郵住13(BN15))</f>
        <v/>
      </c>
      <c r="BP15" s="97"/>
    </row>
    <row r="16" spans="2:146" ht="14.25" thickBot="1" x14ac:dyDescent="0.2">
      <c r="B16" s="112" t="s">
        <v>75</v>
      </c>
      <c r="C16" s="111" t="s">
        <v>1189</v>
      </c>
      <c r="D16" s="110" t="s">
        <v>771</v>
      </c>
      <c r="E16" s="108" t="e">
        <f>IF(D16="","",郵住13(D16))</f>
        <v>#VALUE!</v>
      </c>
      <c r="F16" s="345" t="s">
        <v>772</v>
      </c>
      <c r="G16" s="120" t="s">
        <v>353</v>
      </c>
      <c r="H16" s="121" t="s">
        <v>1190</v>
      </c>
      <c r="J16" s="145" t="s">
        <v>2498</v>
      </c>
      <c r="K16" s="142" t="s">
        <v>2499</v>
      </c>
      <c r="L16" s="100"/>
      <c r="M16" s="100"/>
      <c r="N16" s="101"/>
      <c r="P16" s="94" t="s">
        <v>393</v>
      </c>
      <c r="Q16" s="95" t="s">
        <v>40</v>
      </c>
      <c r="R16" s="95" t="s">
        <v>563</v>
      </c>
      <c r="S16" s="95" t="e">
        <f>IF(R16="","",郵住13(R16))</f>
        <v>#VALUE!</v>
      </c>
      <c r="T16" s="129" t="s">
        <v>564</v>
      </c>
      <c r="V16" s="160" t="s">
        <v>1254</v>
      </c>
      <c r="W16" s="142" t="s">
        <v>1255</v>
      </c>
      <c r="X16" s="142" t="s">
        <v>1256</v>
      </c>
      <c r="Y16" s="133" t="e">
        <f t="shared" si="2"/>
        <v>#VALUE!</v>
      </c>
      <c r="Z16" s="161" t="s">
        <v>1257</v>
      </c>
      <c r="AB16" s="131" t="s">
        <v>418</v>
      </c>
      <c r="AC16" s="95" t="s">
        <v>223</v>
      </c>
      <c r="AD16" s="95" t="s">
        <v>618</v>
      </c>
      <c r="AE16" s="135" t="e">
        <f>IF(AD16="","",郵住13(AD16))</f>
        <v>#VALUE!</v>
      </c>
      <c r="AF16" s="97" t="s">
        <v>619</v>
      </c>
      <c r="BL16" s="145" t="s">
        <v>2600</v>
      </c>
      <c r="BM16" s="142" t="s">
        <v>2602</v>
      </c>
      <c r="BN16" s="100"/>
      <c r="BO16" s="95" t="str">
        <f>IF(BN16="","",郵住13(BN16))</f>
        <v/>
      </c>
      <c r="BP16" s="101"/>
    </row>
    <row r="17" spans="2:32" x14ac:dyDescent="0.15">
      <c r="B17" s="112" t="s">
        <v>76</v>
      </c>
      <c r="C17" s="111" t="s">
        <v>776</v>
      </c>
      <c r="D17" s="110" t="s">
        <v>774</v>
      </c>
      <c r="E17" s="108" t="e">
        <f>IF(D17="","",郵住13(D17))</f>
        <v>#VALUE!</v>
      </c>
      <c r="F17" s="341" t="s">
        <v>775</v>
      </c>
      <c r="G17" s="108" t="s">
        <v>352</v>
      </c>
      <c r="H17" s="109" t="s">
        <v>1104</v>
      </c>
      <c r="P17" s="94" t="s">
        <v>394</v>
      </c>
      <c r="Q17" s="95" t="s">
        <v>202</v>
      </c>
      <c r="R17" s="95" t="s">
        <v>565</v>
      </c>
      <c r="S17" s="95" t="e">
        <f>IF(R17="","",郵住13(R17))</f>
        <v>#VALUE!</v>
      </c>
      <c r="T17" s="129" t="s">
        <v>566</v>
      </c>
      <c r="V17" s="18"/>
      <c r="Y17" s="1"/>
      <c r="AB17" s="131" t="s">
        <v>419</v>
      </c>
      <c r="AC17" s="95" t="s">
        <v>224</v>
      </c>
      <c r="AD17" s="95" t="s">
        <v>620</v>
      </c>
      <c r="AE17" s="135" t="e">
        <f>IF(AD17="","",郵住13(AD17))</f>
        <v>#VALUE!</v>
      </c>
      <c r="AF17" s="97" t="s">
        <v>621</v>
      </c>
    </row>
    <row r="18" spans="2:32" x14ac:dyDescent="0.15">
      <c r="B18" s="112" t="s">
        <v>77</v>
      </c>
      <c r="C18" s="110" t="s">
        <v>78</v>
      </c>
      <c r="D18" s="110"/>
      <c r="E18" s="108" t="str">
        <f>IF(D18="","",郵住13(D18))</f>
        <v/>
      </c>
      <c r="F18" s="340"/>
      <c r="G18" s="108" t="s">
        <v>358</v>
      </c>
      <c r="H18" s="109"/>
      <c r="P18" s="94" t="s">
        <v>395</v>
      </c>
      <c r="Q18" s="95" t="s">
        <v>203</v>
      </c>
      <c r="R18" s="95" t="s">
        <v>567</v>
      </c>
      <c r="S18" s="95" t="e">
        <f>IF(R18="","",郵住13(R18))</f>
        <v>#VALUE!</v>
      </c>
      <c r="T18" s="129" t="s">
        <v>568</v>
      </c>
      <c r="V18" s="18"/>
      <c r="Y18" s="1"/>
      <c r="AB18" s="131" t="s">
        <v>420</v>
      </c>
      <c r="AC18" s="95" t="s">
        <v>225</v>
      </c>
      <c r="AD18" s="95" t="s">
        <v>622</v>
      </c>
      <c r="AE18" s="135" t="e">
        <f>IF(AD18="","",郵住13(AD18))</f>
        <v>#VALUE!</v>
      </c>
      <c r="AF18" s="97" t="s">
        <v>623</v>
      </c>
    </row>
    <row r="19" spans="2:32" x14ac:dyDescent="0.15">
      <c r="B19" s="112" t="s">
        <v>79</v>
      </c>
      <c r="C19" s="110" t="s">
        <v>80</v>
      </c>
      <c r="D19" s="110"/>
      <c r="E19" s="108" t="str">
        <f>IF(D19="","",郵住13(D19))</f>
        <v/>
      </c>
      <c r="F19" s="340"/>
      <c r="G19" s="108" t="s">
        <v>358</v>
      </c>
      <c r="H19" s="109"/>
      <c r="K19" t="str">
        <f>IF(J19="","",郵住13(J19))</f>
        <v/>
      </c>
      <c r="P19" s="94" t="s">
        <v>396</v>
      </c>
      <c r="Q19" s="95" t="s">
        <v>204</v>
      </c>
      <c r="R19" s="95" t="s">
        <v>569</v>
      </c>
      <c r="S19" s="95" t="e">
        <f>IF(R19="","",郵住13(R19))</f>
        <v>#VALUE!</v>
      </c>
      <c r="T19" s="129" t="s">
        <v>570</v>
      </c>
      <c r="Y19" s="1"/>
      <c r="AB19" s="131" t="s">
        <v>421</v>
      </c>
      <c r="AC19" s="95" t="s">
        <v>226</v>
      </c>
      <c r="AD19" s="95" t="s">
        <v>624</v>
      </c>
      <c r="AE19" s="135" t="e">
        <f>IF(AD19="","",郵住13(AD19))</f>
        <v>#VALUE!</v>
      </c>
      <c r="AF19" s="97" t="s">
        <v>625</v>
      </c>
    </row>
    <row r="20" spans="2:32" x14ac:dyDescent="0.15">
      <c r="B20" s="112" t="s">
        <v>38</v>
      </c>
      <c r="C20" s="110" t="s">
        <v>81</v>
      </c>
      <c r="D20" s="110"/>
      <c r="E20" s="108" t="str">
        <f>IF(D20="","",郵住13(D20))</f>
        <v/>
      </c>
      <c r="F20" s="340"/>
      <c r="G20" s="108"/>
      <c r="H20" s="109"/>
      <c r="P20" s="94" t="s">
        <v>1530</v>
      </c>
      <c r="Q20" s="137" t="s">
        <v>1531</v>
      </c>
      <c r="R20" s="137" t="s">
        <v>1532</v>
      </c>
      <c r="S20" s="95" t="e">
        <f>IF(R20="","",郵住13(R20))</f>
        <v>#VALUE!</v>
      </c>
      <c r="T20" s="129" t="s">
        <v>1533</v>
      </c>
      <c r="Y20" s="1"/>
      <c r="AB20" s="131" t="s">
        <v>422</v>
      </c>
      <c r="AC20" s="95" t="s">
        <v>227</v>
      </c>
      <c r="AD20" s="95" t="s">
        <v>626</v>
      </c>
      <c r="AE20" s="135" t="e">
        <f>IF(AD20="","",郵住13(AD20))</f>
        <v>#VALUE!</v>
      </c>
      <c r="AF20" s="97" t="s">
        <v>627</v>
      </c>
    </row>
    <row r="21" spans="2:32" x14ac:dyDescent="0.15">
      <c r="B21" s="112" t="s">
        <v>82</v>
      </c>
      <c r="C21" s="110" t="s">
        <v>83</v>
      </c>
      <c r="D21" s="110"/>
      <c r="E21" s="108" t="str">
        <f>IF(D21="","",郵住13(D21))</f>
        <v/>
      </c>
      <c r="F21" s="340"/>
      <c r="G21" s="120" t="s">
        <v>4299</v>
      </c>
      <c r="H21" s="121"/>
      <c r="P21" s="149" t="s">
        <v>1838</v>
      </c>
      <c r="Q21" s="147" t="s">
        <v>1839</v>
      </c>
      <c r="R21" s="137" t="s">
        <v>1840</v>
      </c>
      <c r="S21" s="95" t="e">
        <f>IF(R21="","",郵住13(R21))</f>
        <v>#VALUE!</v>
      </c>
      <c r="T21" s="237" t="s">
        <v>1841</v>
      </c>
      <c r="Y21" s="1"/>
      <c r="AB21" s="131" t="s">
        <v>423</v>
      </c>
      <c r="AC21" s="95" t="s">
        <v>228</v>
      </c>
      <c r="AD21" s="95" t="s">
        <v>628</v>
      </c>
      <c r="AE21" s="135" t="e">
        <f>IF(AD21="","",郵住13(AD21))</f>
        <v>#VALUE!</v>
      </c>
      <c r="AF21" s="97" t="s">
        <v>629</v>
      </c>
    </row>
    <row r="22" spans="2:32" x14ac:dyDescent="0.15">
      <c r="B22" s="112" t="s">
        <v>84</v>
      </c>
      <c r="C22" s="110" t="s">
        <v>85</v>
      </c>
      <c r="D22" s="110" t="s">
        <v>160</v>
      </c>
      <c r="E22" s="108" t="e">
        <f>IF(D22="","",郵住13(D22))</f>
        <v>#VALUE!</v>
      </c>
      <c r="F22" s="341" t="s">
        <v>172</v>
      </c>
      <c r="G22" s="120" t="s">
        <v>817</v>
      </c>
      <c r="H22" s="121"/>
      <c r="P22" s="149" t="s">
        <v>2136</v>
      </c>
      <c r="Q22" s="137" t="s">
        <v>2138</v>
      </c>
      <c r="R22" s="137" t="s">
        <v>2139</v>
      </c>
      <c r="S22" s="95" t="e">
        <f>IF(R22="","",郵住13(R22))</f>
        <v>#VALUE!</v>
      </c>
      <c r="T22" s="97"/>
      <c r="Y22" s="1"/>
      <c r="AB22" s="131" t="s">
        <v>424</v>
      </c>
      <c r="AC22" s="95" t="s">
        <v>229</v>
      </c>
      <c r="AD22" s="95" t="s">
        <v>630</v>
      </c>
      <c r="AE22" s="135" t="e">
        <f>IF(AD22="","",郵住13(AD22))</f>
        <v>#VALUE!</v>
      </c>
      <c r="AF22" s="97" t="s">
        <v>831</v>
      </c>
    </row>
    <row r="23" spans="2:32" ht="14.25" thickBot="1" x14ac:dyDescent="0.2">
      <c r="B23" s="112" t="s">
        <v>86</v>
      </c>
      <c r="C23" s="110" t="s">
        <v>87</v>
      </c>
      <c r="D23" s="110" t="s">
        <v>1318</v>
      </c>
      <c r="E23" s="108" t="e">
        <f>IF(D23="","",郵住13(D23))</f>
        <v>#VALUE!</v>
      </c>
      <c r="F23" s="340" t="s">
        <v>1319</v>
      </c>
      <c r="G23" s="108" t="s">
        <v>358</v>
      </c>
      <c r="H23" s="109"/>
      <c r="P23" s="145" t="s">
        <v>4233</v>
      </c>
      <c r="Q23" s="142" t="s">
        <v>4235</v>
      </c>
      <c r="R23" s="100"/>
      <c r="S23" s="95" t="str">
        <f>IF(R23="","",郵住13(R23))</f>
        <v/>
      </c>
      <c r="T23" s="101"/>
      <c r="Y23" s="1"/>
      <c r="AB23" s="131" t="s">
        <v>425</v>
      </c>
      <c r="AC23" s="95" t="s">
        <v>230</v>
      </c>
      <c r="AD23" s="95" t="s">
        <v>631</v>
      </c>
      <c r="AE23" s="135" t="e">
        <f>IF(AD23="","",郵住13(AD23))</f>
        <v>#VALUE!</v>
      </c>
      <c r="AF23" s="97" t="s">
        <v>632</v>
      </c>
    </row>
    <row r="24" spans="2:32" x14ac:dyDescent="0.15">
      <c r="B24" s="112" t="s">
        <v>88</v>
      </c>
      <c r="C24" s="110" t="s">
        <v>89</v>
      </c>
      <c r="D24" s="110" t="s">
        <v>170</v>
      </c>
      <c r="E24" s="108" t="e">
        <f>IF(D24="","",郵住13(D24))</f>
        <v>#VALUE!</v>
      </c>
      <c r="F24" s="345" t="s">
        <v>180</v>
      </c>
      <c r="G24" s="108" t="s">
        <v>358</v>
      </c>
      <c r="H24" s="109"/>
      <c r="Y24" s="1"/>
      <c r="AB24" s="131" t="s">
        <v>426</v>
      </c>
      <c r="AC24" s="95" t="s">
        <v>231</v>
      </c>
      <c r="AD24" s="95" t="s">
        <v>633</v>
      </c>
      <c r="AE24" s="135" t="e">
        <f>IF(AD24="","",郵住13(AD24))</f>
        <v>#VALUE!</v>
      </c>
      <c r="AF24" s="97" t="s">
        <v>634</v>
      </c>
    </row>
    <row r="25" spans="2:32" x14ac:dyDescent="0.15">
      <c r="B25" s="112" t="s">
        <v>90</v>
      </c>
      <c r="C25" s="110" t="s">
        <v>91</v>
      </c>
      <c r="D25" s="111" t="s">
        <v>3865</v>
      </c>
      <c r="E25" s="108" t="e">
        <f>IF(D25="","",郵住13(D25))</f>
        <v>#VALUE!</v>
      </c>
      <c r="F25" s="341" t="s">
        <v>3866</v>
      </c>
      <c r="G25" s="111" t="s">
        <v>3867</v>
      </c>
      <c r="H25" s="122"/>
      <c r="Y25" s="1"/>
      <c r="AB25" s="131" t="s">
        <v>427</v>
      </c>
      <c r="AC25" s="95" t="s">
        <v>232</v>
      </c>
      <c r="AD25" s="95" t="s">
        <v>635</v>
      </c>
      <c r="AE25" s="135" t="e">
        <f>IF(AD25="","",郵住13(AD25))</f>
        <v>#VALUE!</v>
      </c>
      <c r="AF25" s="97" t="s">
        <v>636</v>
      </c>
    </row>
    <row r="26" spans="2:32" x14ac:dyDescent="0.15">
      <c r="B26" s="112" t="s">
        <v>39</v>
      </c>
      <c r="C26" s="110" t="s">
        <v>92</v>
      </c>
      <c r="D26" s="110"/>
      <c r="E26" s="108" t="str">
        <f>IF(D26="","",郵住13(D26))</f>
        <v/>
      </c>
      <c r="F26" s="340"/>
      <c r="G26" s="108" t="s">
        <v>358</v>
      </c>
      <c r="H26" s="109"/>
      <c r="Y26" s="1"/>
      <c r="AB26" s="131" t="s">
        <v>428</v>
      </c>
      <c r="AC26" s="133" t="s">
        <v>4327</v>
      </c>
      <c r="AD26" s="95"/>
      <c r="AE26" s="135" t="str">
        <f>IF(AD26="","",郵住13(AD26))</f>
        <v/>
      </c>
      <c r="AF26" s="97"/>
    </row>
    <row r="27" spans="2:32" x14ac:dyDescent="0.15">
      <c r="B27" s="112" t="s">
        <v>93</v>
      </c>
      <c r="C27" s="110" t="s">
        <v>94</v>
      </c>
      <c r="D27" s="110" t="s">
        <v>340</v>
      </c>
      <c r="E27" s="108" t="e">
        <f>IF(D27="","",郵住13(D27))</f>
        <v>#VALUE!</v>
      </c>
      <c r="F27" s="340" t="s">
        <v>341</v>
      </c>
      <c r="G27" s="108" t="s">
        <v>358</v>
      </c>
      <c r="H27" s="109" t="s">
        <v>1183</v>
      </c>
      <c r="Y27" s="1"/>
      <c r="AB27" s="131" t="s">
        <v>429</v>
      </c>
      <c r="AC27" s="95" t="s">
        <v>233</v>
      </c>
      <c r="AD27" s="95" t="s">
        <v>637</v>
      </c>
      <c r="AE27" s="135" t="e">
        <f>IF(AD27="","",郵住13(AD27))</f>
        <v>#VALUE!</v>
      </c>
      <c r="AF27" s="97" t="s">
        <v>638</v>
      </c>
    </row>
    <row r="28" spans="2:32" x14ac:dyDescent="0.15">
      <c r="B28" s="112" t="s">
        <v>95</v>
      </c>
      <c r="C28" s="113" t="s">
        <v>3973</v>
      </c>
      <c r="D28" s="113" t="s">
        <v>3974</v>
      </c>
      <c r="E28" s="108" t="e">
        <f>IF(D28="","",郵住13(D28))</f>
        <v>#VALUE!</v>
      </c>
      <c r="F28" s="346" t="s">
        <v>3975</v>
      </c>
      <c r="G28" s="334" t="s">
        <v>3976</v>
      </c>
      <c r="H28" s="335"/>
      <c r="Y28" s="1"/>
      <c r="AB28" s="131" t="s">
        <v>430</v>
      </c>
      <c r="AC28" s="95" t="s">
        <v>234</v>
      </c>
      <c r="AD28" s="95" t="s">
        <v>639</v>
      </c>
      <c r="AE28" s="135" t="e">
        <f>IF(AD28="","",郵住13(AD28))</f>
        <v>#VALUE!</v>
      </c>
      <c r="AF28" s="97" t="s">
        <v>640</v>
      </c>
    </row>
    <row r="29" spans="2:32" x14ac:dyDescent="0.15">
      <c r="B29" s="112" t="s">
        <v>96</v>
      </c>
      <c r="C29" s="110" t="s">
        <v>97</v>
      </c>
      <c r="D29" s="108" t="s">
        <v>191</v>
      </c>
      <c r="E29" s="108" t="e">
        <f>IF(D29="","",郵住13(D29))</f>
        <v>#VALUE!</v>
      </c>
      <c r="F29" s="341" t="s">
        <v>192</v>
      </c>
      <c r="G29" s="111" t="s">
        <v>353</v>
      </c>
      <c r="H29" s="122"/>
      <c r="Y29" s="1"/>
      <c r="AB29" s="131" t="s">
        <v>431</v>
      </c>
      <c r="AC29" s="95" t="s">
        <v>235</v>
      </c>
      <c r="AD29" s="95" t="s">
        <v>818</v>
      </c>
      <c r="AE29" s="135" t="e">
        <f>IF(AD29="","",郵住13(AD29))</f>
        <v>#VALUE!</v>
      </c>
      <c r="AF29" s="97" t="s">
        <v>819</v>
      </c>
    </row>
    <row r="30" spans="2:32" x14ac:dyDescent="0.15">
      <c r="B30" s="112" t="s">
        <v>98</v>
      </c>
      <c r="C30" s="110" t="s">
        <v>99</v>
      </c>
      <c r="D30" s="110"/>
      <c r="E30" s="108" t="str">
        <f>IF(D30="","",郵住13(D30))</f>
        <v/>
      </c>
      <c r="F30" s="340"/>
      <c r="G30" s="108"/>
      <c r="H30" s="109"/>
      <c r="Y30" s="1"/>
      <c r="AB30" s="131" t="s">
        <v>432</v>
      </c>
      <c r="AC30" s="95" t="s">
        <v>236</v>
      </c>
      <c r="AD30" s="95" t="s">
        <v>820</v>
      </c>
      <c r="AE30" s="135" t="e">
        <f>IF(AD30="","",郵住13(AD30))</f>
        <v>#VALUE!</v>
      </c>
      <c r="AF30" s="97" t="s">
        <v>821</v>
      </c>
    </row>
    <row r="31" spans="2:32" x14ac:dyDescent="0.15">
      <c r="B31" s="112" t="s">
        <v>100</v>
      </c>
      <c r="C31" s="110" t="s">
        <v>101</v>
      </c>
      <c r="D31" s="110" t="s">
        <v>182</v>
      </c>
      <c r="E31" s="108" t="e">
        <f>IF(D31="","",郵住13(D31))</f>
        <v>#VALUE!</v>
      </c>
      <c r="F31" s="341" t="s">
        <v>183</v>
      </c>
      <c r="G31" s="111" t="s">
        <v>353</v>
      </c>
      <c r="H31" s="122" t="s">
        <v>1105</v>
      </c>
      <c r="Y31" s="1"/>
      <c r="AB31" s="131" t="s">
        <v>433</v>
      </c>
      <c r="AC31" s="95" t="s">
        <v>237</v>
      </c>
      <c r="AD31" s="95" t="s">
        <v>822</v>
      </c>
      <c r="AE31" s="135" t="e">
        <f>IF(AD31="","",郵住13(AD31))</f>
        <v>#VALUE!</v>
      </c>
      <c r="AF31" s="97" t="s">
        <v>823</v>
      </c>
    </row>
    <row r="32" spans="2:32" x14ac:dyDescent="0.15">
      <c r="B32" s="107" t="s">
        <v>102</v>
      </c>
      <c r="C32" s="110" t="s">
        <v>103</v>
      </c>
      <c r="D32" s="110" t="s">
        <v>763</v>
      </c>
      <c r="E32" s="108" t="e">
        <f>IF(D32="","",郵住13(D32))</f>
        <v>#VALUE!</v>
      </c>
      <c r="F32" s="340" t="s">
        <v>764</v>
      </c>
      <c r="G32" s="108" t="s">
        <v>358</v>
      </c>
      <c r="H32" s="109"/>
      <c r="Y32" s="1"/>
      <c r="AB32" s="131" t="s">
        <v>434</v>
      </c>
      <c r="AC32" s="95" t="s">
        <v>238</v>
      </c>
      <c r="AD32" s="95" t="s">
        <v>824</v>
      </c>
      <c r="AE32" s="135" t="e">
        <f>IF(AD32="","",郵住13(AD32))</f>
        <v>#VALUE!</v>
      </c>
      <c r="AF32" s="97" t="s">
        <v>825</v>
      </c>
    </row>
    <row r="33" spans="2:32" x14ac:dyDescent="0.15">
      <c r="B33" s="112" t="s">
        <v>104</v>
      </c>
      <c r="C33" s="111" t="s">
        <v>1497</v>
      </c>
      <c r="D33" s="110" t="s">
        <v>1494</v>
      </c>
      <c r="E33" s="108" t="e">
        <f>IF(D33="","",郵住13(D33))</f>
        <v>#VALUE!</v>
      </c>
      <c r="F33" s="347" t="s">
        <v>1495</v>
      </c>
      <c r="G33" s="108" t="s">
        <v>1357</v>
      </c>
      <c r="H33" s="109" t="s">
        <v>1358</v>
      </c>
      <c r="Y33" s="1"/>
      <c r="AB33" s="131" t="s">
        <v>435</v>
      </c>
      <c r="AC33" s="95" t="s">
        <v>239</v>
      </c>
      <c r="AD33" s="95" t="s">
        <v>826</v>
      </c>
      <c r="AE33" s="135" t="e">
        <f>IF(AD33="","",郵住13(AD33))</f>
        <v>#VALUE!</v>
      </c>
      <c r="AF33" s="97" t="s">
        <v>827</v>
      </c>
    </row>
    <row r="34" spans="2:32" x14ac:dyDescent="0.15">
      <c r="B34" s="112" t="s">
        <v>105</v>
      </c>
      <c r="C34" s="110" t="s">
        <v>106</v>
      </c>
      <c r="D34" s="110"/>
      <c r="E34" s="108" t="str">
        <f>IF(D34="","",郵住13(D34))</f>
        <v/>
      </c>
      <c r="F34" s="340"/>
      <c r="G34" s="108"/>
      <c r="H34" s="109"/>
      <c r="Y34" s="1"/>
      <c r="AB34" s="131" t="s">
        <v>436</v>
      </c>
      <c r="AC34" s="95" t="s">
        <v>240</v>
      </c>
      <c r="AD34" s="95" t="s">
        <v>828</v>
      </c>
      <c r="AE34" s="135" t="e">
        <f>IF(AD34="","",郵住13(AD34))</f>
        <v>#VALUE!</v>
      </c>
      <c r="AF34" s="97" t="s">
        <v>829</v>
      </c>
    </row>
    <row r="35" spans="2:32" x14ac:dyDescent="0.15">
      <c r="B35" s="107" t="s">
        <v>107</v>
      </c>
      <c r="C35" s="110" t="s">
        <v>108</v>
      </c>
      <c r="D35" s="110" t="s">
        <v>345</v>
      </c>
      <c r="E35" s="108" t="e">
        <f>IF(D35="","",郵住13(D35))</f>
        <v>#VALUE!</v>
      </c>
      <c r="F35" s="340" t="s">
        <v>346</v>
      </c>
      <c r="G35" s="111" t="s">
        <v>353</v>
      </c>
      <c r="H35" s="122"/>
      <c r="Y35" s="1"/>
      <c r="AB35" s="131" t="s">
        <v>437</v>
      </c>
      <c r="AC35" s="95" t="s">
        <v>2080</v>
      </c>
      <c r="AD35" s="95" t="s">
        <v>830</v>
      </c>
      <c r="AE35" s="135" t="e">
        <f>IF(AD35="","",郵住13(AD35))</f>
        <v>#VALUE!</v>
      </c>
      <c r="AF35" s="138" t="s">
        <v>2081</v>
      </c>
    </row>
    <row r="36" spans="2:32" x14ac:dyDescent="0.15">
      <c r="B36" s="112" t="s">
        <v>109</v>
      </c>
      <c r="C36" s="110" t="s">
        <v>110</v>
      </c>
      <c r="D36" s="110" t="s">
        <v>356</v>
      </c>
      <c r="E36" s="108" t="e">
        <f>IF(D36="","",郵住13(D36))</f>
        <v>#VALUE!</v>
      </c>
      <c r="F36" s="340" t="s">
        <v>357</v>
      </c>
      <c r="G36" s="111" t="s">
        <v>353</v>
      </c>
      <c r="H36" s="122"/>
      <c r="Y36" s="1"/>
      <c r="AB36" s="131" t="s">
        <v>438</v>
      </c>
      <c r="AC36" s="134" t="s">
        <v>241</v>
      </c>
      <c r="AD36" s="133" t="s">
        <v>1586</v>
      </c>
      <c r="AE36" s="135" t="e">
        <f>IF(AD36="","",郵住13(AD36))</f>
        <v>#VALUE!</v>
      </c>
      <c r="AF36" s="97" t="s">
        <v>833</v>
      </c>
    </row>
    <row r="37" spans="2:32" x14ac:dyDescent="0.15">
      <c r="B37" s="107" t="s">
        <v>111</v>
      </c>
      <c r="C37" s="110" t="s">
        <v>112</v>
      </c>
      <c r="D37" s="110" t="s">
        <v>359</v>
      </c>
      <c r="E37" s="108" t="e">
        <f>IF(D37="","",郵住13(D37))</f>
        <v>#VALUE!</v>
      </c>
      <c r="F37" s="340" t="s">
        <v>360</v>
      </c>
      <c r="G37" s="108" t="s">
        <v>358</v>
      </c>
      <c r="H37" s="122" t="s">
        <v>1070</v>
      </c>
      <c r="X37" s="1"/>
      <c r="Y37" s="1"/>
      <c r="AB37" s="131" t="s">
        <v>439</v>
      </c>
      <c r="AC37" s="95" t="s">
        <v>242</v>
      </c>
      <c r="AD37" s="95" t="s">
        <v>832</v>
      </c>
      <c r="AE37" s="135" t="e">
        <f>IF(AD37="","",郵住13(AD37))</f>
        <v>#VALUE!</v>
      </c>
      <c r="AF37" s="97" t="s">
        <v>834</v>
      </c>
    </row>
    <row r="38" spans="2:32" x14ac:dyDescent="0.15">
      <c r="B38" s="112" t="s">
        <v>113</v>
      </c>
      <c r="C38" s="110" t="s">
        <v>114</v>
      </c>
      <c r="D38" s="110"/>
      <c r="E38" s="108" t="str">
        <f>IF(D38="","",郵住13(D38))</f>
        <v/>
      </c>
      <c r="F38" s="340"/>
      <c r="G38" s="110"/>
      <c r="H38" s="123"/>
      <c r="Y38" s="1"/>
      <c r="AB38" s="131" t="s">
        <v>440</v>
      </c>
      <c r="AC38" s="95" t="s">
        <v>243</v>
      </c>
      <c r="AD38" s="95" t="s">
        <v>835</v>
      </c>
      <c r="AE38" s="135" t="e">
        <f>IF(AD38="","",郵住13(AD38))</f>
        <v>#VALUE!</v>
      </c>
      <c r="AF38" s="97" t="s">
        <v>836</v>
      </c>
    </row>
    <row r="39" spans="2:32" x14ac:dyDescent="0.15">
      <c r="B39" s="107" t="s">
        <v>115</v>
      </c>
      <c r="C39" s="110" t="s">
        <v>116</v>
      </c>
      <c r="D39" s="110"/>
      <c r="E39" s="108" t="str">
        <f>IF(D39="","",郵住13(D39))</f>
        <v/>
      </c>
      <c r="F39" s="340"/>
      <c r="G39" s="108"/>
      <c r="H39" s="109"/>
      <c r="Y39" s="1"/>
      <c r="AB39" s="131" t="s">
        <v>441</v>
      </c>
      <c r="AC39" s="95" t="s">
        <v>244</v>
      </c>
      <c r="AD39" s="95" t="s">
        <v>837</v>
      </c>
      <c r="AE39" s="135" t="e">
        <f>IF(AD39="","",郵住13(AD39))</f>
        <v>#VALUE!</v>
      </c>
      <c r="AF39" s="97" t="s">
        <v>838</v>
      </c>
    </row>
    <row r="40" spans="2:32" x14ac:dyDescent="0.15">
      <c r="B40" s="112" t="s">
        <v>117</v>
      </c>
      <c r="C40" s="110" t="s">
        <v>118</v>
      </c>
      <c r="D40" s="110"/>
      <c r="E40" s="108" t="str">
        <f>IF(D40="","",郵住13(D40))</f>
        <v/>
      </c>
      <c r="F40" s="340"/>
      <c r="G40" s="108"/>
      <c r="H40" s="109"/>
      <c r="Y40" s="1"/>
      <c r="AB40" s="131" t="s">
        <v>442</v>
      </c>
      <c r="AC40" s="490" t="s">
        <v>245</v>
      </c>
      <c r="AD40" s="133" t="s">
        <v>5174</v>
      </c>
      <c r="AE40" s="135" t="e">
        <f>IF(AD40="","",郵住13(AD40))</f>
        <v>#VALUE!</v>
      </c>
      <c r="AF40" s="97" t="s">
        <v>839</v>
      </c>
    </row>
    <row r="41" spans="2:32" x14ac:dyDescent="0.15">
      <c r="B41" s="107" t="s">
        <v>44</v>
      </c>
      <c r="C41" s="110" t="s">
        <v>4648</v>
      </c>
      <c r="D41" s="110" t="s">
        <v>4649</v>
      </c>
      <c r="E41" s="108" t="e">
        <f>IF(D41="","",郵住13(D41))</f>
        <v>#VALUE!</v>
      </c>
      <c r="F41" s="463" t="s">
        <v>4650</v>
      </c>
      <c r="G41" s="108" t="s">
        <v>4651</v>
      </c>
      <c r="H41" s="109"/>
      <c r="Y41" s="1"/>
      <c r="AB41" s="131" t="s">
        <v>443</v>
      </c>
      <c r="AC41" s="95" t="s">
        <v>246</v>
      </c>
      <c r="AD41" s="95" t="s">
        <v>840</v>
      </c>
      <c r="AE41" s="135" t="e">
        <f>IF(AD41="","",郵住13(AD41))</f>
        <v>#VALUE!</v>
      </c>
      <c r="AF41" s="97" t="s">
        <v>841</v>
      </c>
    </row>
    <row r="42" spans="2:32" x14ac:dyDescent="0.15">
      <c r="B42" s="112" t="s">
        <v>45</v>
      </c>
      <c r="C42" s="110" t="s">
        <v>119</v>
      </c>
      <c r="D42" s="110"/>
      <c r="E42" s="108" t="str">
        <f>IF(D42="","",郵住13(D42))</f>
        <v/>
      </c>
      <c r="F42" s="340"/>
      <c r="G42" s="108"/>
      <c r="H42" s="109"/>
      <c r="Y42" s="1"/>
      <c r="AB42" s="131" t="s">
        <v>444</v>
      </c>
      <c r="AC42" s="95" t="s">
        <v>247</v>
      </c>
      <c r="AD42" s="95" t="s">
        <v>641</v>
      </c>
      <c r="AE42" s="135" t="e">
        <f>IF(AD42="","",郵住13(AD42))</f>
        <v>#VALUE!</v>
      </c>
      <c r="AF42" s="97" t="s">
        <v>642</v>
      </c>
    </row>
    <row r="43" spans="2:32" x14ac:dyDescent="0.15">
      <c r="B43" s="107" t="s">
        <v>120</v>
      </c>
      <c r="C43" s="110" t="s">
        <v>121</v>
      </c>
      <c r="D43" s="110"/>
      <c r="E43" s="108" t="str">
        <f>IF(D43="","",郵住13(D43))</f>
        <v/>
      </c>
      <c r="F43" s="340"/>
      <c r="G43" s="108"/>
      <c r="H43" s="109"/>
      <c r="Y43" s="1"/>
      <c r="AB43" s="131" t="s">
        <v>445</v>
      </c>
      <c r="AC43" s="95" t="s">
        <v>248</v>
      </c>
      <c r="AD43" s="95" t="s">
        <v>643</v>
      </c>
      <c r="AE43" s="135" t="e">
        <f>IF(AD43="","",郵住13(AD43))</f>
        <v>#VALUE!</v>
      </c>
      <c r="AF43" s="97" t="s">
        <v>644</v>
      </c>
    </row>
    <row r="44" spans="2:32" x14ac:dyDescent="0.15">
      <c r="B44" s="112" t="s">
        <v>46</v>
      </c>
      <c r="C44" s="110" t="s">
        <v>122</v>
      </c>
      <c r="D44" s="110"/>
      <c r="E44" s="108" t="str">
        <f>IF(D44="","",郵住13(D44))</f>
        <v/>
      </c>
      <c r="F44" s="340"/>
      <c r="G44" s="108"/>
      <c r="H44" s="109"/>
      <c r="Y44" s="1"/>
      <c r="AB44" s="131" t="s">
        <v>446</v>
      </c>
      <c r="AC44" s="95" t="s">
        <v>535</v>
      </c>
      <c r="AD44" s="95" t="s">
        <v>645</v>
      </c>
      <c r="AE44" s="135" t="e">
        <f>IF(AD44="","",郵住13(AD44))</f>
        <v>#VALUE!</v>
      </c>
      <c r="AF44" s="97" t="s">
        <v>646</v>
      </c>
    </row>
    <row r="45" spans="2:32" x14ac:dyDescent="0.15">
      <c r="B45" s="107" t="s">
        <v>123</v>
      </c>
      <c r="C45" s="110" t="s">
        <v>1331</v>
      </c>
      <c r="D45" s="110" t="s">
        <v>1332</v>
      </c>
      <c r="E45" s="108" t="e">
        <f>IF(D45="","",郵住13(D45))</f>
        <v>#VALUE!</v>
      </c>
      <c r="F45" s="340" t="s">
        <v>1333</v>
      </c>
      <c r="G45" s="108" t="s">
        <v>1329</v>
      </c>
      <c r="H45" s="123" t="s">
        <v>1334</v>
      </c>
      <c r="Y45" s="1"/>
      <c r="AB45" s="131" t="s">
        <v>447</v>
      </c>
      <c r="AC45" s="95" t="s">
        <v>249</v>
      </c>
      <c r="AD45" s="95" t="s">
        <v>647</v>
      </c>
      <c r="AE45" s="135" t="e">
        <f>IF(AD45="","",郵住13(AD45))</f>
        <v>#VALUE!</v>
      </c>
      <c r="AF45" s="97" t="s">
        <v>648</v>
      </c>
    </row>
    <row r="46" spans="2:32" x14ac:dyDescent="0.15">
      <c r="B46" s="112" t="s">
        <v>124</v>
      </c>
      <c r="C46" s="110" t="s">
        <v>125</v>
      </c>
      <c r="D46" s="110"/>
      <c r="E46" s="108" t="str">
        <f>IF(D46="","",郵住13(D46))</f>
        <v/>
      </c>
      <c r="F46" s="340"/>
      <c r="G46" s="108"/>
      <c r="H46" s="109"/>
      <c r="V46" s="1"/>
      <c r="Y46" s="1"/>
      <c r="AB46" s="131" t="s">
        <v>448</v>
      </c>
      <c r="AC46" s="95" t="s">
        <v>250</v>
      </c>
      <c r="AD46" s="95" t="s">
        <v>649</v>
      </c>
      <c r="AE46" s="135" t="e">
        <f>IF(AD46="","",郵住13(AD46))</f>
        <v>#VALUE!</v>
      </c>
      <c r="AF46" s="97" t="s">
        <v>650</v>
      </c>
    </row>
    <row r="47" spans="2:32" x14ac:dyDescent="0.15">
      <c r="B47" s="107" t="s">
        <v>47</v>
      </c>
      <c r="C47" s="110" t="s">
        <v>126</v>
      </c>
      <c r="D47" s="110" t="s">
        <v>188</v>
      </c>
      <c r="E47" s="108" t="e">
        <f>IF(D47="","",郵住13(D47))</f>
        <v>#VALUE!</v>
      </c>
      <c r="F47" s="341" t="s">
        <v>189</v>
      </c>
      <c r="G47" s="111"/>
      <c r="H47" s="122" t="s">
        <v>1184</v>
      </c>
      <c r="Y47" s="1"/>
      <c r="AB47" s="131" t="s">
        <v>449</v>
      </c>
      <c r="AC47" s="95" t="s">
        <v>251</v>
      </c>
      <c r="AD47" s="95" t="s">
        <v>651</v>
      </c>
      <c r="AE47" s="135" t="e">
        <f>IF(AD47="","",郵住13(AD47))</f>
        <v>#VALUE!</v>
      </c>
      <c r="AF47" s="97" t="s">
        <v>652</v>
      </c>
    </row>
    <row r="48" spans="2:32" x14ac:dyDescent="0.15">
      <c r="B48" s="112" t="s">
        <v>127</v>
      </c>
      <c r="C48" s="110" t="s">
        <v>128</v>
      </c>
      <c r="D48" s="110" t="s">
        <v>327</v>
      </c>
      <c r="E48" s="108" t="e">
        <f>IF(D48="","",郵住13(D48))</f>
        <v>#VALUE!</v>
      </c>
      <c r="F48" s="340" t="s">
        <v>328</v>
      </c>
      <c r="G48" s="111" t="s">
        <v>4484</v>
      </c>
      <c r="H48" s="109"/>
      <c r="Y48" s="1"/>
      <c r="AB48" s="131" t="s">
        <v>450</v>
      </c>
      <c r="AC48" s="95" t="s">
        <v>252</v>
      </c>
      <c r="AD48" s="95" t="s">
        <v>653</v>
      </c>
      <c r="AE48" s="135" t="e">
        <f>IF(AD48="","",郵住13(AD48))</f>
        <v>#VALUE!</v>
      </c>
      <c r="AF48" s="97" t="s">
        <v>654</v>
      </c>
    </row>
    <row r="49" spans="2:32" x14ac:dyDescent="0.15">
      <c r="B49" s="107" t="s">
        <v>129</v>
      </c>
      <c r="C49" s="110" t="s">
        <v>130</v>
      </c>
      <c r="D49" s="110" t="s">
        <v>161</v>
      </c>
      <c r="E49" s="108" t="e">
        <f>IF(D49="","",郵住13(D49))</f>
        <v>#VALUE!</v>
      </c>
      <c r="F49" s="341" t="s">
        <v>173</v>
      </c>
      <c r="G49" s="111" t="s">
        <v>353</v>
      </c>
      <c r="H49" s="122"/>
      <c r="Y49" s="55"/>
      <c r="Z49" s="56"/>
      <c r="AB49" s="136" t="s">
        <v>451</v>
      </c>
      <c r="AC49" s="137" t="s">
        <v>253</v>
      </c>
      <c r="AD49" s="95" t="s">
        <v>842</v>
      </c>
      <c r="AE49" s="135" t="e">
        <f>IF(AD49="","",郵住13(AD49))</f>
        <v>#VALUE!</v>
      </c>
      <c r="AF49" s="97" t="s">
        <v>843</v>
      </c>
    </row>
    <row r="50" spans="2:32" x14ac:dyDescent="0.15">
      <c r="B50" s="107" t="s">
        <v>131</v>
      </c>
      <c r="C50" s="110" t="s">
        <v>132</v>
      </c>
      <c r="D50" s="110" t="s">
        <v>184</v>
      </c>
      <c r="E50" s="108" t="e">
        <f>IF(D50="","",郵住13(D50))</f>
        <v>#VALUE!</v>
      </c>
      <c r="F50" s="341" t="s">
        <v>185</v>
      </c>
      <c r="G50" s="111" t="s">
        <v>353</v>
      </c>
      <c r="H50" s="122"/>
      <c r="Y50" s="1"/>
      <c r="AB50" s="131" t="s">
        <v>452</v>
      </c>
      <c r="AC50" s="133" t="s">
        <v>727</v>
      </c>
      <c r="AD50" s="95" t="s">
        <v>844</v>
      </c>
      <c r="AE50" s="135" t="e">
        <f>IF(AD50="","",郵住13(AD50))</f>
        <v>#VALUE!</v>
      </c>
      <c r="AF50" s="97" t="s">
        <v>845</v>
      </c>
    </row>
    <row r="51" spans="2:32" x14ac:dyDescent="0.15">
      <c r="B51" s="107" t="s">
        <v>133</v>
      </c>
      <c r="C51" s="110" t="s">
        <v>134</v>
      </c>
      <c r="D51" s="110" t="s">
        <v>186</v>
      </c>
      <c r="E51" s="108" t="e">
        <f>IF(D51="","",郵住13(D51))</f>
        <v>#VALUE!</v>
      </c>
      <c r="F51" s="341" t="s">
        <v>187</v>
      </c>
      <c r="G51" s="111" t="s">
        <v>353</v>
      </c>
      <c r="H51" s="122"/>
      <c r="Y51" s="1"/>
      <c r="AB51" s="131" t="s">
        <v>453</v>
      </c>
      <c r="AC51" s="95" t="s">
        <v>254</v>
      </c>
      <c r="AD51" s="95" t="s">
        <v>850</v>
      </c>
      <c r="AE51" s="135" t="e">
        <f>IF(AD51="","",郵住13(AD51))</f>
        <v>#VALUE!</v>
      </c>
      <c r="AF51" s="97" t="s">
        <v>851</v>
      </c>
    </row>
    <row r="52" spans="2:32" x14ac:dyDescent="0.15">
      <c r="B52" s="107" t="s">
        <v>135</v>
      </c>
      <c r="C52" s="110" t="s">
        <v>136</v>
      </c>
      <c r="D52" s="110" t="s">
        <v>169</v>
      </c>
      <c r="E52" s="108" t="e">
        <f>IF(D52="","",郵住13(D52))</f>
        <v>#VALUE!</v>
      </c>
      <c r="F52" s="341" t="s">
        <v>179</v>
      </c>
      <c r="G52" s="108" t="s">
        <v>358</v>
      </c>
      <c r="H52" s="109"/>
      <c r="Y52" s="1"/>
      <c r="AB52" s="131" t="s">
        <v>454</v>
      </c>
      <c r="AC52" s="95" t="s">
        <v>255</v>
      </c>
      <c r="AD52" s="95" t="s">
        <v>852</v>
      </c>
      <c r="AE52" s="135" t="e">
        <f>IF(AD52="","",郵住13(AD52))</f>
        <v>#VALUE!</v>
      </c>
      <c r="AF52" s="97" t="s">
        <v>853</v>
      </c>
    </row>
    <row r="53" spans="2:32" x14ac:dyDescent="0.15">
      <c r="B53" s="107" t="s">
        <v>137</v>
      </c>
      <c r="C53" s="110" t="s">
        <v>138</v>
      </c>
      <c r="D53" s="110"/>
      <c r="E53" s="108" t="str">
        <f>IF(D53="","",郵住13(D53))</f>
        <v/>
      </c>
      <c r="F53" s="340"/>
      <c r="G53" s="108"/>
      <c r="H53" s="109"/>
      <c r="Y53" s="1"/>
      <c r="AB53" s="131" t="s">
        <v>455</v>
      </c>
      <c r="AC53" s="490" t="s">
        <v>256</v>
      </c>
      <c r="AD53" s="133" t="s">
        <v>5175</v>
      </c>
      <c r="AE53" s="135" t="e">
        <f>IF(AD53="","",郵住13(AD53))</f>
        <v>#VALUE!</v>
      </c>
      <c r="AF53" s="97" t="s">
        <v>854</v>
      </c>
    </row>
    <row r="54" spans="2:32" x14ac:dyDescent="0.15">
      <c r="B54" s="107" t="s">
        <v>139</v>
      </c>
      <c r="C54" s="110" t="s">
        <v>140</v>
      </c>
      <c r="D54" s="110" t="s">
        <v>162</v>
      </c>
      <c r="E54" s="108" t="e">
        <f>IF(D54="","",郵住13(D54))</f>
        <v>#VALUE!</v>
      </c>
      <c r="F54" s="341" t="s">
        <v>174</v>
      </c>
      <c r="G54" s="108" t="s">
        <v>358</v>
      </c>
      <c r="H54" s="122" t="s">
        <v>1185</v>
      </c>
      <c r="Y54" s="1"/>
      <c r="AB54" s="131" t="s">
        <v>456</v>
      </c>
      <c r="AC54" s="95" t="s">
        <v>257</v>
      </c>
      <c r="AD54" s="95" t="s">
        <v>855</v>
      </c>
      <c r="AE54" s="135" t="e">
        <f>IF(AD54="","",郵住13(AD54))</f>
        <v>#VALUE!</v>
      </c>
      <c r="AF54" s="97" t="s">
        <v>856</v>
      </c>
    </row>
    <row r="55" spans="2:32" x14ac:dyDescent="0.15">
      <c r="B55" s="107" t="s">
        <v>141</v>
      </c>
      <c r="C55" s="110" t="s">
        <v>330</v>
      </c>
      <c r="D55" s="110" t="s">
        <v>181</v>
      </c>
      <c r="E55" s="108" t="e">
        <f>IF(D55="","",郵住13(D55))</f>
        <v>#VALUE!</v>
      </c>
      <c r="F55" s="340"/>
      <c r="G55" s="108" t="s">
        <v>358</v>
      </c>
      <c r="H55" s="122" t="s">
        <v>1107</v>
      </c>
      <c r="Y55" s="1"/>
      <c r="AB55" s="131" t="s">
        <v>457</v>
      </c>
      <c r="AC55" s="95" t="s">
        <v>655</v>
      </c>
      <c r="AD55" s="95" t="s">
        <v>846</v>
      </c>
      <c r="AE55" s="135" t="e">
        <f>IF(AD55="","",郵住13(AD55))</f>
        <v>#VALUE!</v>
      </c>
      <c r="AF55" s="97" t="s">
        <v>847</v>
      </c>
    </row>
    <row r="56" spans="2:32" x14ac:dyDescent="0.15">
      <c r="B56" s="107" t="s">
        <v>142</v>
      </c>
      <c r="C56" s="110" t="s">
        <v>143</v>
      </c>
      <c r="D56" s="110"/>
      <c r="E56" s="108" t="str">
        <f>IF(D56="","",郵住13(D56))</f>
        <v/>
      </c>
      <c r="F56" s="340"/>
      <c r="G56" s="108"/>
      <c r="H56" s="109"/>
      <c r="Y56" s="1"/>
      <c r="AB56" s="131" t="s">
        <v>458</v>
      </c>
      <c r="AC56" s="95" t="s">
        <v>656</v>
      </c>
      <c r="AD56" s="95" t="s">
        <v>858</v>
      </c>
      <c r="AE56" s="135" t="e">
        <f>IF(AD56="","",郵住13(AD56))</f>
        <v>#VALUE!</v>
      </c>
      <c r="AF56" s="97" t="s">
        <v>859</v>
      </c>
    </row>
    <row r="57" spans="2:32" x14ac:dyDescent="0.15">
      <c r="B57" s="107" t="s">
        <v>144</v>
      </c>
      <c r="C57" s="110" t="s">
        <v>145</v>
      </c>
      <c r="D57" s="110" t="s">
        <v>168</v>
      </c>
      <c r="E57" s="108" t="e">
        <f>IF(D57="","",郵住13(D57))</f>
        <v>#VALUE!</v>
      </c>
      <c r="F57" s="341" t="s">
        <v>178</v>
      </c>
      <c r="G57" s="108" t="s">
        <v>358</v>
      </c>
      <c r="H57" s="109" t="s">
        <v>1108</v>
      </c>
      <c r="Y57" s="1"/>
      <c r="AB57" s="131" t="s">
        <v>459</v>
      </c>
      <c r="AC57" s="95" t="s">
        <v>657</v>
      </c>
      <c r="AD57" s="95" t="s">
        <v>860</v>
      </c>
      <c r="AE57" s="135" t="e">
        <f>IF(AD57="","",郵住13(AD57))</f>
        <v>#VALUE!</v>
      </c>
      <c r="AF57" s="97" t="s">
        <v>861</v>
      </c>
    </row>
    <row r="58" spans="2:32" x14ac:dyDescent="0.15">
      <c r="B58" s="107" t="s">
        <v>146</v>
      </c>
      <c r="C58" s="110" t="s">
        <v>147</v>
      </c>
      <c r="D58" s="110" t="s">
        <v>163</v>
      </c>
      <c r="E58" s="108" t="e">
        <f>IF(D58="","",郵住13(D58))</f>
        <v>#VALUE!</v>
      </c>
      <c r="F58" s="341" t="s">
        <v>773</v>
      </c>
      <c r="G58" s="108" t="s">
        <v>358</v>
      </c>
      <c r="H58" s="109" t="s">
        <v>1109</v>
      </c>
      <c r="Y58" s="1"/>
      <c r="AB58" s="131" t="s">
        <v>460</v>
      </c>
      <c r="AC58" s="95" t="s">
        <v>658</v>
      </c>
      <c r="AD58" s="95" t="s">
        <v>862</v>
      </c>
      <c r="AE58" s="135" t="e">
        <f>IF(AD58="","",郵住13(AD58))</f>
        <v>#VALUE!</v>
      </c>
      <c r="AF58" s="97" t="s">
        <v>863</v>
      </c>
    </row>
    <row r="59" spans="2:32" x14ac:dyDescent="0.15">
      <c r="B59" s="107" t="s">
        <v>48</v>
      </c>
      <c r="C59" s="110" t="s">
        <v>148</v>
      </c>
      <c r="D59" s="110" t="s">
        <v>757</v>
      </c>
      <c r="E59" s="108" t="e">
        <f>IF(D59="","",郵住13(D59))</f>
        <v>#VALUE!</v>
      </c>
      <c r="F59" s="340" t="s">
        <v>758</v>
      </c>
      <c r="G59" s="108" t="s">
        <v>358</v>
      </c>
      <c r="H59" s="122" t="s">
        <v>1186</v>
      </c>
      <c r="Y59" s="1"/>
      <c r="AB59" s="131" t="s">
        <v>461</v>
      </c>
      <c r="AC59" s="95" t="s">
        <v>659</v>
      </c>
      <c r="AD59" s="95" t="s">
        <v>660</v>
      </c>
      <c r="AE59" s="135" t="e">
        <f>IF(AD59="","",郵住13(AD59))</f>
        <v>#VALUE!</v>
      </c>
      <c r="AF59" s="97" t="s">
        <v>661</v>
      </c>
    </row>
    <row r="60" spans="2:32" x14ac:dyDescent="0.15">
      <c r="B60" s="107" t="s">
        <v>149</v>
      </c>
      <c r="C60" s="110" t="s">
        <v>4139</v>
      </c>
      <c r="D60" s="110" t="s">
        <v>4138</v>
      </c>
      <c r="E60" s="108" t="e">
        <f>IF(D60="","",郵住13(D60))</f>
        <v>#VALUE!</v>
      </c>
      <c r="F60" s="340" t="s">
        <v>4140</v>
      </c>
      <c r="G60" s="108" t="s">
        <v>4293</v>
      </c>
      <c r="H60" s="109"/>
      <c r="Y60" s="1"/>
      <c r="AB60" s="131" t="s">
        <v>462</v>
      </c>
      <c r="AC60" s="133" t="s">
        <v>1150</v>
      </c>
      <c r="AD60" s="95" t="s">
        <v>864</v>
      </c>
      <c r="AE60" s="135" t="e">
        <f>IF(AD60="","",郵住13(AD60))</f>
        <v>#VALUE!</v>
      </c>
      <c r="AF60" s="97" t="s">
        <v>865</v>
      </c>
    </row>
    <row r="61" spans="2:32" x14ac:dyDescent="0.15">
      <c r="B61" s="107" t="s">
        <v>150</v>
      </c>
      <c r="C61" s="110" t="s">
        <v>151</v>
      </c>
      <c r="D61" s="111" t="s">
        <v>1304</v>
      </c>
      <c r="E61" s="108" t="e">
        <f>IF(D61="","",郵住13(D61))</f>
        <v>#VALUE!</v>
      </c>
      <c r="F61" s="341" t="s">
        <v>1305</v>
      </c>
      <c r="G61" s="111" t="s">
        <v>756</v>
      </c>
      <c r="H61" s="122"/>
      <c r="Y61" s="1"/>
      <c r="AB61" s="131" t="s">
        <v>463</v>
      </c>
      <c r="AC61" s="95" t="s">
        <v>662</v>
      </c>
      <c r="AD61" s="95" t="s">
        <v>866</v>
      </c>
      <c r="AE61" s="135" t="e">
        <f>IF(AD61="","",郵住13(AD61))</f>
        <v>#VALUE!</v>
      </c>
      <c r="AF61" s="97" t="s">
        <v>867</v>
      </c>
    </row>
    <row r="62" spans="2:32" x14ac:dyDescent="0.15">
      <c r="B62" s="107" t="s">
        <v>152</v>
      </c>
      <c r="C62" s="110" t="s">
        <v>153</v>
      </c>
      <c r="D62" s="110" t="s">
        <v>164</v>
      </c>
      <c r="E62" s="108" t="e">
        <f>IF(D62="","",郵住13(D62))</f>
        <v>#VALUE!</v>
      </c>
      <c r="F62" s="341" t="s">
        <v>175</v>
      </c>
      <c r="G62" s="111" t="s">
        <v>353</v>
      </c>
      <c r="H62" s="122"/>
      <c r="J62" s="1" t="s">
        <v>1187</v>
      </c>
      <c r="K62">
        <f>VLOOKUP(J62,顧客,7,0)</f>
        <v>0</v>
      </c>
      <c r="Y62" s="1"/>
      <c r="AB62" s="131" t="s">
        <v>464</v>
      </c>
      <c r="AC62" s="95" t="s">
        <v>663</v>
      </c>
      <c r="AD62" s="95" t="s">
        <v>868</v>
      </c>
      <c r="AE62" s="135" t="e">
        <f>IF(AD62="","",郵住13(AD62))</f>
        <v>#VALUE!</v>
      </c>
      <c r="AF62" s="97" t="s">
        <v>869</v>
      </c>
    </row>
    <row r="63" spans="2:32" x14ac:dyDescent="0.15">
      <c r="B63" s="107" t="s">
        <v>154</v>
      </c>
      <c r="C63" s="111" t="s">
        <v>1571</v>
      </c>
      <c r="D63" s="111" t="s">
        <v>1547</v>
      </c>
      <c r="E63" s="108" t="e">
        <f>IF(D63="","",郵住13(D63))</f>
        <v>#VALUE!</v>
      </c>
      <c r="F63" s="341" t="s">
        <v>1549</v>
      </c>
      <c r="G63" s="111" t="s">
        <v>1548</v>
      </c>
      <c r="H63" s="122"/>
      <c r="Y63" s="1"/>
      <c r="AB63" s="131" t="s">
        <v>465</v>
      </c>
      <c r="AC63" s="95" t="s">
        <v>664</v>
      </c>
      <c r="AD63" s="95" t="s">
        <v>870</v>
      </c>
      <c r="AE63" s="135" t="e">
        <f>IF(AD63="","",郵住13(AD63))</f>
        <v>#VALUE!</v>
      </c>
      <c r="AF63" s="97" t="s">
        <v>871</v>
      </c>
    </row>
    <row r="64" spans="2:32" x14ac:dyDescent="0.15">
      <c r="B64" s="107" t="s">
        <v>49</v>
      </c>
      <c r="C64" s="110" t="s">
        <v>156</v>
      </c>
      <c r="D64" s="110"/>
      <c r="E64" s="108" t="str">
        <f>IF(D64="","",郵住13(D64))</f>
        <v/>
      </c>
      <c r="F64" s="340"/>
      <c r="G64" s="108"/>
      <c r="H64" s="109"/>
      <c r="Y64" s="1"/>
      <c r="AB64" s="131" t="s">
        <v>466</v>
      </c>
      <c r="AC64" s="95" t="s">
        <v>665</v>
      </c>
      <c r="AD64" s="95" t="s">
        <v>872</v>
      </c>
      <c r="AE64" s="135" t="e">
        <f>IF(AD64="","",郵住13(AD64))</f>
        <v>#VALUE!</v>
      </c>
      <c r="AF64" s="97" t="s">
        <v>873</v>
      </c>
    </row>
    <row r="65" spans="2:32" x14ac:dyDescent="0.15">
      <c r="B65" s="107" t="s">
        <v>157</v>
      </c>
      <c r="C65" s="113" t="s">
        <v>1112</v>
      </c>
      <c r="D65" s="110"/>
      <c r="E65" s="108" t="str">
        <f>IF(D65="","",郵住13(D65))</f>
        <v/>
      </c>
      <c r="F65" s="340"/>
      <c r="G65" s="111" t="s">
        <v>353</v>
      </c>
      <c r="H65" s="122"/>
      <c r="Y65" s="1"/>
      <c r="AB65" s="131" t="s">
        <v>467</v>
      </c>
      <c r="AC65" s="95" t="s">
        <v>666</v>
      </c>
      <c r="AD65" s="95" t="s">
        <v>874</v>
      </c>
      <c r="AE65" s="135" t="e">
        <f>IF(AD65="","",郵住13(AD65))</f>
        <v>#VALUE!</v>
      </c>
      <c r="AF65" s="97" t="s">
        <v>875</v>
      </c>
    </row>
    <row r="66" spans="2:32" x14ac:dyDescent="0.15">
      <c r="B66" s="112" t="s">
        <v>342</v>
      </c>
      <c r="C66" s="113" t="s">
        <v>532</v>
      </c>
      <c r="D66" s="110"/>
      <c r="E66" s="108" t="str">
        <f>IF(D66="","",郵住13(D66))</f>
        <v/>
      </c>
      <c r="F66" s="340"/>
      <c r="G66" s="111" t="s">
        <v>353</v>
      </c>
      <c r="H66" s="122"/>
      <c r="Y66" s="1"/>
      <c r="AB66" s="131" t="s">
        <v>468</v>
      </c>
      <c r="AC66" s="133" t="s">
        <v>4485</v>
      </c>
      <c r="AD66" s="95" t="s">
        <v>876</v>
      </c>
      <c r="AE66" s="135" t="e">
        <f>IF(AD66="","",郵住13(AD66))</f>
        <v>#VALUE!</v>
      </c>
      <c r="AF66" s="97" t="s">
        <v>877</v>
      </c>
    </row>
    <row r="67" spans="2:32" x14ac:dyDescent="0.15">
      <c r="B67" s="112" t="s">
        <v>343</v>
      </c>
      <c r="C67" s="113" t="s">
        <v>344</v>
      </c>
      <c r="D67" s="110"/>
      <c r="E67" s="108" t="str">
        <f>IF(D67="","",郵住13(D67))</f>
        <v/>
      </c>
      <c r="F67" s="340"/>
      <c r="G67" s="110" t="s">
        <v>1114</v>
      </c>
      <c r="H67" s="123"/>
      <c r="Y67" s="1"/>
      <c r="AB67" s="131" t="s">
        <v>469</v>
      </c>
      <c r="AC67" s="95" t="s">
        <v>667</v>
      </c>
      <c r="AD67" s="95" t="s">
        <v>878</v>
      </c>
      <c r="AE67" s="135" t="e">
        <f>IF(AD67="","",郵住13(AD67))</f>
        <v>#VALUE!</v>
      </c>
      <c r="AF67" s="97" t="s">
        <v>879</v>
      </c>
    </row>
    <row r="68" spans="2:32" x14ac:dyDescent="0.15">
      <c r="B68" s="124" t="s">
        <v>348</v>
      </c>
      <c r="C68" s="110" t="s">
        <v>349</v>
      </c>
      <c r="D68" s="110" t="s">
        <v>354</v>
      </c>
      <c r="E68" s="108" t="e">
        <f>IF(D68="","",郵住13(D68))</f>
        <v>#VALUE!</v>
      </c>
      <c r="F68" s="340" t="s">
        <v>355</v>
      </c>
      <c r="G68" s="110" t="s">
        <v>352</v>
      </c>
      <c r="H68" s="123"/>
      <c r="Y68" s="1"/>
      <c r="AB68" s="131" t="s">
        <v>470</v>
      </c>
      <c r="AC68" s="95" t="s">
        <v>668</v>
      </c>
      <c r="AD68" s="95" t="s">
        <v>880</v>
      </c>
      <c r="AE68" s="135" t="e">
        <f>IF(AD68="","",郵住13(AD68))</f>
        <v>#VALUE!</v>
      </c>
      <c r="AF68" s="97" t="s">
        <v>881</v>
      </c>
    </row>
    <row r="69" spans="2:32" x14ac:dyDescent="0.15">
      <c r="B69" s="124" t="s">
        <v>350</v>
      </c>
      <c r="C69" s="113" t="s">
        <v>759</v>
      </c>
      <c r="D69" s="110" t="s">
        <v>760</v>
      </c>
      <c r="E69" s="108" t="e">
        <f>IF(D69="","",郵住13(D69))</f>
        <v>#VALUE!</v>
      </c>
      <c r="F69" s="340" t="s">
        <v>761</v>
      </c>
      <c r="G69" s="110" t="s">
        <v>762</v>
      </c>
      <c r="H69" s="123"/>
      <c r="Y69" s="1"/>
      <c r="AB69" s="131" t="s">
        <v>471</v>
      </c>
      <c r="AC69" s="95" t="s">
        <v>669</v>
      </c>
      <c r="AD69" s="95" t="s">
        <v>882</v>
      </c>
      <c r="AE69" s="135" t="e">
        <f>IF(AD69="","",郵住13(AD69))</f>
        <v>#VALUE!</v>
      </c>
      <c r="AF69" s="97" t="s">
        <v>883</v>
      </c>
    </row>
    <row r="70" spans="2:32" x14ac:dyDescent="0.15">
      <c r="B70" s="107" t="s">
        <v>767</v>
      </c>
      <c r="C70" s="113" t="s">
        <v>768</v>
      </c>
      <c r="D70" s="110" t="s">
        <v>769</v>
      </c>
      <c r="E70" s="108" t="e">
        <f>IF(D70="","",郵住13(D70))</f>
        <v>#VALUE!</v>
      </c>
      <c r="F70" s="348" t="s">
        <v>770</v>
      </c>
      <c r="G70" s="110" t="s">
        <v>358</v>
      </c>
      <c r="H70" s="123"/>
      <c r="Y70" s="1"/>
      <c r="AB70" s="131" t="s">
        <v>472</v>
      </c>
      <c r="AC70" s="95" t="s">
        <v>670</v>
      </c>
      <c r="AD70" s="95" t="s">
        <v>884</v>
      </c>
      <c r="AE70" s="135" t="e">
        <f>IF(AD70="","",郵住13(AD70))</f>
        <v>#VALUE!</v>
      </c>
      <c r="AF70" s="97" t="s">
        <v>885</v>
      </c>
    </row>
    <row r="71" spans="2:32" x14ac:dyDescent="0.15">
      <c r="B71" s="107" t="s">
        <v>806</v>
      </c>
      <c r="C71" s="113" t="s">
        <v>808</v>
      </c>
      <c r="D71" s="113" t="s">
        <v>2203</v>
      </c>
      <c r="E71" s="108" t="e">
        <f>IF(D71="","",郵住13(D71))</f>
        <v>#VALUE!</v>
      </c>
      <c r="F71" s="342" t="s">
        <v>2204</v>
      </c>
      <c r="G71" s="113" t="s">
        <v>358</v>
      </c>
      <c r="H71" s="125"/>
      <c r="Y71" s="1"/>
      <c r="AB71" s="131" t="s">
        <v>473</v>
      </c>
      <c r="AC71" s="95" t="s">
        <v>671</v>
      </c>
      <c r="AD71" s="95" t="s">
        <v>672</v>
      </c>
      <c r="AE71" s="135" t="e">
        <f>IF(AD71="","",郵住13(AD71))</f>
        <v>#VALUE!</v>
      </c>
      <c r="AF71" s="97" t="s">
        <v>673</v>
      </c>
    </row>
    <row r="72" spans="2:32" x14ac:dyDescent="0.15">
      <c r="B72" s="107" t="s">
        <v>811</v>
      </c>
      <c r="C72" s="113" t="s">
        <v>809</v>
      </c>
      <c r="D72" s="113" t="s">
        <v>810</v>
      </c>
      <c r="E72" s="108" t="e">
        <f>IF(D72="","",郵住13(D72))</f>
        <v>#VALUE!</v>
      </c>
      <c r="F72" s="340">
        <v>5040</v>
      </c>
      <c r="G72" s="110" t="s">
        <v>358</v>
      </c>
      <c r="H72" s="123"/>
      <c r="Y72" s="1"/>
      <c r="AB72" s="131" t="s">
        <v>474</v>
      </c>
      <c r="AC72" s="95" t="s">
        <v>674</v>
      </c>
      <c r="AD72" s="95" t="s">
        <v>675</v>
      </c>
      <c r="AE72" s="135" t="e">
        <f>IF(AD72="","",郵住13(AD72))</f>
        <v>#VALUE!</v>
      </c>
      <c r="AF72" s="97" t="s">
        <v>676</v>
      </c>
    </row>
    <row r="73" spans="2:32" x14ac:dyDescent="0.15">
      <c r="B73" s="107" t="s">
        <v>895</v>
      </c>
      <c r="C73" s="113" t="s">
        <v>896</v>
      </c>
      <c r="D73" s="111" t="s">
        <v>1300</v>
      </c>
      <c r="E73" s="108" t="e">
        <f>IF(D73="","",郵住13(D73))</f>
        <v>#VALUE!</v>
      </c>
      <c r="F73" s="340" t="s">
        <v>1301</v>
      </c>
      <c r="G73" s="110" t="s">
        <v>904</v>
      </c>
      <c r="H73" s="123"/>
      <c r="Y73" s="1"/>
      <c r="AB73" s="131" t="s">
        <v>475</v>
      </c>
      <c r="AC73" s="95" t="s">
        <v>677</v>
      </c>
      <c r="AD73" s="95" t="s">
        <v>678</v>
      </c>
      <c r="AE73" s="135" t="e">
        <f>IF(AD73="","",郵住13(AD73))</f>
        <v>#VALUE!</v>
      </c>
      <c r="AF73" s="97" t="s">
        <v>679</v>
      </c>
    </row>
    <row r="74" spans="2:32" x14ac:dyDescent="0.15">
      <c r="B74" s="107" t="s">
        <v>897</v>
      </c>
      <c r="C74" s="113" t="s">
        <v>898</v>
      </c>
      <c r="D74" s="110" t="s">
        <v>905</v>
      </c>
      <c r="E74" s="108" t="e">
        <f>IF(D74="","",郵住13(D74))</f>
        <v>#VALUE!</v>
      </c>
      <c r="F74" s="340" t="s">
        <v>906</v>
      </c>
      <c r="G74" s="110" t="s">
        <v>907</v>
      </c>
      <c r="H74" s="123"/>
      <c r="Y74" s="1"/>
      <c r="AB74" s="131" t="s">
        <v>476</v>
      </c>
      <c r="AC74" s="95" t="s">
        <v>680</v>
      </c>
      <c r="AD74" s="95" t="s">
        <v>681</v>
      </c>
      <c r="AE74" s="135" t="e">
        <f>IF(AD74="","",郵住13(AD74))</f>
        <v>#VALUE!</v>
      </c>
      <c r="AF74" s="97" t="s">
        <v>682</v>
      </c>
    </row>
    <row r="75" spans="2:32" x14ac:dyDescent="0.15">
      <c r="B75" s="107" t="s">
        <v>908</v>
      </c>
      <c r="C75" s="126" t="s">
        <v>942</v>
      </c>
      <c r="D75" s="126" t="s">
        <v>943</v>
      </c>
      <c r="E75" s="108" t="e">
        <f>IF(D75="","",郵住13(D75))</f>
        <v>#VALUE!</v>
      </c>
      <c r="F75" s="342" t="s">
        <v>944</v>
      </c>
      <c r="G75" s="110" t="s">
        <v>358</v>
      </c>
      <c r="H75" s="123"/>
      <c r="Y75" s="1"/>
      <c r="AB75" s="131" t="s">
        <v>477</v>
      </c>
      <c r="AC75" s="95" t="s">
        <v>886</v>
      </c>
      <c r="AD75" s="95" t="s">
        <v>887</v>
      </c>
      <c r="AE75" s="135" t="e">
        <f>IF(AD75="","",郵住13(AD75))</f>
        <v>#VALUE!</v>
      </c>
      <c r="AF75" s="97" t="s">
        <v>888</v>
      </c>
    </row>
    <row r="76" spans="2:32" x14ac:dyDescent="0.15">
      <c r="B76" s="107" t="s">
        <v>909</v>
      </c>
      <c r="C76" s="113" t="s">
        <v>1097</v>
      </c>
      <c r="D76" s="113" t="s">
        <v>1098</v>
      </c>
      <c r="E76" s="108" t="e">
        <f>IF(D76="","",郵住13(D76))</f>
        <v>#VALUE!</v>
      </c>
      <c r="F76" s="348" t="s">
        <v>1099</v>
      </c>
      <c r="G76" s="113" t="s">
        <v>358</v>
      </c>
      <c r="H76" s="123"/>
      <c r="Y76" s="1"/>
      <c r="AB76" s="131" t="s">
        <v>478</v>
      </c>
      <c r="AC76" s="134" t="s">
        <v>848</v>
      </c>
      <c r="AD76" s="133"/>
      <c r="AE76" s="135" t="str">
        <f>IF(AD76="","",郵住13(AD76))</f>
        <v/>
      </c>
      <c r="AF76" s="97" t="s">
        <v>849</v>
      </c>
    </row>
    <row r="77" spans="2:32" x14ac:dyDescent="0.15">
      <c r="B77" s="107" t="s">
        <v>910</v>
      </c>
      <c r="C77" s="113" t="s">
        <v>1227</v>
      </c>
      <c r="D77" s="110" t="s">
        <v>1230</v>
      </c>
      <c r="E77" s="108" t="e">
        <f>IF(D77="","",郵住13(D77))</f>
        <v>#VALUE!</v>
      </c>
      <c r="F77" s="340" t="s">
        <v>1231</v>
      </c>
      <c r="G77" s="110" t="s">
        <v>1228</v>
      </c>
      <c r="H77" s="123"/>
      <c r="Y77" s="1"/>
      <c r="AB77" s="131" t="s">
        <v>479</v>
      </c>
      <c r="AC77" s="134" t="s">
        <v>889</v>
      </c>
      <c r="AD77" s="95" t="s">
        <v>890</v>
      </c>
      <c r="AE77" s="135" t="e">
        <f>IF(AD77="","",郵住13(AD77))</f>
        <v>#VALUE!</v>
      </c>
      <c r="AF77" s="97" t="s">
        <v>891</v>
      </c>
    </row>
    <row r="78" spans="2:32" x14ac:dyDescent="0.15">
      <c r="B78" s="107" t="s">
        <v>911</v>
      </c>
      <c r="C78" s="113" t="s">
        <v>1283</v>
      </c>
      <c r="D78" s="113" t="s">
        <v>1284</v>
      </c>
      <c r="E78" s="108" t="e">
        <f>IF(D78="","",郵住13(D78))</f>
        <v>#VALUE!</v>
      </c>
      <c r="F78" s="340" t="s">
        <v>1285</v>
      </c>
      <c r="G78" s="113" t="s">
        <v>358</v>
      </c>
      <c r="H78" s="123"/>
      <c r="Y78" s="1"/>
      <c r="AB78" s="131" t="s">
        <v>480</v>
      </c>
      <c r="AC78" s="134" t="s">
        <v>914</v>
      </c>
      <c r="AD78" s="95" t="s">
        <v>915</v>
      </c>
      <c r="AE78" s="135" t="e">
        <f>IF(AD78="","",郵住13(AD78))</f>
        <v>#VALUE!</v>
      </c>
      <c r="AF78" s="97" t="s">
        <v>916</v>
      </c>
    </row>
    <row r="79" spans="2:32" x14ac:dyDescent="0.15">
      <c r="B79" s="107" t="s">
        <v>912</v>
      </c>
      <c r="C79" s="113" t="s">
        <v>1287</v>
      </c>
      <c r="D79" s="113" t="s">
        <v>1291</v>
      </c>
      <c r="E79" s="108" t="e">
        <f>IF(D79="","",郵住13(D79))</f>
        <v>#VALUE!</v>
      </c>
      <c r="F79" s="340" t="s">
        <v>1292</v>
      </c>
      <c r="G79" s="110" t="s">
        <v>1288</v>
      </c>
      <c r="H79" s="123"/>
      <c r="Y79" s="1"/>
      <c r="AB79" s="131" t="s">
        <v>481</v>
      </c>
      <c r="AC79" s="134" t="s">
        <v>917</v>
      </c>
      <c r="AD79" s="95" t="s">
        <v>918</v>
      </c>
      <c r="AE79" s="135" t="e">
        <f>IF(AD79="","",郵住13(AD79))</f>
        <v>#VALUE!</v>
      </c>
      <c r="AF79" s="97" t="s">
        <v>919</v>
      </c>
    </row>
    <row r="80" spans="2:32" x14ac:dyDescent="0.15">
      <c r="B80" s="107" t="s">
        <v>913</v>
      </c>
      <c r="C80" s="113" t="s">
        <v>1308</v>
      </c>
      <c r="D80" s="110" t="s">
        <v>1309</v>
      </c>
      <c r="E80" s="108" t="e">
        <f>IF(D80="","",郵住13(D80))</f>
        <v>#VALUE!</v>
      </c>
      <c r="F80" s="341" t="s">
        <v>1310</v>
      </c>
      <c r="G80" s="113" t="s">
        <v>358</v>
      </c>
      <c r="H80" s="123"/>
      <c r="Y80" s="1"/>
      <c r="AB80" s="131" t="s">
        <v>482</v>
      </c>
      <c r="AC80" s="134" t="s">
        <v>920</v>
      </c>
      <c r="AD80" s="95" t="s">
        <v>921</v>
      </c>
      <c r="AE80" s="135" t="e">
        <f>IF(AD80="","",郵住13(AD80))</f>
        <v>#VALUE!</v>
      </c>
      <c r="AF80" s="97" t="s">
        <v>922</v>
      </c>
    </row>
    <row r="81" spans="2:32" x14ac:dyDescent="0.15">
      <c r="B81" s="107" t="s">
        <v>1215</v>
      </c>
      <c r="C81" s="113" t="s">
        <v>1311</v>
      </c>
      <c r="D81" s="113" t="s">
        <v>1312</v>
      </c>
      <c r="E81" s="108" t="e">
        <f>IF(D81="","",郵住13(D81))</f>
        <v>#VALUE!</v>
      </c>
      <c r="F81" s="340" t="s">
        <v>1313</v>
      </c>
      <c r="G81" s="110" t="s">
        <v>1314</v>
      </c>
      <c r="H81" s="123"/>
      <c r="Y81" s="1"/>
      <c r="AB81" s="131" t="s">
        <v>483</v>
      </c>
      <c r="AC81" s="134" t="s">
        <v>923</v>
      </c>
      <c r="AD81" s="133" t="s">
        <v>924</v>
      </c>
      <c r="AE81" s="135" t="e">
        <f>IF(AD81="","",郵住13(AD81))</f>
        <v>#VALUE!</v>
      </c>
      <c r="AF81" s="96" t="s">
        <v>925</v>
      </c>
    </row>
    <row r="82" spans="2:32" x14ac:dyDescent="0.15">
      <c r="B82" s="107" t="s">
        <v>1216</v>
      </c>
      <c r="C82" s="113" t="s">
        <v>1322</v>
      </c>
      <c r="D82" s="113" t="s">
        <v>1324</v>
      </c>
      <c r="E82" s="108" t="e">
        <f>IF(D82="","",郵住13(D82))</f>
        <v>#VALUE!</v>
      </c>
      <c r="F82" s="345" t="s">
        <v>1325</v>
      </c>
      <c r="G82" s="114" t="s">
        <v>1323</v>
      </c>
      <c r="H82" s="123" t="s">
        <v>1326</v>
      </c>
      <c r="Y82" s="1"/>
      <c r="AB82" s="131" t="s">
        <v>484</v>
      </c>
      <c r="AC82" s="134" t="s">
        <v>926</v>
      </c>
      <c r="AD82" s="95" t="s">
        <v>927</v>
      </c>
      <c r="AE82" s="135" t="e">
        <f>IF(AD82="","",郵住13(AD82))</f>
        <v>#VALUE!</v>
      </c>
      <c r="AF82" s="97" t="s">
        <v>928</v>
      </c>
    </row>
    <row r="83" spans="2:32" x14ac:dyDescent="0.15">
      <c r="B83" s="107" t="s">
        <v>1217</v>
      </c>
      <c r="C83" s="126" t="s">
        <v>1340</v>
      </c>
      <c r="D83" s="126" t="s">
        <v>1516</v>
      </c>
      <c r="E83" s="108" t="e">
        <f>IF(D83="","",郵住13(D83))</f>
        <v>#VALUE!</v>
      </c>
      <c r="F83" s="349">
        <v>36909</v>
      </c>
      <c r="G83" s="113" t="s">
        <v>358</v>
      </c>
      <c r="H83" s="123" t="s">
        <v>1341</v>
      </c>
      <c r="Y83" s="1"/>
      <c r="AB83" s="131" t="s">
        <v>485</v>
      </c>
      <c r="AC83" s="134" t="s">
        <v>929</v>
      </c>
      <c r="AD83" s="95" t="s">
        <v>930</v>
      </c>
      <c r="AE83" s="135" t="e">
        <f>IF(AD83="","",郵住13(AD83))</f>
        <v>#VALUE!</v>
      </c>
      <c r="AF83" s="97" t="s">
        <v>931</v>
      </c>
    </row>
    <row r="84" spans="2:32" x14ac:dyDescent="0.15">
      <c r="B84" s="107" t="s">
        <v>1218</v>
      </c>
      <c r="C84" s="126" t="s">
        <v>1330</v>
      </c>
      <c r="D84" s="111" t="s">
        <v>1894</v>
      </c>
      <c r="E84" s="108" t="e">
        <f>IF(D84="","",郵住13(D84))</f>
        <v>#VALUE!</v>
      </c>
      <c r="F84" s="341" t="s">
        <v>1895</v>
      </c>
      <c r="G84" s="113" t="s">
        <v>358</v>
      </c>
      <c r="H84" s="123"/>
      <c r="Y84" s="1"/>
      <c r="AB84" s="131" t="s">
        <v>486</v>
      </c>
      <c r="AC84" s="134" t="s">
        <v>932</v>
      </c>
      <c r="AD84" s="95" t="s">
        <v>933</v>
      </c>
      <c r="AE84" s="135" t="e">
        <f>IF(AD84="","",郵住13(AD84))</f>
        <v>#VALUE!</v>
      </c>
      <c r="AF84" s="97" t="s">
        <v>934</v>
      </c>
    </row>
    <row r="85" spans="2:32" x14ac:dyDescent="0.15">
      <c r="B85" s="107" t="s">
        <v>1219</v>
      </c>
      <c r="C85" s="113" t="s">
        <v>1359</v>
      </c>
      <c r="D85" s="113" t="s">
        <v>1360</v>
      </c>
      <c r="E85" s="108" t="e">
        <f>IF(D85="","",郵住13(D85))</f>
        <v>#VALUE!</v>
      </c>
      <c r="F85" s="342" t="s">
        <v>1361</v>
      </c>
      <c r="G85" s="113" t="s">
        <v>358</v>
      </c>
      <c r="H85" s="123"/>
      <c r="Y85" s="1"/>
      <c r="AB85" s="131" t="s">
        <v>487</v>
      </c>
      <c r="AC85" s="134" t="s">
        <v>2131</v>
      </c>
      <c r="AD85" s="133"/>
      <c r="AE85" s="135" t="str">
        <f>IF(AD85="","",郵住13(AD85))</f>
        <v/>
      </c>
      <c r="AF85" s="97" t="s">
        <v>935</v>
      </c>
    </row>
    <row r="86" spans="2:32" x14ac:dyDescent="0.15">
      <c r="B86" s="107" t="s">
        <v>1514</v>
      </c>
      <c r="C86" s="113" t="s">
        <v>1518</v>
      </c>
      <c r="D86" s="113" t="s">
        <v>1515</v>
      </c>
      <c r="E86" s="108" t="e">
        <f>IF(D86="","",郵住13(D86))</f>
        <v>#VALUE!</v>
      </c>
      <c r="F86" s="342" t="s">
        <v>1517</v>
      </c>
      <c r="G86" s="113" t="s">
        <v>358</v>
      </c>
      <c r="H86" s="123"/>
      <c r="Y86" s="1"/>
      <c r="AB86" s="131" t="s">
        <v>488</v>
      </c>
      <c r="AC86" s="134" t="s">
        <v>936</v>
      </c>
      <c r="AD86" s="95" t="s">
        <v>937</v>
      </c>
      <c r="AE86" s="135" t="e">
        <f>IF(AD86="","",郵住13(AD86))</f>
        <v>#VALUE!</v>
      </c>
      <c r="AF86" s="97" t="s">
        <v>938</v>
      </c>
    </row>
    <row r="87" spans="2:32" x14ac:dyDescent="0.15">
      <c r="B87" s="107" t="s">
        <v>2058</v>
      </c>
      <c r="C87" s="113" t="s">
        <v>2060</v>
      </c>
      <c r="D87" s="113" t="s">
        <v>2061</v>
      </c>
      <c r="E87" s="108" t="e">
        <f>IF(D87="","",郵住13(D87))</f>
        <v>#VALUE!</v>
      </c>
      <c r="F87" s="340" t="s">
        <v>2062</v>
      </c>
      <c r="G87" s="110" t="s">
        <v>358</v>
      </c>
      <c r="H87" s="123"/>
      <c r="Y87" s="1"/>
      <c r="AB87" s="131" t="s">
        <v>489</v>
      </c>
      <c r="AC87" s="134" t="s">
        <v>939</v>
      </c>
      <c r="AD87" s="95" t="s">
        <v>940</v>
      </c>
      <c r="AE87" s="135" t="e">
        <f>IF(AD87="","",郵住13(AD87))</f>
        <v>#VALUE!</v>
      </c>
      <c r="AF87" s="97" t="s">
        <v>941</v>
      </c>
    </row>
    <row r="88" spans="2:32" x14ac:dyDescent="0.15">
      <c r="B88" s="107" t="s">
        <v>2202</v>
      </c>
      <c r="C88" s="113" t="s">
        <v>4657</v>
      </c>
      <c r="D88" s="113" t="s">
        <v>4658</v>
      </c>
      <c r="E88" s="108" t="e">
        <f>IF(D88="","",郵住13(D88))</f>
        <v>#VALUE!</v>
      </c>
      <c r="F88" s="342" t="s">
        <v>4659</v>
      </c>
      <c r="G88" s="113" t="s">
        <v>4660</v>
      </c>
      <c r="H88" s="123"/>
      <c r="Y88" s="1"/>
      <c r="AB88" s="131" t="s">
        <v>490</v>
      </c>
      <c r="AC88" s="134" t="s">
        <v>945</v>
      </c>
      <c r="AD88" s="95" t="s">
        <v>946</v>
      </c>
      <c r="AE88" s="135" t="e">
        <f>IF(AD88="","",郵住13(AD88))</f>
        <v>#VALUE!</v>
      </c>
      <c r="AF88" s="97" t="s">
        <v>947</v>
      </c>
    </row>
    <row r="89" spans="2:32" x14ac:dyDescent="0.15">
      <c r="B89" s="107" t="s">
        <v>2768</v>
      </c>
      <c r="C89" s="113" t="s">
        <v>2769</v>
      </c>
      <c r="D89" s="113" t="s">
        <v>2770</v>
      </c>
      <c r="E89" s="108" t="e">
        <f>IF(D89="","",郵住13(D89))</f>
        <v>#VALUE!</v>
      </c>
      <c r="F89" s="342" t="s">
        <v>2771</v>
      </c>
      <c r="G89" s="113" t="s">
        <v>358</v>
      </c>
      <c r="H89" s="123"/>
      <c r="Y89" s="1"/>
      <c r="AB89" s="131" t="s">
        <v>491</v>
      </c>
      <c r="AC89" s="134" t="s">
        <v>948</v>
      </c>
      <c r="AD89" s="95" t="s">
        <v>949</v>
      </c>
      <c r="AE89" s="135" t="e">
        <f>IF(AD89="","",郵住13(AD89))</f>
        <v>#VALUE!</v>
      </c>
      <c r="AF89" s="97" t="s">
        <v>950</v>
      </c>
    </row>
    <row r="90" spans="2:32" x14ac:dyDescent="0.15">
      <c r="B90" s="107" t="s">
        <v>2834</v>
      </c>
      <c r="C90" s="126" t="s">
        <v>2835</v>
      </c>
      <c r="D90" s="113" t="s">
        <v>2836</v>
      </c>
      <c r="E90" s="108" t="e">
        <f>IF(D90="","",郵住13(D90))</f>
        <v>#VALUE!</v>
      </c>
      <c r="F90" s="342" t="s">
        <v>2837</v>
      </c>
      <c r="G90" s="113" t="s">
        <v>358</v>
      </c>
      <c r="H90" s="123"/>
      <c r="Y90" s="1"/>
      <c r="AB90" s="131" t="s">
        <v>1527</v>
      </c>
      <c r="AC90" s="134" t="s">
        <v>971</v>
      </c>
      <c r="AD90" s="95" t="s">
        <v>951</v>
      </c>
      <c r="AE90" s="135" t="e">
        <f>IF(AD90="","",郵住13(AD90))</f>
        <v>#VALUE!</v>
      </c>
      <c r="AF90" s="97" t="s">
        <v>952</v>
      </c>
    </row>
    <row r="91" spans="2:32" x14ac:dyDescent="0.15">
      <c r="B91" s="107" t="s">
        <v>2838</v>
      </c>
      <c r="C91" s="113" t="s">
        <v>2839</v>
      </c>
      <c r="D91" s="113" t="s">
        <v>2840</v>
      </c>
      <c r="E91" s="108" t="e">
        <f>IF(D91="","",郵住13(D91))</f>
        <v>#VALUE!</v>
      </c>
      <c r="F91" s="342" t="s">
        <v>2841</v>
      </c>
      <c r="G91" s="113" t="s">
        <v>358</v>
      </c>
      <c r="H91" s="123"/>
      <c r="Y91" s="1"/>
      <c r="AB91" s="131" t="s">
        <v>493</v>
      </c>
      <c r="AC91" s="95" t="s">
        <v>970</v>
      </c>
      <c r="AD91" s="95" t="s">
        <v>953</v>
      </c>
      <c r="AE91" s="135" t="e">
        <f>IF(AD91="","",郵住13(AD91))</f>
        <v>#VALUE!</v>
      </c>
      <c r="AF91" s="97" t="s">
        <v>954</v>
      </c>
    </row>
    <row r="92" spans="2:32" x14ac:dyDescent="0.15">
      <c r="B92" s="107" t="s">
        <v>3621</v>
      </c>
      <c r="C92" s="113" t="s">
        <v>3622</v>
      </c>
      <c r="D92" s="113" t="s">
        <v>3623</v>
      </c>
      <c r="E92" s="108" t="e">
        <f>IF(D92="","",郵住13(D92))</f>
        <v>#VALUE!</v>
      </c>
      <c r="F92" s="342" t="s">
        <v>3624</v>
      </c>
      <c r="G92" s="113" t="s">
        <v>358</v>
      </c>
      <c r="H92" s="123"/>
      <c r="Y92" s="1"/>
      <c r="AB92" s="131" t="s">
        <v>494</v>
      </c>
      <c r="AC92" s="95" t="s">
        <v>969</v>
      </c>
      <c r="AD92" s="95" t="s">
        <v>955</v>
      </c>
      <c r="AE92" s="135" t="e">
        <f>IF(AD92="","",郵住13(AD92))</f>
        <v>#VALUE!</v>
      </c>
      <c r="AF92" s="97" t="s">
        <v>956</v>
      </c>
    </row>
    <row r="93" spans="2:32" ht="14.25" thickBot="1" x14ac:dyDescent="0.2">
      <c r="B93" s="226" t="s">
        <v>4137</v>
      </c>
      <c r="C93" s="127" t="s">
        <v>4084</v>
      </c>
      <c r="D93" s="127" t="s">
        <v>4085</v>
      </c>
      <c r="E93" s="108" t="e">
        <f>IF(D93="","",郵住13(D93))</f>
        <v>#VALUE!</v>
      </c>
      <c r="F93" s="350" t="s">
        <v>4087</v>
      </c>
      <c r="G93" s="127" t="s">
        <v>4086</v>
      </c>
      <c r="H93" s="128"/>
      <c r="Y93" s="1"/>
      <c r="AB93" s="131" t="s">
        <v>495</v>
      </c>
      <c r="AC93" s="95" t="s">
        <v>968</v>
      </c>
      <c r="AD93" s="95" t="s">
        <v>957</v>
      </c>
      <c r="AE93" s="135" t="e">
        <f>IF(AD93="","",郵住13(AD93))</f>
        <v>#VALUE!</v>
      </c>
      <c r="AF93" s="97" t="s">
        <v>958</v>
      </c>
    </row>
    <row r="94" spans="2:32" ht="14.25" thickBot="1" x14ac:dyDescent="0.2">
      <c r="B94" s="480"/>
      <c r="C94" s="373"/>
      <c r="D94" s="373"/>
      <c r="Y94" s="1"/>
      <c r="AB94" s="131" t="s">
        <v>496</v>
      </c>
      <c r="AC94" s="95" t="s">
        <v>967</v>
      </c>
      <c r="AD94" s="95" t="s">
        <v>959</v>
      </c>
      <c r="AE94" s="135" t="e">
        <f>IF(AD94="","",郵住13(AD94))</f>
        <v>#VALUE!</v>
      </c>
      <c r="AF94" s="97" t="s">
        <v>960</v>
      </c>
    </row>
    <row r="95" spans="2:32" x14ac:dyDescent="0.15">
      <c r="Y95" s="1"/>
      <c r="AB95" s="131" t="s">
        <v>497</v>
      </c>
      <c r="AC95" s="95" t="s">
        <v>966</v>
      </c>
      <c r="AD95" s="95" t="s">
        <v>961</v>
      </c>
      <c r="AE95" s="135" t="e">
        <f>IF(AD95="","",郵住13(AD95))</f>
        <v>#VALUE!</v>
      </c>
      <c r="AF95" s="97" t="s">
        <v>962</v>
      </c>
    </row>
    <row r="96" spans="2:32" x14ac:dyDescent="0.15">
      <c r="Y96" s="1"/>
      <c r="AB96" s="131" t="s">
        <v>498</v>
      </c>
      <c r="AC96" s="95" t="s">
        <v>965</v>
      </c>
      <c r="AD96" s="95" t="s">
        <v>963</v>
      </c>
      <c r="AE96" s="135" t="e">
        <f>IF(AD96="","",郵住13(AD96))</f>
        <v>#VALUE!</v>
      </c>
      <c r="AF96" s="97" t="s">
        <v>964</v>
      </c>
    </row>
    <row r="97" spans="25:32" x14ac:dyDescent="0.15">
      <c r="Y97" s="1"/>
      <c r="AB97" s="131" t="s">
        <v>499</v>
      </c>
      <c r="AC97" s="95" t="s">
        <v>972</v>
      </c>
      <c r="AD97" s="95" t="s">
        <v>973</v>
      </c>
      <c r="AE97" s="135" t="e">
        <f>IF(AD97="","",郵住13(AD97))</f>
        <v>#VALUE!</v>
      </c>
      <c r="AF97" s="97" t="s">
        <v>974</v>
      </c>
    </row>
    <row r="98" spans="25:32" x14ac:dyDescent="0.15">
      <c r="Y98" s="1"/>
      <c r="AB98" s="131" t="s">
        <v>500</v>
      </c>
      <c r="AC98" s="95" t="s">
        <v>975</v>
      </c>
      <c r="AD98" s="95" t="s">
        <v>976</v>
      </c>
      <c r="AE98" s="135" t="e">
        <f>IF(AD98="","",郵住13(AD98))</f>
        <v>#VALUE!</v>
      </c>
      <c r="AF98" s="97" t="s">
        <v>977</v>
      </c>
    </row>
    <row r="99" spans="25:32" x14ac:dyDescent="0.15">
      <c r="Y99" s="1"/>
      <c r="AB99" s="131" t="s">
        <v>501</v>
      </c>
      <c r="AC99" s="95" t="s">
        <v>978</v>
      </c>
      <c r="AD99" s="95" t="s">
        <v>979</v>
      </c>
      <c r="AE99" s="135" t="e">
        <f>IF(AD99="","",郵住13(AD99))</f>
        <v>#VALUE!</v>
      </c>
      <c r="AF99" s="138" t="s">
        <v>980</v>
      </c>
    </row>
    <row r="100" spans="25:32" x14ac:dyDescent="0.15">
      <c r="Y100" s="1"/>
      <c r="AB100" s="131" t="s">
        <v>502</v>
      </c>
      <c r="AC100" s="95" t="s">
        <v>981</v>
      </c>
      <c r="AD100" s="95" t="s">
        <v>982</v>
      </c>
      <c r="AE100" s="135" t="e">
        <f>IF(AD100="","",郵住13(AD100))</f>
        <v>#VALUE!</v>
      </c>
      <c r="AF100" s="97" t="s">
        <v>983</v>
      </c>
    </row>
    <row r="101" spans="25:32" x14ac:dyDescent="0.15">
      <c r="Y101" s="1"/>
      <c r="AB101" s="131" t="s">
        <v>503</v>
      </c>
      <c r="AC101" s="133" t="s">
        <v>984</v>
      </c>
      <c r="AD101" s="95" t="s">
        <v>985</v>
      </c>
      <c r="AE101" s="135" t="e">
        <f>IF(AD101="","",郵住13(AD101))</f>
        <v>#VALUE!</v>
      </c>
      <c r="AF101" s="97" t="s">
        <v>986</v>
      </c>
    </row>
    <row r="102" spans="25:32" x14ac:dyDescent="0.15">
      <c r="Y102" s="1"/>
      <c r="AB102" s="131" t="s">
        <v>504</v>
      </c>
      <c r="AC102" s="95" t="s">
        <v>1267</v>
      </c>
      <c r="AD102" s="95" t="s">
        <v>1268</v>
      </c>
      <c r="AE102" s="135" t="e">
        <f>IF(AD102="","",郵住13(AD102))</f>
        <v>#VALUE!</v>
      </c>
      <c r="AF102" s="97" t="s">
        <v>1269</v>
      </c>
    </row>
    <row r="103" spans="25:32" x14ac:dyDescent="0.15">
      <c r="Y103" s="1"/>
      <c r="AB103" s="131" t="s">
        <v>505</v>
      </c>
      <c r="AC103" s="95" t="s">
        <v>987</v>
      </c>
      <c r="AD103" s="95" t="s">
        <v>988</v>
      </c>
      <c r="AE103" s="135" t="e">
        <f>IF(AD103="","",郵住13(AD103))</f>
        <v>#VALUE!</v>
      </c>
      <c r="AF103" s="97" t="s">
        <v>989</v>
      </c>
    </row>
    <row r="104" spans="25:32" x14ac:dyDescent="0.15">
      <c r="Y104" s="1"/>
      <c r="AB104" s="131" t="s">
        <v>506</v>
      </c>
      <c r="AC104" s="95" t="s">
        <v>990</v>
      </c>
      <c r="AD104" s="95" t="s">
        <v>991</v>
      </c>
      <c r="AE104" s="135" t="e">
        <f>IF(AD104="","",郵住13(AD104))</f>
        <v>#VALUE!</v>
      </c>
      <c r="AF104" s="97" t="s">
        <v>992</v>
      </c>
    </row>
    <row r="105" spans="25:32" x14ac:dyDescent="0.15">
      <c r="Y105" s="1"/>
      <c r="AB105" s="131" t="s">
        <v>507</v>
      </c>
      <c r="AC105" s="95" t="s">
        <v>993</v>
      </c>
      <c r="AD105" s="95" t="s">
        <v>994</v>
      </c>
      <c r="AE105" s="135" t="e">
        <f>IF(AD105="","",郵住13(AD105))</f>
        <v>#VALUE!</v>
      </c>
      <c r="AF105" s="97" t="s">
        <v>995</v>
      </c>
    </row>
    <row r="106" spans="25:32" x14ac:dyDescent="0.15">
      <c r="Y106" s="1"/>
      <c r="AB106" s="131" t="s">
        <v>1295</v>
      </c>
      <c r="AC106" s="95" t="s">
        <v>996</v>
      </c>
      <c r="AD106" s="95" t="s">
        <v>997</v>
      </c>
      <c r="AE106" s="135" t="e">
        <f>IF(AD106="","",郵住13(AD106))</f>
        <v>#VALUE!</v>
      </c>
      <c r="AF106" s="97" t="s">
        <v>998</v>
      </c>
    </row>
    <row r="107" spans="25:32" x14ac:dyDescent="0.15">
      <c r="Y107" s="1"/>
      <c r="AB107" s="131" t="s">
        <v>508</v>
      </c>
      <c r="AC107" s="133" t="s">
        <v>999</v>
      </c>
      <c r="AD107" s="95" t="s">
        <v>1000</v>
      </c>
      <c r="AE107" s="135" t="e">
        <f>IF(AD107="","",郵住13(AD107))</f>
        <v>#VALUE!</v>
      </c>
      <c r="AF107" s="97" t="s">
        <v>1001</v>
      </c>
    </row>
    <row r="108" spans="25:32" x14ac:dyDescent="0.15">
      <c r="Y108" s="1"/>
      <c r="AB108" s="131" t="s">
        <v>509</v>
      </c>
      <c r="AC108" s="95" t="s">
        <v>1002</v>
      </c>
      <c r="AD108" s="95" t="s">
        <v>1003</v>
      </c>
      <c r="AE108" s="135" t="e">
        <f>IF(AD108="","",郵住13(AD108))</f>
        <v>#VALUE!</v>
      </c>
      <c r="AF108" s="97" t="s">
        <v>1004</v>
      </c>
    </row>
    <row r="109" spans="25:32" x14ac:dyDescent="0.15">
      <c r="Y109" s="1"/>
      <c r="AB109" s="131" t="s">
        <v>510</v>
      </c>
      <c r="AC109" s="95" t="s">
        <v>1005</v>
      </c>
      <c r="AD109" s="95" t="s">
        <v>1006</v>
      </c>
      <c r="AE109" s="135" t="e">
        <f>IF(AD109="","",郵住13(AD109))</f>
        <v>#VALUE!</v>
      </c>
      <c r="AF109" s="97" t="s">
        <v>1007</v>
      </c>
    </row>
    <row r="110" spans="25:32" x14ac:dyDescent="0.15">
      <c r="Y110" s="1"/>
      <c r="AB110" s="131" t="s">
        <v>511</v>
      </c>
      <c r="AC110" s="95" t="s">
        <v>361</v>
      </c>
      <c r="AD110" s="95" t="s">
        <v>1008</v>
      </c>
      <c r="AE110" s="135" t="e">
        <f>IF(AD110="","",郵住13(AD110))</f>
        <v>#VALUE!</v>
      </c>
      <c r="AF110" s="138" t="s">
        <v>1009</v>
      </c>
    </row>
    <row r="111" spans="25:32" x14ac:dyDescent="0.15">
      <c r="Y111" s="1"/>
      <c r="AB111" s="131" t="s">
        <v>512</v>
      </c>
      <c r="AC111" s="95" t="s">
        <v>1010</v>
      </c>
      <c r="AD111" s="95" t="s">
        <v>1011</v>
      </c>
      <c r="AE111" s="135" t="e">
        <f>IF(AD111="","",郵住13(AD111))</f>
        <v>#VALUE!</v>
      </c>
      <c r="AF111" s="97" t="s">
        <v>1012</v>
      </c>
    </row>
    <row r="112" spans="25:32" x14ac:dyDescent="0.15">
      <c r="Y112" s="1"/>
      <c r="AB112" s="131" t="s">
        <v>513</v>
      </c>
      <c r="AC112" s="95" t="s">
        <v>1013</v>
      </c>
      <c r="AD112" s="95" t="s">
        <v>1014</v>
      </c>
      <c r="AE112" s="135" t="e">
        <f>IF(AD112="","",郵住13(AD112))</f>
        <v>#VALUE!</v>
      </c>
      <c r="AF112" s="97" t="s">
        <v>1015</v>
      </c>
    </row>
    <row r="113" spans="25:32" x14ac:dyDescent="0.15">
      <c r="Y113" s="1"/>
      <c r="AB113" s="131" t="s">
        <v>514</v>
      </c>
      <c r="AC113" s="95" t="s">
        <v>1016</v>
      </c>
      <c r="AD113" s="95" t="s">
        <v>1017</v>
      </c>
      <c r="AE113" s="135" t="e">
        <f>IF(AD113="","",郵住13(AD113))</f>
        <v>#VALUE!</v>
      </c>
      <c r="AF113" s="97" t="s">
        <v>1018</v>
      </c>
    </row>
    <row r="114" spans="25:32" x14ac:dyDescent="0.15">
      <c r="Y114" s="1"/>
      <c r="AB114" s="131" t="s">
        <v>515</v>
      </c>
      <c r="AC114" s="95" t="s">
        <v>1019</v>
      </c>
      <c r="AD114" s="95" t="s">
        <v>1020</v>
      </c>
      <c r="AE114" s="135" t="e">
        <f>IF(AD114="","",郵住13(AD114))</f>
        <v>#VALUE!</v>
      </c>
      <c r="AF114" s="97" t="s">
        <v>1021</v>
      </c>
    </row>
    <row r="115" spans="25:32" x14ac:dyDescent="0.15">
      <c r="Y115" s="1"/>
      <c r="AB115" s="131" t="s">
        <v>516</v>
      </c>
      <c r="AC115" s="95" t="s">
        <v>1022</v>
      </c>
      <c r="AD115" s="95" t="s">
        <v>1023</v>
      </c>
      <c r="AE115" s="135" t="e">
        <f>IF(AD115="","",郵住13(AD115))</f>
        <v>#VALUE!</v>
      </c>
      <c r="AF115" s="97" t="s">
        <v>1024</v>
      </c>
    </row>
    <row r="116" spans="25:32" x14ac:dyDescent="0.15">
      <c r="Y116" s="1"/>
      <c r="AB116" s="131" t="s">
        <v>517</v>
      </c>
      <c r="AC116" s="133" t="s">
        <v>1025</v>
      </c>
      <c r="AD116" s="95" t="s">
        <v>1026</v>
      </c>
      <c r="AE116" s="135" t="e">
        <f>IF(AD116="","",郵住13(AD116))</f>
        <v>#VALUE!</v>
      </c>
      <c r="AF116" s="97" t="s">
        <v>1027</v>
      </c>
    </row>
    <row r="117" spans="25:32" x14ac:dyDescent="0.15">
      <c r="Y117" s="1"/>
      <c r="AB117" s="131" t="s">
        <v>518</v>
      </c>
      <c r="AC117" s="133" t="s">
        <v>2757</v>
      </c>
      <c r="AD117" s="95" t="s">
        <v>5176</v>
      </c>
      <c r="AE117" s="135" t="e">
        <f>IF(AD117="","",郵住13(AD117))</f>
        <v>#VALUE!</v>
      </c>
      <c r="AF117" s="138"/>
    </row>
    <row r="118" spans="25:32" x14ac:dyDescent="0.15">
      <c r="Y118" s="1"/>
      <c r="AB118" s="131" t="s">
        <v>519</v>
      </c>
      <c r="AC118" s="95" t="s">
        <v>1028</v>
      </c>
      <c r="AD118" s="95" t="s">
        <v>1029</v>
      </c>
      <c r="AE118" s="135" t="e">
        <f>IF(AD118="","",郵住13(AD118))</f>
        <v>#VALUE!</v>
      </c>
      <c r="AF118" s="97" t="s">
        <v>1030</v>
      </c>
    </row>
    <row r="119" spans="25:32" x14ac:dyDescent="0.15">
      <c r="Y119" s="1"/>
      <c r="AB119" s="131" t="s">
        <v>520</v>
      </c>
      <c r="AC119" s="95" t="s">
        <v>1031</v>
      </c>
      <c r="AD119" s="95" t="s">
        <v>1032</v>
      </c>
      <c r="AE119" s="135" t="e">
        <f>IF(AD119="","",郵住13(AD119))</f>
        <v>#VALUE!</v>
      </c>
      <c r="AF119" s="97" t="s">
        <v>1033</v>
      </c>
    </row>
    <row r="120" spans="25:32" x14ac:dyDescent="0.15">
      <c r="Y120" s="1"/>
      <c r="AB120" s="131" t="s">
        <v>521</v>
      </c>
      <c r="AC120" s="95" t="s">
        <v>1034</v>
      </c>
      <c r="AD120" s="95" t="s">
        <v>1035</v>
      </c>
      <c r="AE120" s="135" t="e">
        <f>IF(AD120="","",郵住13(AD120))</f>
        <v>#VALUE!</v>
      </c>
      <c r="AF120" s="97" t="s">
        <v>1036</v>
      </c>
    </row>
    <row r="121" spans="25:32" x14ac:dyDescent="0.15">
      <c r="Y121" s="1"/>
      <c r="AB121" s="131" t="s">
        <v>522</v>
      </c>
      <c r="AC121" s="95" t="s">
        <v>1037</v>
      </c>
      <c r="AD121" s="95" t="s">
        <v>1038</v>
      </c>
      <c r="AE121" s="135" t="e">
        <f>IF(AD121="","",郵住13(AD121))</f>
        <v>#VALUE!</v>
      </c>
      <c r="AF121" s="97" t="s">
        <v>1039</v>
      </c>
    </row>
    <row r="122" spans="25:32" x14ac:dyDescent="0.15">
      <c r="Y122" s="1"/>
      <c r="AB122" s="131" t="s">
        <v>523</v>
      </c>
      <c r="AC122" s="95" t="s">
        <v>1040</v>
      </c>
      <c r="AD122" s="95" t="s">
        <v>1041</v>
      </c>
      <c r="AE122" s="135" t="e">
        <f>IF(AD122="","",郵住13(AD122))</f>
        <v>#VALUE!</v>
      </c>
      <c r="AF122" s="97" t="s">
        <v>1042</v>
      </c>
    </row>
    <row r="123" spans="25:32" x14ac:dyDescent="0.15">
      <c r="Y123" s="1"/>
      <c r="AB123" s="131" t="s">
        <v>524</v>
      </c>
      <c r="AC123" s="95" t="s">
        <v>1043</v>
      </c>
      <c r="AD123" s="95" t="s">
        <v>1044</v>
      </c>
      <c r="AE123" s="135" t="e">
        <f>IF(AD123="","",郵住13(AD123))</f>
        <v>#VALUE!</v>
      </c>
      <c r="AF123" s="97" t="s">
        <v>1045</v>
      </c>
    </row>
    <row r="124" spans="25:32" x14ac:dyDescent="0.15">
      <c r="Y124" s="1"/>
      <c r="AB124" s="131" t="s">
        <v>525</v>
      </c>
      <c r="AC124" s="95" t="s">
        <v>1046</v>
      </c>
      <c r="AD124" s="95" t="s">
        <v>1047</v>
      </c>
      <c r="AE124" s="135" t="e">
        <f>IF(AD124="","",郵住13(AD124))</f>
        <v>#VALUE!</v>
      </c>
      <c r="AF124" s="97" t="s">
        <v>1048</v>
      </c>
    </row>
    <row r="125" spans="25:32" x14ac:dyDescent="0.15">
      <c r="AB125" s="141" t="s">
        <v>526</v>
      </c>
      <c r="AC125" s="95" t="s">
        <v>1175</v>
      </c>
      <c r="AD125" s="95"/>
      <c r="AE125" s="135" t="str">
        <f>IF(AD125="","",郵住13(AD125))</f>
        <v/>
      </c>
      <c r="AF125" s="97"/>
    </row>
    <row r="126" spans="25:32" x14ac:dyDescent="0.15">
      <c r="AB126" s="153" t="s">
        <v>1194</v>
      </c>
      <c r="AC126" s="137" t="s">
        <v>1195</v>
      </c>
      <c r="AD126" s="95"/>
      <c r="AE126" s="135" t="str">
        <f>IF(AD126="","",郵住13(AD126))</f>
        <v/>
      </c>
      <c r="AF126" s="97"/>
    </row>
    <row r="127" spans="25:32" x14ac:dyDescent="0.15">
      <c r="AB127" s="153" t="s">
        <v>1220</v>
      </c>
      <c r="AC127" s="137" t="s">
        <v>1221</v>
      </c>
      <c r="AD127" s="137" t="s">
        <v>1222</v>
      </c>
      <c r="AE127" s="135" t="e">
        <f>IF(AD127="","",郵住13(AD127))</f>
        <v>#VALUE!</v>
      </c>
      <c r="AF127" s="159" t="s">
        <v>1223</v>
      </c>
    </row>
    <row r="128" spans="25:32" x14ac:dyDescent="0.15">
      <c r="AB128" s="141" t="s">
        <v>1248</v>
      </c>
      <c r="AC128" s="137" t="s">
        <v>1249</v>
      </c>
      <c r="AD128" s="137" t="s">
        <v>1250</v>
      </c>
      <c r="AE128" s="135" t="e">
        <f>IF(AD128="","",郵住13(AD128))</f>
        <v>#VALUE!</v>
      </c>
      <c r="AF128" s="159" t="s">
        <v>1251</v>
      </c>
    </row>
    <row r="129" spans="28:32" x14ac:dyDescent="0.15">
      <c r="AB129" s="141" t="s">
        <v>1298</v>
      </c>
      <c r="AC129" s="137" t="s">
        <v>1261</v>
      </c>
      <c r="AD129" s="137" t="s">
        <v>1262</v>
      </c>
      <c r="AE129" s="135" t="e">
        <f>IF(AD129="","",郵住13(AD129))</f>
        <v>#VALUE!</v>
      </c>
      <c r="AF129" s="148" t="s">
        <v>1585</v>
      </c>
    </row>
    <row r="130" spans="28:32" x14ac:dyDescent="0.15">
      <c r="AB130" s="141" t="s">
        <v>1299</v>
      </c>
      <c r="AC130" s="137" t="s">
        <v>1296</v>
      </c>
      <c r="AD130" s="147" t="s">
        <v>1587</v>
      </c>
      <c r="AE130" s="135" t="e">
        <f>IF(AD130="","",郵住13(AD130))</f>
        <v>#VALUE!</v>
      </c>
      <c r="AF130" s="159" t="s">
        <v>1297</v>
      </c>
    </row>
    <row r="131" spans="28:32" x14ac:dyDescent="0.15">
      <c r="AB131" s="149" t="s">
        <v>1543</v>
      </c>
      <c r="AC131" s="137" t="s">
        <v>1544</v>
      </c>
      <c r="AD131" s="95" t="s">
        <v>1545</v>
      </c>
      <c r="AE131" s="135" t="e">
        <f>IF(AD131="","",郵住13(AD131))</f>
        <v>#VALUE!</v>
      </c>
      <c r="AF131" s="96" t="s">
        <v>176</v>
      </c>
    </row>
    <row r="132" spans="28:32" x14ac:dyDescent="0.15">
      <c r="AB132" s="149" t="s">
        <v>1731</v>
      </c>
      <c r="AC132" s="137" t="s">
        <v>1733</v>
      </c>
      <c r="AD132" s="95" t="s">
        <v>5177</v>
      </c>
      <c r="AE132" s="135" t="e">
        <f>IF(AD132="","",郵住13(AD132))</f>
        <v>#VALUE!</v>
      </c>
      <c r="AF132" s="97"/>
    </row>
    <row r="133" spans="28:32" x14ac:dyDescent="0.15">
      <c r="AB133" s="149" t="s">
        <v>2076</v>
      </c>
      <c r="AC133" s="147" t="s">
        <v>2077</v>
      </c>
      <c r="AD133" s="95" t="s">
        <v>2078</v>
      </c>
      <c r="AE133" s="135" t="e">
        <f>IF(AD133="","",郵住13(AD133))</f>
        <v>#VALUE!</v>
      </c>
      <c r="AF133" s="159" t="s">
        <v>2079</v>
      </c>
    </row>
    <row r="134" spans="28:32" x14ac:dyDescent="0.15">
      <c r="AB134" s="149" t="s">
        <v>2410</v>
      </c>
      <c r="AC134" s="95" t="s">
        <v>2408</v>
      </c>
      <c r="AD134" s="133" t="s">
        <v>5188</v>
      </c>
      <c r="AE134" s="135" t="e">
        <f>IF(AD134="","",郵住13(AD134))</f>
        <v>#VALUE!</v>
      </c>
      <c r="AF134" s="97" t="s">
        <v>2409</v>
      </c>
    </row>
    <row r="135" spans="28:32" x14ac:dyDescent="0.15">
      <c r="AB135" s="149" t="s">
        <v>2620</v>
      </c>
      <c r="AC135" s="137" t="s">
        <v>2622</v>
      </c>
      <c r="AD135" s="95"/>
      <c r="AE135" s="135" t="str">
        <f>IF(AD135="","",郵住13(AD135))</f>
        <v/>
      </c>
      <c r="AF135" s="97"/>
    </row>
    <row r="136" spans="28:32" x14ac:dyDescent="0.15">
      <c r="AB136" s="149" t="s">
        <v>5180</v>
      </c>
      <c r="AC136" s="133" t="s">
        <v>5181</v>
      </c>
      <c r="AD136" s="95"/>
      <c r="AE136" s="135"/>
      <c r="AF136" s="97"/>
    </row>
    <row r="137" spans="28:32" x14ac:dyDescent="0.15">
      <c r="AB137" s="149" t="s">
        <v>4093</v>
      </c>
      <c r="AC137" s="137" t="s">
        <v>4025</v>
      </c>
      <c r="AD137" s="137" t="s">
        <v>4026</v>
      </c>
      <c r="AE137" s="135" t="e">
        <f>IF(AD137="","",郵住13(AD137))</f>
        <v>#VALUE!</v>
      </c>
      <c r="AF137" s="97"/>
    </row>
    <row r="138" spans="28:32" x14ac:dyDescent="0.15">
      <c r="AB138" s="149" t="s">
        <v>4516</v>
      </c>
      <c r="AC138" s="147" t="s">
        <v>4518</v>
      </c>
      <c r="AD138" s="95"/>
      <c r="AE138" s="135" t="str">
        <f>IF(AD138="","",郵住13(AD138))</f>
        <v/>
      </c>
      <c r="AF138" s="97"/>
    </row>
    <row r="139" spans="28:32" x14ac:dyDescent="0.15">
      <c r="AB139" s="149" t="s">
        <v>5185</v>
      </c>
      <c r="AC139" s="137" t="s">
        <v>5186</v>
      </c>
      <c r="AD139" s="137"/>
      <c r="AE139" s="135" t="str">
        <f>IF(AD139="","",郵住13(AD139))</f>
        <v/>
      </c>
      <c r="AF139" s="159"/>
    </row>
    <row r="140" spans="28:32" x14ac:dyDescent="0.15">
      <c r="AB140" s="149" t="s">
        <v>5184</v>
      </c>
      <c r="AC140" s="491" t="s">
        <v>5187</v>
      </c>
      <c r="AD140" s="95"/>
      <c r="AE140" s="95"/>
      <c r="AF140" s="97"/>
    </row>
    <row r="141" spans="28:32" ht="14.25" thickBot="1" x14ac:dyDescent="0.2">
      <c r="AB141" s="139" t="s">
        <v>5189</v>
      </c>
      <c r="AC141" s="142" t="s">
        <v>1767</v>
      </c>
      <c r="AD141" s="100"/>
      <c r="AE141" s="100"/>
      <c r="AF141" s="101"/>
    </row>
  </sheetData>
  <mergeCells count="23">
    <mergeCell ref="BR2:BV2"/>
    <mergeCell ref="BX2:CB2"/>
    <mergeCell ref="J2:N2"/>
    <mergeCell ref="P2:T2"/>
    <mergeCell ref="AB2:AF2"/>
    <mergeCell ref="AH2:AL2"/>
    <mergeCell ref="BL2:BP2"/>
    <mergeCell ref="W2:Y2"/>
    <mergeCell ref="AZ2:BD2"/>
    <mergeCell ref="BF2:BJ2"/>
    <mergeCell ref="AT2:AX2"/>
    <mergeCell ref="AN2:AR2"/>
    <mergeCell ref="EL2:EO2"/>
    <mergeCell ref="DH2:DL2"/>
    <mergeCell ref="CD2:CH2"/>
    <mergeCell ref="CJ2:CN2"/>
    <mergeCell ref="CP2:CT2"/>
    <mergeCell ref="CV2:CZ2"/>
    <mergeCell ref="DB2:DF2"/>
    <mergeCell ref="DU2:DW2"/>
    <mergeCell ref="EA2:EC2"/>
    <mergeCell ref="EF2:EI2"/>
    <mergeCell ref="DO2:DR2"/>
  </mergeCells>
  <phoneticPr fontId="2"/>
  <pageMargins left="0.39370078740157483" right="0.39370078740157483" top="0.39370078740157483" bottom="0.39370078740157483" header="0.51181102362204722" footer="0.51181102362204722"/>
  <pageSetup paperSize="9" scale="75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5</xdr:col>
                <xdr:colOff>276225</xdr:colOff>
                <xdr:row>0</xdr:row>
                <xdr:rowOff>142875</xdr:rowOff>
              </from>
              <to>
                <xdr:col>6</xdr:col>
                <xdr:colOff>0</xdr:colOff>
                <xdr:row>2</xdr:row>
                <xdr:rowOff>57150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4</xdr:col>
                <xdr:colOff>123825</xdr:colOff>
                <xdr:row>1</xdr:row>
                <xdr:rowOff>0</xdr:rowOff>
              </from>
              <to>
                <xdr:col>4</xdr:col>
                <xdr:colOff>1714500</xdr:colOff>
                <xdr:row>2</xdr:row>
                <xdr:rowOff>76200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ommandButton3">
          <controlPr defaultSize="0" autoLine="0" autoPict="0" r:id="rId9">
            <anchor moveWithCells="1">
              <from>
                <xdr:col>10</xdr:col>
                <xdr:colOff>57150</xdr:colOff>
                <xdr:row>30</xdr:row>
                <xdr:rowOff>180975</xdr:rowOff>
              </from>
              <to>
                <xdr:col>10</xdr:col>
                <xdr:colOff>1619250</xdr:colOff>
                <xdr:row>32</xdr:row>
                <xdr:rowOff>57150</xdr:rowOff>
              </to>
            </anchor>
          </controlPr>
        </control>
      </mc:Choice>
      <mc:Fallback>
        <control shapeId="11267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R9"/>
  <sheetViews>
    <sheetView workbookViewId="0">
      <selection activeCell="Q18" sqref="Q18"/>
    </sheetView>
  </sheetViews>
  <sheetFormatPr defaultRowHeight="13.5" x14ac:dyDescent="0.15"/>
  <cols>
    <col min="2" max="2" width="10.875" customWidth="1"/>
    <col min="3" max="3" width="19.5" customWidth="1"/>
    <col min="4" max="4" width="19" customWidth="1"/>
    <col min="5" max="5" width="20.875" customWidth="1"/>
    <col min="6" max="6" width="9.125" customWidth="1"/>
    <col min="7" max="8" width="8.875" customWidth="1"/>
    <col min="9" max="9" width="8.125" customWidth="1"/>
    <col min="12" max="12" width="12.875" customWidth="1"/>
    <col min="13" max="13" width="14.125" customWidth="1"/>
    <col min="14" max="14" width="20.125" customWidth="1"/>
  </cols>
  <sheetData>
    <row r="2" spans="2:18" x14ac:dyDescent="0.15">
      <c r="B2" s="56"/>
      <c r="C2" s="56"/>
      <c r="D2" s="56"/>
      <c r="E2" s="56"/>
      <c r="F2" s="56"/>
      <c r="G2" s="56"/>
      <c r="H2" s="56"/>
      <c r="I2" s="56"/>
      <c r="J2" s="56"/>
      <c r="L2" s="25">
        <v>43517</v>
      </c>
      <c r="O2" s="1" t="s">
        <v>4812</v>
      </c>
      <c r="P2" s="25"/>
    </row>
    <row r="3" spans="2:18" ht="14.25" thickBot="1" x14ac:dyDescent="0.2">
      <c r="L3" s="25">
        <v>43544</v>
      </c>
      <c r="P3" s="25"/>
    </row>
    <row r="4" spans="2:18" x14ac:dyDescent="0.15">
      <c r="B4" s="249" t="s">
        <v>0</v>
      </c>
      <c r="C4" s="205" t="s">
        <v>1</v>
      </c>
      <c r="D4" s="205" t="s">
        <v>7</v>
      </c>
      <c r="E4" s="206" t="s">
        <v>18</v>
      </c>
      <c r="F4" s="206" t="s">
        <v>19</v>
      </c>
      <c r="G4" s="207" t="s">
        <v>9</v>
      </c>
      <c r="H4" s="207" t="s">
        <v>4</v>
      </c>
      <c r="I4" s="207" t="s">
        <v>325</v>
      </c>
      <c r="J4" s="250" t="s">
        <v>2605</v>
      </c>
      <c r="O4" s="291"/>
      <c r="P4" s="292" t="s">
        <v>2782</v>
      </c>
      <c r="Q4" s="292" t="s">
        <v>2783</v>
      </c>
      <c r="R4" s="293" t="s">
        <v>2784</v>
      </c>
    </row>
    <row r="5" spans="2:18" x14ac:dyDescent="0.15">
      <c r="B5" s="25">
        <v>43525</v>
      </c>
      <c r="C5" t="s">
        <v>362</v>
      </c>
      <c r="D5" t="s">
        <v>1394</v>
      </c>
      <c r="E5" t="s">
        <v>5484</v>
      </c>
      <c r="F5" t="s">
        <v>5485</v>
      </c>
      <c r="G5" s="372">
        <v>350000</v>
      </c>
      <c r="H5" s="372">
        <v>192500</v>
      </c>
      <c r="I5" s="372">
        <v>75288</v>
      </c>
      <c r="J5" s="458">
        <v>0.39110648632049561</v>
      </c>
      <c r="O5" s="294" t="s">
        <v>325</v>
      </c>
      <c r="P5" s="295">
        <v>945208.58333333337</v>
      </c>
      <c r="Q5" s="295">
        <v>1043219.5833333334</v>
      </c>
      <c r="R5" s="296">
        <v>0</v>
      </c>
    </row>
    <row r="6" spans="2:18" ht="14.25" thickBot="1" x14ac:dyDescent="0.2">
      <c r="B6" s="25">
        <v>43525</v>
      </c>
      <c r="C6" t="s">
        <v>362</v>
      </c>
      <c r="D6" t="s">
        <v>1394</v>
      </c>
      <c r="E6" t="s">
        <v>5488</v>
      </c>
      <c r="F6" t="s">
        <v>5489</v>
      </c>
      <c r="G6" s="372">
        <v>370000</v>
      </c>
      <c r="H6" s="372">
        <v>203500</v>
      </c>
      <c r="I6" s="372">
        <v>84788</v>
      </c>
      <c r="J6" s="458">
        <v>0.41664865612983704</v>
      </c>
      <c r="O6" s="297" t="s">
        <v>2785</v>
      </c>
      <c r="P6" s="298">
        <v>15.083333333333334</v>
      </c>
      <c r="Q6" s="298">
        <v>19.083333333333332</v>
      </c>
      <c r="R6" s="299">
        <v>0</v>
      </c>
    </row>
    <row r="7" spans="2:18" x14ac:dyDescent="0.15">
      <c r="B7" s="25">
        <v>43525</v>
      </c>
      <c r="C7" t="s">
        <v>362</v>
      </c>
      <c r="D7" t="s">
        <v>1397</v>
      </c>
      <c r="E7" t="s">
        <v>5523</v>
      </c>
      <c r="F7" t="s">
        <v>5500</v>
      </c>
      <c r="G7" s="372">
        <v>204500</v>
      </c>
      <c r="H7" s="372">
        <v>204500</v>
      </c>
      <c r="I7" s="372">
        <v>77818</v>
      </c>
      <c r="J7" s="458">
        <v>0.38052812218666077</v>
      </c>
    </row>
    <row r="8" spans="2:18" x14ac:dyDescent="0.15">
      <c r="B8" s="459">
        <v>43518</v>
      </c>
      <c r="C8" s="460" t="s">
        <v>50</v>
      </c>
      <c r="D8" s="460" t="s">
        <v>1408</v>
      </c>
      <c r="E8" s="460" t="s">
        <v>2739</v>
      </c>
      <c r="F8" s="460" t="s">
        <v>5512</v>
      </c>
      <c r="G8" s="461">
        <v>475000</v>
      </c>
      <c r="H8" s="461">
        <v>285000</v>
      </c>
      <c r="I8" s="461">
        <v>65120</v>
      </c>
      <c r="J8" s="462">
        <v>0.22849123179912567</v>
      </c>
    </row>
    <row r="9" spans="2:18" x14ac:dyDescent="0.15">
      <c r="B9" s="459">
        <v>43518</v>
      </c>
      <c r="C9" s="460" t="s">
        <v>50</v>
      </c>
      <c r="D9" s="460" t="s">
        <v>1408</v>
      </c>
      <c r="E9" s="460" t="s">
        <v>2043</v>
      </c>
      <c r="F9" s="460" t="s">
        <v>5515</v>
      </c>
      <c r="G9" s="461">
        <v>186000</v>
      </c>
      <c r="H9" s="461">
        <v>186000</v>
      </c>
      <c r="I9" s="461">
        <v>40531</v>
      </c>
      <c r="J9" s="462">
        <v>0.21790860593318939</v>
      </c>
    </row>
  </sheetData>
  <phoneticPr fontId="2"/>
  <printOptions horizontalCentered="1"/>
  <pageMargins left="0.70866141732283472" right="0.70866141732283472" top="0.59055118110236227" bottom="0.59055118110236227" header="0.31496062992125984" footer="0.31496062992125984"/>
  <pageSetup paperSize="9" scale="95" fitToHeight="0" orientation="landscape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5299" r:id="rId4" name="CommandButton3">
          <controlPr defaultSize="0" autoLine="0" autoPict="0" r:id="rId5">
            <anchor moveWithCells="1">
              <from>
                <xdr:col>18</xdr:col>
                <xdr:colOff>600075</xdr:colOff>
                <xdr:row>2</xdr:row>
                <xdr:rowOff>0</xdr:rowOff>
              </from>
              <to>
                <xdr:col>21</xdr:col>
                <xdr:colOff>504825</xdr:colOff>
                <xdr:row>3</xdr:row>
                <xdr:rowOff>152400</xdr:rowOff>
              </to>
            </anchor>
          </controlPr>
        </control>
      </mc:Choice>
      <mc:Fallback>
        <control shapeId="55299" r:id="rId4" name="CommandButton3"/>
      </mc:Fallback>
    </mc:AlternateContent>
    <mc:AlternateContent xmlns:mc="http://schemas.openxmlformats.org/markup-compatibility/2006">
      <mc:Choice Requires="x14">
        <control shapeId="55298" r:id="rId6" name="CommandButton2">
          <controlPr defaultSize="0" autoLine="0" r:id="rId7">
            <anchor moveWithCells="1">
              <from>
                <xdr:col>12</xdr:col>
                <xdr:colOff>257175</xdr:colOff>
                <xdr:row>3</xdr:row>
                <xdr:rowOff>95250</xdr:rowOff>
              </from>
              <to>
                <xdr:col>13</xdr:col>
                <xdr:colOff>457200</xdr:colOff>
                <xdr:row>5</xdr:row>
                <xdr:rowOff>38100</xdr:rowOff>
              </to>
            </anchor>
          </controlPr>
        </control>
      </mc:Choice>
      <mc:Fallback>
        <control shapeId="55298" r:id="rId6" name="CommandButton2"/>
      </mc:Fallback>
    </mc:AlternateContent>
    <mc:AlternateContent xmlns:mc="http://schemas.openxmlformats.org/markup-compatibility/2006">
      <mc:Choice Requires="x14">
        <control shapeId="55297" r:id="rId8" name="CommandButton1">
          <controlPr defaultSize="0" autoLine="0" autoPict="0" r:id="rId9">
            <anchor moveWithCells="1">
              <from>
                <xdr:col>12</xdr:col>
                <xdr:colOff>276225</xdr:colOff>
                <xdr:row>0</xdr:row>
                <xdr:rowOff>152400</xdr:rowOff>
              </from>
              <to>
                <xdr:col>13</xdr:col>
                <xdr:colOff>571500</xdr:colOff>
                <xdr:row>2</xdr:row>
                <xdr:rowOff>114300</xdr:rowOff>
              </to>
            </anchor>
          </controlPr>
        </control>
      </mc:Choice>
      <mc:Fallback>
        <control shapeId="552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autoPageBreaks="0" fitToPage="1"/>
  </sheetPr>
  <dimension ref="B1:S63"/>
  <sheetViews>
    <sheetView zoomScale="115" zoomScaleNormal="115" workbookViewId="0">
      <selection activeCell="I29" sqref="I29"/>
    </sheetView>
  </sheetViews>
  <sheetFormatPr defaultRowHeight="13.5" x14ac:dyDescent="0.15"/>
  <cols>
    <col min="1" max="1" width="1.625" customWidth="1"/>
    <col min="2" max="2" width="11.5" customWidth="1"/>
    <col min="3" max="3" width="7.625" customWidth="1"/>
    <col min="4" max="4" width="20" customWidth="1"/>
    <col min="5" max="5" width="5.5" customWidth="1"/>
    <col min="6" max="6" width="7.375" customWidth="1"/>
    <col min="7" max="7" width="3.875" customWidth="1"/>
    <col min="8" max="8" width="7.875" style="241" customWidth="1"/>
    <col min="9" max="9" width="8.5" customWidth="1"/>
    <col min="10" max="10" width="20.75" customWidth="1"/>
    <col min="12" max="12" width="17.875" customWidth="1"/>
    <col min="13" max="13" width="9" style="2"/>
  </cols>
  <sheetData>
    <row r="1" spans="2:19" ht="9.4" customHeight="1" x14ac:dyDescent="0.15"/>
    <row r="2" spans="2:19" ht="3.75" customHeight="1" x14ac:dyDescent="0.15"/>
    <row r="3" spans="2:19" x14ac:dyDescent="0.15">
      <c r="H3" s="581" t="s">
        <v>22</v>
      </c>
      <c r="I3" s="581"/>
      <c r="J3" s="11" t="s">
        <v>23</v>
      </c>
    </row>
    <row r="4" spans="2:19" ht="15" customHeight="1" x14ac:dyDescent="0.15">
      <c r="H4" s="582"/>
      <c r="I4" s="583"/>
      <c r="J4" s="13"/>
    </row>
    <row r="5" spans="2:19" ht="28.15" customHeight="1" x14ac:dyDescent="0.25">
      <c r="D5" s="590" t="s">
        <v>33</v>
      </c>
      <c r="E5" s="590"/>
      <c r="F5" s="590"/>
      <c r="G5" s="590"/>
      <c r="H5" s="586"/>
      <c r="I5" s="586"/>
      <c r="J5" s="16" t="s">
        <v>35</v>
      </c>
    </row>
    <row r="6" spans="2:19" ht="34.15" customHeight="1" x14ac:dyDescent="0.15"/>
    <row r="7" spans="2:19" ht="18.75" x14ac:dyDescent="0.2">
      <c r="B7" s="587"/>
      <c r="C7" s="587"/>
      <c r="D7" s="587"/>
      <c r="H7" s="242" t="s">
        <v>36</v>
      </c>
      <c r="I7" s="7"/>
    </row>
    <row r="8" spans="2:19" ht="15" customHeight="1" x14ac:dyDescent="0.15">
      <c r="B8" s="588"/>
      <c r="C8" s="587"/>
      <c r="D8" s="587"/>
      <c r="H8" s="241" t="s">
        <v>533</v>
      </c>
    </row>
    <row r="9" spans="2:19" ht="15" customHeight="1" x14ac:dyDescent="0.15">
      <c r="B9" s="589" t="s">
        <v>534</v>
      </c>
      <c r="C9" s="589"/>
      <c r="D9" s="589"/>
      <c r="H9" s="241" t="s">
        <v>34</v>
      </c>
      <c r="J9" t="s">
        <v>37</v>
      </c>
      <c r="O9" t="s">
        <v>754</v>
      </c>
      <c r="P9" t="e">
        <f>郵住13(O9)</f>
        <v>#VALUE!</v>
      </c>
      <c r="S9" t="e">
        <f>住郵13(P9)</f>
        <v>#VALUE!</v>
      </c>
    </row>
    <row r="10" spans="2:19" ht="18" customHeight="1" x14ac:dyDescent="0.15">
      <c r="B10" s="584"/>
      <c r="C10" s="585"/>
      <c r="D10" s="585"/>
      <c r="E10" s="12"/>
    </row>
    <row r="11" spans="2:19" ht="42.95" customHeight="1" x14ac:dyDescent="0.2">
      <c r="B11" s="15"/>
      <c r="C11" s="9"/>
      <c r="D11" s="15"/>
      <c r="E11" s="17"/>
    </row>
    <row r="12" spans="2:19" ht="15" customHeight="1" x14ac:dyDescent="0.15">
      <c r="H12" s="241" t="s">
        <v>31</v>
      </c>
    </row>
    <row r="13" spans="2:19" ht="14.25" customHeight="1" thickBot="1" x14ac:dyDescent="0.2"/>
    <row r="14" spans="2:19" ht="15" customHeight="1" thickBot="1" x14ac:dyDescent="0.2">
      <c r="B14" s="576" t="s">
        <v>24</v>
      </c>
      <c r="C14" s="574"/>
      <c r="D14" s="574" t="s">
        <v>25</v>
      </c>
      <c r="E14" s="574"/>
      <c r="F14" s="574" t="s">
        <v>26</v>
      </c>
      <c r="G14" s="574"/>
      <c r="H14" s="575"/>
      <c r="J14" s="35" t="s">
        <v>32</v>
      </c>
    </row>
    <row r="15" spans="2:19" ht="20.45" customHeight="1" thickBot="1" x14ac:dyDescent="0.25">
      <c r="B15" s="578">
        <v>0</v>
      </c>
      <c r="C15" s="579"/>
      <c r="D15" s="579">
        <v>0</v>
      </c>
      <c r="E15" s="579"/>
      <c r="F15" s="579"/>
      <c r="G15" s="579"/>
      <c r="H15" s="580"/>
      <c r="I15" s="10"/>
      <c r="J15" s="36">
        <f>B15-D15+F15</f>
        <v>0</v>
      </c>
      <c r="L15" s="71" t="s">
        <v>7</v>
      </c>
      <c r="M15" s="72" t="s">
        <v>894</v>
      </c>
    </row>
    <row r="16" spans="2:19" ht="5.45" customHeight="1" thickBot="1" x14ac:dyDescent="0.2"/>
    <row r="17" spans="2:13" ht="15" customHeight="1" x14ac:dyDescent="0.15">
      <c r="B17" s="46" t="s">
        <v>27</v>
      </c>
      <c r="C17" s="47" t="s">
        <v>10</v>
      </c>
      <c r="D17" s="577" t="s">
        <v>28</v>
      </c>
      <c r="E17" s="577"/>
      <c r="F17" s="577"/>
      <c r="G17" s="48" t="s">
        <v>3</v>
      </c>
      <c r="H17" s="243" t="s">
        <v>2</v>
      </c>
      <c r="I17" s="48" t="s">
        <v>29</v>
      </c>
      <c r="J17" s="49" t="s">
        <v>30</v>
      </c>
      <c r="L17" t="s">
        <v>2551</v>
      </c>
      <c r="M17" s="2">
        <v>386600</v>
      </c>
    </row>
    <row r="18" spans="2:13" ht="15" customHeight="1" x14ac:dyDescent="0.15">
      <c r="B18" s="28"/>
      <c r="C18" s="58"/>
      <c r="D18" s="181"/>
      <c r="E18" s="38"/>
      <c r="F18" s="27"/>
      <c r="G18" s="27"/>
      <c r="H18" s="244"/>
      <c r="I18" s="29"/>
      <c r="J18" s="30"/>
      <c r="L18" t="s">
        <v>1976</v>
      </c>
      <c r="M18" s="2">
        <v>191400</v>
      </c>
    </row>
    <row r="19" spans="2:13" ht="15" customHeight="1" x14ac:dyDescent="0.15">
      <c r="B19" s="51"/>
      <c r="C19" s="59"/>
      <c r="D19" s="37"/>
      <c r="E19" s="38"/>
      <c r="F19" s="27"/>
      <c r="G19" s="27"/>
      <c r="H19" s="244"/>
      <c r="I19" s="29"/>
      <c r="J19" s="30"/>
      <c r="L19" t="s">
        <v>1435</v>
      </c>
      <c r="M19" s="2">
        <v>176000</v>
      </c>
    </row>
    <row r="20" spans="2:13" ht="15" customHeight="1" x14ac:dyDescent="0.15">
      <c r="B20" s="28"/>
      <c r="C20" s="58"/>
      <c r="D20" s="181"/>
      <c r="E20" s="38"/>
      <c r="F20" s="27"/>
      <c r="G20" s="27"/>
      <c r="H20" s="244"/>
      <c r="I20" s="29"/>
      <c r="J20" s="60"/>
      <c r="L20" t="s">
        <v>1408</v>
      </c>
      <c r="M20" s="2">
        <v>643200</v>
      </c>
    </row>
    <row r="21" spans="2:13" ht="15" customHeight="1" x14ac:dyDescent="0.15">
      <c r="B21" s="28"/>
      <c r="C21" s="58"/>
      <c r="D21" s="37"/>
      <c r="E21" s="38"/>
      <c r="F21" s="27"/>
      <c r="G21" s="27"/>
      <c r="H21" s="245"/>
      <c r="I21" s="31"/>
      <c r="J21" s="30"/>
    </row>
    <row r="22" spans="2:13" ht="15" customHeight="1" x14ac:dyDescent="0.15">
      <c r="B22" s="28"/>
      <c r="C22" s="58"/>
      <c r="D22" s="37"/>
      <c r="E22" s="38"/>
      <c r="F22" s="27"/>
      <c r="G22" s="27"/>
      <c r="H22" s="245"/>
      <c r="I22" s="31"/>
      <c r="J22" s="30"/>
    </row>
    <row r="23" spans="2:13" ht="15" customHeight="1" x14ac:dyDescent="0.15">
      <c r="B23" s="28"/>
      <c r="C23" s="58"/>
      <c r="D23" s="37"/>
      <c r="E23" s="38"/>
      <c r="F23" s="27"/>
      <c r="G23" s="27"/>
      <c r="H23" s="245"/>
      <c r="I23" s="31"/>
      <c r="J23" s="30"/>
    </row>
    <row r="24" spans="2:13" ht="15" customHeight="1" x14ac:dyDescent="0.15">
      <c r="B24" s="28"/>
      <c r="C24" s="58"/>
      <c r="D24" s="37"/>
      <c r="E24" s="38"/>
      <c r="F24" s="27"/>
      <c r="G24" s="27"/>
      <c r="H24" s="245"/>
      <c r="I24" s="31"/>
      <c r="J24" s="30"/>
    </row>
    <row r="25" spans="2:13" ht="15" customHeight="1" x14ac:dyDescent="0.15">
      <c r="B25" s="28"/>
      <c r="C25" s="58"/>
      <c r="D25" s="37"/>
      <c r="E25" s="38"/>
      <c r="F25" s="27"/>
      <c r="G25" s="27"/>
      <c r="H25" s="245"/>
      <c r="I25" s="31"/>
      <c r="J25" s="60"/>
    </row>
    <row r="26" spans="2:13" ht="15" customHeight="1" x14ac:dyDescent="0.15">
      <c r="B26" s="28"/>
      <c r="C26" s="58"/>
      <c r="D26" s="37"/>
      <c r="E26" s="38"/>
      <c r="F26" s="27"/>
      <c r="G26" s="27"/>
      <c r="H26" s="245"/>
      <c r="I26" s="31"/>
      <c r="J26" s="60"/>
    </row>
    <row r="27" spans="2:13" ht="15" customHeight="1" x14ac:dyDescent="0.15">
      <c r="B27" s="28"/>
      <c r="C27" s="58"/>
      <c r="D27" s="37"/>
      <c r="E27" s="38"/>
      <c r="F27" s="27"/>
      <c r="G27" s="27"/>
      <c r="H27" s="245"/>
      <c r="I27" s="31"/>
      <c r="J27" s="30"/>
    </row>
    <row r="28" spans="2:13" ht="15" customHeight="1" x14ac:dyDescent="0.15">
      <c r="B28" s="28"/>
      <c r="C28" s="58"/>
      <c r="D28" s="37"/>
      <c r="E28" s="38"/>
      <c r="F28" s="27"/>
      <c r="G28" s="27"/>
      <c r="H28" s="245"/>
      <c r="I28" s="31"/>
      <c r="J28" s="30"/>
    </row>
    <row r="29" spans="2:13" ht="15" customHeight="1" x14ac:dyDescent="0.15">
      <c r="B29" s="28"/>
      <c r="C29" s="58"/>
      <c r="D29" s="37"/>
      <c r="E29" s="38"/>
      <c r="F29" s="27"/>
      <c r="G29" s="27"/>
      <c r="H29" s="245"/>
      <c r="I29" s="31"/>
      <c r="J29" s="30"/>
    </row>
    <row r="30" spans="2:13" ht="15" customHeight="1" x14ac:dyDescent="0.15">
      <c r="B30" s="28"/>
      <c r="C30" s="58"/>
      <c r="D30" s="37"/>
      <c r="E30" s="38"/>
      <c r="F30" s="27"/>
      <c r="G30" s="27"/>
      <c r="H30" s="245"/>
      <c r="I30" s="31"/>
      <c r="J30" s="30"/>
    </row>
    <row r="31" spans="2:13" ht="15" customHeight="1" x14ac:dyDescent="0.15">
      <c r="B31" s="28"/>
      <c r="C31" s="58"/>
      <c r="D31" s="37"/>
      <c r="E31" s="38"/>
      <c r="F31" s="27"/>
      <c r="G31" s="27"/>
      <c r="H31" s="245"/>
      <c r="I31" s="31"/>
      <c r="J31" s="30"/>
    </row>
    <row r="32" spans="2:13" ht="15" customHeight="1" x14ac:dyDescent="0.15">
      <c r="B32" s="28"/>
      <c r="C32" s="58"/>
      <c r="D32" s="37"/>
      <c r="E32" s="38"/>
      <c r="F32" s="27"/>
      <c r="G32" s="27"/>
      <c r="H32" s="245"/>
      <c r="I32" s="31"/>
      <c r="J32" s="30"/>
    </row>
    <row r="33" spans="2:10" ht="15" customHeight="1" x14ac:dyDescent="0.15">
      <c r="B33" s="28"/>
      <c r="C33" s="58"/>
      <c r="D33" s="37"/>
      <c r="E33" s="38"/>
      <c r="F33" s="27"/>
      <c r="G33" s="27"/>
      <c r="H33" s="245"/>
      <c r="I33" s="31"/>
      <c r="J33" s="30"/>
    </row>
    <row r="34" spans="2:10" ht="15" customHeight="1" x14ac:dyDescent="0.15">
      <c r="B34" s="28"/>
      <c r="C34" s="58"/>
      <c r="D34" s="37"/>
      <c r="E34" s="38"/>
      <c r="F34" s="27"/>
      <c r="G34" s="27"/>
      <c r="H34" s="245"/>
      <c r="I34" s="31"/>
      <c r="J34" s="30"/>
    </row>
    <row r="35" spans="2:10" ht="15" customHeight="1" x14ac:dyDescent="0.15">
      <c r="B35" s="28"/>
      <c r="C35" s="58"/>
      <c r="D35" s="37"/>
      <c r="E35" s="38"/>
      <c r="F35" s="27"/>
      <c r="G35" s="27"/>
      <c r="H35" s="245"/>
      <c r="I35" s="31"/>
      <c r="J35" s="30"/>
    </row>
    <row r="36" spans="2:10" ht="15" customHeight="1" x14ac:dyDescent="0.15">
      <c r="B36" s="28"/>
      <c r="C36" s="58"/>
      <c r="D36" s="37"/>
      <c r="E36" s="38"/>
      <c r="F36" s="27"/>
      <c r="G36" s="27"/>
      <c r="H36" s="245"/>
      <c r="I36" s="31"/>
      <c r="J36" s="30"/>
    </row>
    <row r="37" spans="2:10" ht="15" customHeight="1" x14ac:dyDescent="0.15">
      <c r="B37" s="28"/>
      <c r="C37" s="58"/>
      <c r="D37" s="37"/>
      <c r="E37" s="38"/>
      <c r="F37" s="27"/>
      <c r="G37" s="27"/>
      <c r="H37" s="246"/>
      <c r="I37" s="31"/>
      <c r="J37" s="30"/>
    </row>
    <row r="38" spans="2:10" ht="15" customHeight="1" x14ac:dyDescent="0.15">
      <c r="B38" s="28"/>
      <c r="C38" s="58"/>
      <c r="D38" s="37"/>
      <c r="E38" s="38"/>
      <c r="F38" s="27"/>
      <c r="G38" s="27"/>
      <c r="H38" s="246"/>
      <c r="I38" s="31"/>
      <c r="J38" s="30"/>
    </row>
    <row r="39" spans="2:10" ht="15" customHeight="1" x14ac:dyDescent="0.15">
      <c r="B39" s="28"/>
      <c r="C39" s="58"/>
      <c r="D39" s="37"/>
      <c r="E39" s="38"/>
      <c r="F39" s="27"/>
      <c r="G39" s="27"/>
      <c r="H39" s="246"/>
      <c r="I39" s="31"/>
      <c r="J39" s="30"/>
    </row>
    <row r="40" spans="2:10" ht="15" customHeight="1" x14ac:dyDescent="0.15">
      <c r="B40" s="28"/>
      <c r="C40" s="58"/>
      <c r="D40" s="37"/>
      <c r="E40" s="38"/>
      <c r="F40" s="27"/>
      <c r="G40" s="27"/>
      <c r="H40" s="246"/>
      <c r="I40" s="31"/>
      <c r="J40" s="30"/>
    </row>
    <row r="41" spans="2:10" ht="15" customHeight="1" x14ac:dyDescent="0.15">
      <c r="B41" s="28"/>
      <c r="C41" s="58"/>
      <c r="D41" s="37"/>
      <c r="E41" s="38"/>
      <c r="F41" s="27"/>
      <c r="G41" s="27"/>
      <c r="H41" s="246"/>
      <c r="I41" s="31"/>
      <c r="J41" s="30"/>
    </row>
    <row r="42" spans="2:10" ht="15" customHeight="1" x14ac:dyDescent="0.15">
      <c r="B42" s="28"/>
      <c r="C42" s="58"/>
      <c r="D42" s="37"/>
      <c r="E42" s="38"/>
      <c r="F42" s="27"/>
      <c r="G42" s="27"/>
      <c r="H42" s="246"/>
      <c r="I42" s="31"/>
      <c r="J42" s="30"/>
    </row>
    <row r="43" spans="2:10" ht="15" customHeight="1" x14ac:dyDescent="0.15">
      <c r="B43" s="28"/>
      <c r="C43" s="58"/>
      <c r="D43" s="37"/>
      <c r="E43" s="38"/>
      <c r="F43" s="27"/>
      <c r="G43" s="27"/>
      <c r="H43" s="246"/>
      <c r="I43" s="31"/>
      <c r="J43" s="30"/>
    </row>
    <row r="44" spans="2:10" ht="15" customHeight="1" x14ac:dyDescent="0.15">
      <c r="B44" s="28"/>
      <c r="C44" s="58"/>
      <c r="D44" s="37"/>
      <c r="E44" s="38"/>
      <c r="F44" s="27"/>
      <c r="G44" s="27"/>
      <c r="H44" s="246"/>
      <c r="I44" s="31"/>
      <c r="J44" s="30"/>
    </row>
    <row r="45" spans="2:10" ht="15" customHeight="1" x14ac:dyDescent="0.15">
      <c r="B45" s="28"/>
      <c r="C45" s="58"/>
      <c r="D45" s="37"/>
      <c r="E45" s="38"/>
      <c r="F45" s="27"/>
      <c r="G45" s="27"/>
      <c r="H45" s="246"/>
      <c r="I45" s="31"/>
      <c r="J45" s="30"/>
    </row>
    <row r="46" spans="2:10" ht="15" customHeight="1" x14ac:dyDescent="0.15">
      <c r="B46" s="28"/>
      <c r="C46" s="58"/>
      <c r="D46" s="37"/>
      <c r="E46" s="38"/>
      <c r="F46" s="27"/>
      <c r="G46" s="27"/>
      <c r="H46" s="246"/>
      <c r="I46" s="31"/>
      <c r="J46" s="30"/>
    </row>
    <row r="47" spans="2:10" ht="15" customHeight="1" x14ac:dyDescent="0.15">
      <c r="B47" s="28"/>
      <c r="C47" s="58"/>
      <c r="D47" s="37"/>
      <c r="E47" s="38"/>
      <c r="F47" s="27"/>
      <c r="G47" s="27"/>
      <c r="H47" s="246"/>
      <c r="I47" s="31"/>
      <c r="J47" s="30"/>
    </row>
    <row r="48" spans="2:10" ht="15" customHeight="1" x14ac:dyDescent="0.15">
      <c r="B48" s="28"/>
      <c r="C48" s="58"/>
      <c r="D48" s="37"/>
      <c r="E48" s="38"/>
      <c r="F48" s="27"/>
      <c r="G48" s="27"/>
      <c r="H48" s="246"/>
      <c r="I48" s="31"/>
      <c r="J48" s="30"/>
    </row>
    <row r="49" spans="2:19" ht="15" customHeight="1" x14ac:dyDescent="0.15">
      <c r="B49" s="28"/>
      <c r="C49" s="58"/>
      <c r="D49" s="37"/>
      <c r="E49" s="38"/>
      <c r="F49" s="27"/>
      <c r="G49" s="27"/>
      <c r="H49" s="246"/>
      <c r="I49" s="31"/>
      <c r="J49" s="30"/>
    </row>
    <row r="50" spans="2:19" ht="15" customHeight="1" x14ac:dyDescent="0.15">
      <c r="B50" s="28"/>
      <c r="C50" s="58"/>
      <c r="D50" s="37"/>
      <c r="E50" s="38"/>
      <c r="F50" s="27"/>
      <c r="G50" s="27"/>
      <c r="H50" s="246"/>
      <c r="I50" s="31"/>
      <c r="J50" s="30"/>
    </row>
    <row r="51" spans="2:19" ht="15" customHeight="1" x14ac:dyDescent="0.15">
      <c r="B51" s="326"/>
      <c r="C51" s="27"/>
      <c r="D51" s="37"/>
      <c r="E51" s="38"/>
      <c r="F51" s="27"/>
      <c r="G51" s="27"/>
      <c r="H51" s="246"/>
      <c r="I51" s="31"/>
      <c r="J51" s="30"/>
    </row>
    <row r="52" spans="2:19" ht="15" customHeight="1" thickBot="1" x14ac:dyDescent="0.2">
      <c r="B52" s="325"/>
      <c r="C52" s="32"/>
      <c r="D52" s="39"/>
      <c r="E52" s="40"/>
      <c r="F52" s="32"/>
      <c r="G52" s="32"/>
      <c r="H52" s="247"/>
      <c r="I52" s="33"/>
      <c r="J52" s="34"/>
      <c r="R52" s="241"/>
    </row>
    <row r="53" spans="2:19" ht="5.25" customHeight="1" x14ac:dyDescent="0.15">
      <c r="L53" s="324"/>
      <c r="M53" s="332"/>
      <c r="N53" s="8"/>
      <c r="O53" s="8"/>
      <c r="P53" s="8"/>
      <c r="Q53" s="8"/>
      <c r="R53" s="248"/>
      <c r="S53" s="8"/>
    </row>
    <row r="54" spans="2:19" x14ac:dyDescent="0.15">
      <c r="B54" t="s">
        <v>3824</v>
      </c>
    </row>
    <row r="55" spans="2:19" ht="14.25" x14ac:dyDescent="0.15">
      <c r="B55" s="324" t="s">
        <v>3825</v>
      </c>
      <c r="C55" s="14"/>
      <c r="D55" s="8"/>
      <c r="E55" s="8"/>
      <c r="F55" s="8"/>
      <c r="G55" s="8"/>
      <c r="H55" s="248"/>
      <c r="I55" s="8"/>
    </row>
    <row r="57" spans="2:19" ht="4.7" customHeight="1" x14ac:dyDescent="0.15"/>
    <row r="61" spans="2:19" x14ac:dyDescent="0.15">
      <c r="H61"/>
    </row>
    <row r="62" spans="2:19" x14ac:dyDescent="0.15">
      <c r="H62"/>
    </row>
    <row r="63" spans="2:19" x14ac:dyDescent="0.15">
      <c r="H63"/>
    </row>
  </sheetData>
  <mergeCells count="15">
    <mergeCell ref="H3:I3"/>
    <mergeCell ref="H4:I4"/>
    <mergeCell ref="B10:D10"/>
    <mergeCell ref="H5:I5"/>
    <mergeCell ref="B7:D7"/>
    <mergeCell ref="B8:D8"/>
    <mergeCell ref="B9:D9"/>
    <mergeCell ref="D5:G5"/>
    <mergeCell ref="F14:H14"/>
    <mergeCell ref="D14:E14"/>
    <mergeCell ref="B14:C14"/>
    <mergeCell ref="D17:F17"/>
    <mergeCell ref="B15:C15"/>
    <mergeCell ref="D15:E15"/>
    <mergeCell ref="F15:H15"/>
  </mergeCells>
  <phoneticPr fontId="2"/>
  <printOptions horizontalCentered="1"/>
  <pageMargins left="0.9055118110236221" right="0.19685039370078741" top="0.59055118110236227" bottom="0.51181102362204722" header="0.39370078740157483" footer="0.39370078740157483"/>
  <pageSetup paperSize="9" scale="93" orientation="portrait" r:id="rId1"/>
  <headerFooter alignWithMargins="0"/>
  <rowBreaks count="1" manualBreakCount="1">
    <brk id="14" max="16383" man="1"/>
  </rowBreaks>
  <colBreaks count="1" manualBreakCount="1">
    <brk id="5" max="1048575" man="1"/>
  </colBreaks>
  <drawing r:id="rId2"/>
  <legacyDrawing r:id="rId3"/>
  <controls>
    <mc:AlternateContent xmlns:mc="http://schemas.openxmlformats.org/markup-compatibility/2006">
      <mc:Choice Requires="x14">
        <control shapeId="13315" r:id="rId4" name="CommandButton3">
          <controlPr defaultSize="0" autoLine="0" r:id="rId5">
            <anchor moveWithCells="1">
              <from>
                <xdr:col>11</xdr:col>
                <xdr:colOff>247650</xdr:colOff>
                <xdr:row>11</xdr:row>
                <xdr:rowOff>0</xdr:rowOff>
              </from>
              <to>
                <xdr:col>12</xdr:col>
                <xdr:colOff>447675</xdr:colOff>
                <xdr:row>12</xdr:row>
                <xdr:rowOff>76200</xdr:rowOff>
              </to>
            </anchor>
          </controlPr>
        </control>
      </mc:Choice>
      <mc:Fallback>
        <control shapeId="13315" r:id="rId4" name="CommandButton3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13</xdr:col>
                <xdr:colOff>0</xdr:colOff>
                <xdr:row>4</xdr:row>
                <xdr:rowOff>19050</xdr:rowOff>
              </from>
              <to>
                <xdr:col>14</xdr:col>
                <xdr:colOff>676275</xdr:colOff>
                <xdr:row>4</xdr:row>
                <xdr:rowOff>314325</xdr:rowOff>
              </to>
            </anchor>
          </controlPr>
        </control>
      </mc:Choice>
      <mc:Fallback>
        <control shapeId="13313" r:id="rId6" name="CommandButton1"/>
      </mc:Fallback>
    </mc:AlternateContent>
    <mc:AlternateContent xmlns:mc="http://schemas.openxmlformats.org/markup-compatibility/2006">
      <mc:Choice Requires="x14">
        <control shapeId="13314" r:id="rId8" name="CommandButton2">
          <controlPr defaultSize="0" autoLine="0" r:id="rId9">
            <anchor moveWithCells="1">
              <from>
                <xdr:col>13</xdr:col>
                <xdr:colOff>38100</xdr:colOff>
                <xdr:row>5</xdr:row>
                <xdr:rowOff>247650</xdr:rowOff>
              </from>
              <to>
                <xdr:col>14</xdr:col>
                <xdr:colOff>628650</xdr:colOff>
                <xdr:row>6</xdr:row>
                <xdr:rowOff>171450</xdr:rowOff>
              </to>
            </anchor>
          </controlPr>
        </control>
      </mc:Choice>
      <mc:Fallback>
        <control shapeId="13314" r:id="rId8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CW137"/>
  <sheetViews>
    <sheetView zoomScale="176" zoomScaleNormal="176" workbookViewId="0">
      <pane ySplit="1" topLeftCell="A5" activePane="bottomLeft" state="frozen"/>
      <selection pane="bottomLeft" activeCell="B5" sqref="B5:CE44"/>
    </sheetView>
  </sheetViews>
  <sheetFormatPr defaultRowHeight="13.5" x14ac:dyDescent="0.15"/>
  <cols>
    <col min="1" max="1" width="0.875" customWidth="1"/>
    <col min="2" max="9" width="1.375" customWidth="1"/>
    <col min="10" max="11" width="1.125" customWidth="1"/>
    <col min="12" max="17" width="1.375" customWidth="1"/>
    <col min="18" max="18" width="1.625" customWidth="1"/>
    <col min="19" max="20" width="1.375" customWidth="1"/>
    <col min="21" max="21" width="1.5" customWidth="1"/>
    <col min="22" max="23" width="1.125" customWidth="1"/>
    <col min="24" max="26" width="1.375" customWidth="1"/>
    <col min="27" max="27" width="0.5" customWidth="1"/>
    <col min="28" max="34" width="1.375" customWidth="1"/>
    <col min="35" max="35" width="1.875" customWidth="1"/>
    <col min="36" max="39" width="1.375" customWidth="1"/>
    <col min="40" max="40" width="1.125" customWidth="1"/>
    <col min="41" max="41" width="0.875" customWidth="1"/>
    <col min="42" max="43" width="1.125" customWidth="1"/>
    <col min="44" max="44" width="1.375" customWidth="1"/>
    <col min="45" max="45" width="1.25" customWidth="1"/>
    <col min="46" max="46" width="1.625" customWidth="1"/>
    <col min="47" max="51" width="1.5" customWidth="1"/>
    <col min="52" max="52" width="1.125" customWidth="1"/>
    <col min="53" max="53" width="1.5" customWidth="1"/>
    <col min="54" max="54" width="1.75" customWidth="1"/>
    <col min="55" max="55" width="0.75" customWidth="1"/>
    <col min="56" max="56" width="1.375" customWidth="1"/>
    <col min="57" max="57" width="1.625" customWidth="1"/>
    <col min="58" max="59" width="0.875" customWidth="1"/>
    <col min="60" max="60" width="1.375" customWidth="1"/>
    <col min="61" max="64" width="1.125" customWidth="1"/>
    <col min="65" max="68" width="1.375" customWidth="1"/>
    <col min="69" max="69" width="1.5" customWidth="1"/>
    <col min="70" max="70" width="1.875" customWidth="1"/>
    <col min="71" max="71" width="0.875" customWidth="1"/>
    <col min="72" max="72" width="0.375" customWidth="1"/>
    <col min="73" max="73" width="0.5" customWidth="1"/>
    <col min="74" max="74" width="1" customWidth="1"/>
    <col min="75" max="75" width="1.125" customWidth="1"/>
    <col min="76" max="76" width="1.375" customWidth="1"/>
    <col min="77" max="77" width="1.5" customWidth="1"/>
    <col min="78" max="81" width="1.375" customWidth="1"/>
    <col min="82" max="83" width="1.125" customWidth="1"/>
    <col min="84" max="84" width="1.25" customWidth="1"/>
    <col min="85" max="90" width="1.5" customWidth="1"/>
    <col min="91" max="91" width="6.875" customWidth="1"/>
    <col min="93" max="94" width="6.5" customWidth="1"/>
    <col min="95" max="96" width="6" customWidth="1"/>
    <col min="97" max="97" width="5.5" customWidth="1"/>
    <col min="101" max="101" width="10.5" bestFit="1" customWidth="1"/>
  </cols>
  <sheetData>
    <row r="1" spans="1:94" x14ac:dyDescent="0.15">
      <c r="CM1" t="s">
        <v>1385</v>
      </c>
      <c r="CN1" t="s">
        <v>1386</v>
      </c>
      <c r="CO1" t="s">
        <v>1387</v>
      </c>
    </row>
    <row r="2" spans="1:94" x14ac:dyDescent="0.15">
      <c r="CP2" s="1" t="s">
        <v>1487</v>
      </c>
    </row>
    <row r="3" spans="1:94" ht="6.4" customHeight="1" x14ac:dyDescent="0.15">
      <c r="A3" s="166"/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  <c r="BL3" s="166"/>
      <c r="BM3" s="166"/>
      <c r="BN3" s="166"/>
      <c r="BO3" s="166"/>
      <c r="BP3" s="166"/>
      <c r="BQ3" s="166"/>
      <c r="BR3" s="166"/>
      <c r="BS3" s="166"/>
      <c r="BT3" s="166"/>
      <c r="BU3" s="166"/>
      <c r="BV3" s="166"/>
      <c r="BW3" s="166"/>
      <c r="BX3" s="166"/>
      <c r="BY3" s="166"/>
      <c r="BZ3" s="166"/>
      <c r="CA3" s="166"/>
      <c r="CB3" s="166"/>
      <c r="CC3" s="166"/>
      <c r="CD3" s="166"/>
      <c r="CE3" s="166"/>
      <c r="CF3" s="166"/>
    </row>
    <row r="4" spans="1:94" ht="4.1500000000000004" customHeight="1" x14ac:dyDescent="0.15">
      <c r="A4" s="166"/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6"/>
      <c r="BX4" s="166"/>
      <c r="BY4" s="166"/>
      <c r="BZ4" s="166"/>
      <c r="CA4" s="166"/>
      <c r="CB4" s="166"/>
      <c r="CC4" s="166"/>
      <c r="CD4" s="166"/>
      <c r="CE4" s="166"/>
      <c r="CF4" s="166"/>
    </row>
    <row r="5" spans="1:94" ht="5.25" customHeight="1" x14ac:dyDescent="0.15">
      <c r="A5" s="166"/>
      <c r="B5" s="166"/>
      <c r="C5" s="597" t="s">
        <v>5521</v>
      </c>
      <c r="D5" s="597"/>
      <c r="E5" s="597"/>
      <c r="F5" s="597"/>
      <c r="G5" s="597"/>
      <c r="H5" s="597"/>
      <c r="I5" s="597"/>
      <c r="J5" s="597"/>
      <c r="K5" s="597"/>
      <c r="L5" s="597"/>
      <c r="M5" s="597"/>
      <c r="N5" s="597"/>
      <c r="O5" s="597"/>
      <c r="P5" s="597"/>
      <c r="Q5" s="597"/>
      <c r="R5" s="597"/>
      <c r="S5" s="597"/>
      <c r="T5" s="597"/>
      <c r="U5" s="597"/>
      <c r="V5" s="597"/>
      <c r="W5" s="597"/>
      <c r="X5" s="597"/>
      <c r="Y5" s="597"/>
      <c r="Z5" s="597"/>
      <c r="AA5" s="597"/>
      <c r="AB5" s="597"/>
      <c r="AC5" s="597"/>
      <c r="AD5" s="597"/>
      <c r="AE5" s="597"/>
      <c r="AF5" s="193"/>
      <c r="AG5" s="193"/>
      <c r="AH5" s="193"/>
      <c r="AI5" s="193"/>
      <c r="AJ5" s="193"/>
      <c r="AK5" s="193"/>
      <c r="AL5" s="193"/>
      <c r="AM5" s="193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600"/>
      <c r="BE5" s="597"/>
      <c r="BF5" s="597"/>
      <c r="BG5" s="597"/>
      <c r="BH5" s="597"/>
      <c r="BI5" s="592"/>
      <c r="BJ5" s="592"/>
      <c r="BK5" s="592"/>
      <c r="BL5" s="592"/>
      <c r="BM5" s="592"/>
      <c r="BN5" s="592"/>
      <c r="BO5" s="592"/>
      <c r="BP5" s="592"/>
      <c r="BQ5" s="592"/>
      <c r="BR5" s="597"/>
      <c r="BS5" s="597"/>
      <c r="BT5" s="597"/>
      <c r="BU5" s="597"/>
      <c r="BV5" s="597"/>
      <c r="BW5" s="597"/>
      <c r="BX5" s="597"/>
      <c r="BY5" s="597"/>
      <c r="BZ5" s="597"/>
      <c r="CA5" s="597"/>
      <c r="CB5" s="592"/>
      <c r="CC5" s="592"/>
      <c r="CD5" s="592"/>
      <c r="CE5" s="166"/>
      <c r="CF5" s="166"/>
    </row>
    <row r="6" spans="1:94" ht="5.25" customHeight="1" x14ac:dyDescent="0.15">
      <c r="B6" s="166"/>
      <c r="C6" s="597"/>
      <c r="D6" s="597"/>
      <c r="E6" s="597"/>
      <c r="F6" s="597"/>
      <c r="G6" s="597"/>
      <c r="H6" s="597"/>
      <c r="I6" s="597"/>
      <c r="J6" s="597"/>
      <c r="K6" s="597"/>
      <c r="L6" s="597"/>
      <c r="M6" s="597"/>
      <c r="N6" s="597"/>
      <c r="O6" s="597"/>
      <c r="P6" s="597"/>
      <c r="Q6" s="597"/>
      <c r="R6" s="597"/>
      <c r="S6" s="597"/>
      <c r="T6" s="597"/>
      <c r="U6" s="597"/>
      <c r="V6" s="597"/>
      <c r="W6" s="597"/>
      <c r="X6" s="597"/>
      <c r="Y6" s="597"/>
      <c r="Z6" s="597"/>
      <c r="AA6" s="597"/>
      <c r="AB6" s="597"/>
      <c r="AC6" s="597"/>
      <c r="AD6" s="597"/>
      <c r="AE6" s="597"/>
      <c r="AF6" s="193"/>
      <c r="AG6" s="598"/>
      <c r="AH6" s="598"/>
      <c r="AI6" s="193"/>
      <c r="AJ6" s="193"/>
      <c r="AK6" s="193"/>
      <c r="AL6" s="193"/>
      <c r="AM6" s="193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597"/>
      <c r="BE6" s="597"/>
      <c r="BF6" s="597"/>
      <c r="BG6" s="597"/>
      <c r="BH6" s="597"/>
      <c r="BI6" s="592"/>
      <c r="BJ6" s="592"/>
      <c r="BK6" s="592"/>
      <c r="BL6" s="592"/>
      <c r="BM6" s="592"/>
      <c r="BN6" s="592"/>
      <c r="BO6" s="592"/>
      <c r="BP6" s="592"/>
      <c r="BQ6" s="592"/>
      <c r="BR6" s="597"/>
      <c r="BS6" s="597"/>
      <c r="BT6" s="597"/>
      <c r="BU6" s="597"/>
      <c r="BV6" s="597"/>
      <c r="BW6" s="597"/>
      <c r="BX6" s="597"/>
      <c r="BY6" s="597"/>
      <c r="BZ6" s="597"/>
      <c r="CA6" s="597"/>
      <c r="CB6" s="592"/>
      <c r="CC6" s="592"/>
      <c r="CD6" s="592"/>
      <c r="CE6" s="166"/>
    </row>
    <row r="7" spans="1:94" ht="5.25" customHeight="1" x14ac:dyDescent="0.15">
      <c r="A7" s="166"/>
      <c r="B7" s="166"/>
      <c r="C7" s="597"/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  <c r="O7" s="597"/>
      <c r="P7" s="597"/>
      <c r="Q7" s="597"/>
      <c r="R7" s="597"/>
      <c r="S7" s="597"/>
      <c r="T7" s="597"/>
      <c r="U7" s="597"/>
      <c r="V7" s="597"/>
      <c r="W7" s="597"/>
      <c r="X7" s="597"/>
      <c r="Y7" s="597"/>
      <c r="Z7" s="597"/>
      <c r="AA7" s="597"/>
      <c r="AB7" s="597"/>
      <c r="AC7" s="597"/>
      <c r="AD7" s="597"/>
      <c r="AE7" s="597"/>
      <c r="AF7" s="193"/>
      <c r="AG7" s="598"/>
      <c r="AH7" s="598"/>
      <c r="AI7" s="193"/>
      <c r="AJ7" s="193"/>
      <c r="AK7" s="193"/>
      <c r="AL7" s="193"/>
      <c r="AM7" s="193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597"/>
      <c r="BE7" s="597"/>
      <c r="BF7" s="597"/>
      <c r="BG7" s="597"/>
      <c r="BH7" s="597"/>
      <c r="BI7" s="592"/>
      <c r="BJ7" s="592"/>
      <c r="BK7" s="592"/>
      <c r="BL7" s="592"/>
      <c r="BM7" s="592"/>
      <c r="BN7" s="592"/>
      <c r="BO7" s="592"/>
      <c r="BP7" s="592"/>
      <c r="BQ7" s="592"/>
      <c r="BR7" s="597"/>
      <c r="BS7" s="597"/>
      <c r="BT7" s="597"/>
      <c r="BU7" s="597"/>
      <c r="BV7" s="597"/>
      <c r="BW7" s="597"/>
      <c r="BX7" s="597"/>
      <c r="BY7" s="597"/>
      <c r="BZ7" s="597"/>
      <c r="CA7" s="597"/>
      <c r="CB7" s="592"/>
      <c r="CC7" s="592"/>
      <c r="CD7" s="592"/>
      <c r="CE7" s="166"/>
      <c r="CF7" s="166"/>
    </row>
    <row r="8" spans="1:94" ht="5.25" customHeight="1" x14ac:dyDescent="0.15">
      <c r="A8" s="166"/>
      <c r="B8" s="166"/>
      <c r="C8" s="597"/>
      <c r="D8" s="597"/>
      <c r="E8" s="597"/>
      <c r="F8" s="597"/>
      <c r="G8" s="597"/>
      <c r="H8" s="597"/>
      <c r="I8" s="597"/>
      <c r="J8" s="597"/>
      <c r="K8" s="597"/>
      <c r="L8" s="597"/>
      <c r="M8" s="597"/>
      <c r="N8" s="597"/>
      <c r="O8" s="597"/>
      <c r="P8" s="597"/>
      <c r="Q8" s="597"/>
      <c r="R8" s="597"/>
      <c r="S8" s="597"/>
      <c r="T8" s="597"/>
      <c r="U8" s="597"/>
      <c r="V8" s="597"/>
      <c r="W8" s="597"/>
      <c r="X8" s="597"/>
      <c r="Y8" s="597"/>
      <c r="Z8" s="597"/>
      <c r="AA8" s="597"/>
      <c r="AB8" s="597"/>
      <c r="AC8" s="597"/>
      <c r="AD8" s="597"/>
      <c r="AE8" s="597"/>
      <c r="AF8" s="193"/>
      <c r="AG8" s="598"/>
      <c r="AH8" s="598"/>
      <c r="AI8" s="193"/>
      <c r="AJ8" s="193"/>
      <c r="AK8" s="193"/>
      <c r="AL8" s="193"/>
      <c r="AM8" s="193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597"/>
      <c r="BE8" s="597"/>
      <c r="BF8" s="597"/>
      <c r="BG8" s="597"/>
      <c r="BH8" s="597"/>
      <c r="BI8" s="592"/>
      <c r="BJ8" s="592"/>
      <c r="BK8" s="592"/>
      <c r="BL8" s="592"/>
      <c r="BM8" s="592"/>
      <c r="BN8" s="592"/>
      <c r="BO8" s="592"/>
      <c r="BP8" s="592"/>
      <c r="BQ8" s="592"/>
      <c r="BR8" s="597"/>
      <c r="BS8" s="597"/>
      <c r="BT8" s="597"/>
      <c r="BU8" s="597"/>
      <c r="BV8" s="597"/>
      <c r="BW8" s="597"/>
      <c r="BX8" s="597"/>
      <c r="BY8" s="597"/>
      <c r="BZ8" s="597"/>
      <c r="CA8" s="597"/>
      <c r="CB8" s="592"/>
      <c r="CC8" s="592"/>
      <c r="CD8" s="592"/>
      <c r="CE8" s="166"/>
      <c r="CF8" s="166"/>
    </row>
    <row r="9" spans="1:94" ht="4.1500000000000004" customHeight="1" x14ac:dyDescent="0.15">
      <c r="A9" s="166"/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597"/>
      <c r="BE9" s="597"/>
      <c r="BF9" s="597"/>
      <c r="BG9" s="597"/>
      <c r="BH9" s="597"/>
      <c r="BI9" s="592"/>
      <c r="BJ9" s="592"/>
      <c r="BK9" s="592"/>
      <c r="BL9" s="592"/>
      <c r="BM9" s="592"/>
      <c r="BN9" s="592"/>
      <c r="BO9" s="592"/>
      <c r="BP9" s="592"/>
      <c r="BQ9" s="592"/>
      <c r="BR9" s="601" t="s">
        <v>5522</v>
      </c>
      <c r="BS9" s="597"/>
      <c r="BT9" s="597"/>
      <c r="BU9" s="597"/>
      <c r="BV9" s="597"/>
      <c r="BW9" s="597"/>
      <c r="BX9" s="597"/>
      <c r="BY9" s="597"/>
      <c r="BZ9" s="597"/>
      <c r="CA9" s="597"/>
      <c r="CB9" s="592"/>
      <c r="CC9" s="592"/>
      <c r="CD9" s="592"/>
      <c r="CE9" s="166"/>
      <c r="CF9" s="166"/>
    </row>
    <row r="10" spans="1:94" ht="5.45" customHeight="1" x14ac:dyDescent="0.15">
      <c r="A10" s="166"/>
      <c r="B10" s="592"/>
      <c r="C10" s="592"/>
      <c r="D10" s="592"/>
      <c r="E10" s="592"/>
      <c r="F10" s="592"/>
      <c r="G10" s="592"/>
      <c r="H10" s="592"/>
      <c r="I10" s="592"/>
      <c r="J10" s="592"/>
      <c r="K10" s="592"/>
      <c r="L10" s="592"/>
      <c r="M10" s="592"/>
      <c r="N10" s="592"/>
      <c r="O10" s="592"/>
      <c r="P10" s="592"/>
      <c r="Q10" s="592"/>
      <c r="R10" s="592"/>
      <c r="S10" s="592"/>
      <c r="T10" s="592"/>
      <c r="U10" s="592"/>
      <c r="V10" s="592"/>
      <c r="W10" s="592"/>
      <c r="X10" s="592"/>
      <c r="Y10" s="592"/>
      <c r="Z10" s="592"/>
      <c r="AA10" s="592"/>
      <c r="AB10" s="592"/>
      <c r="AC10" s="592"/>
      <c r="AD10" s="592"/>
      <c r="AE10" s="592"/>
      <c r="AF10" s="592"/>
      <c r="AG10" s="592"/>
      <c r="AH10" s="592"/>
      <c r="AI10" s="592"/>
      <c r="AJ10" s="592"/>
      <c r="AK10" s="592"/>
      <c r="AL10" s="592"/>
      <c r="AM10" s="592"/>
      <c r="AN10" s="592"/>
      <c r="AO10" s="592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600"/>
      <c r="BE10" s="597"/>
      <c r="BF10" s="597"/>
      <c r="BG10" s="597"/>
      <c r="BH10" s="597"/>
      <c r="BI10" s="592"/>
      <c r="BJ10" s="592"/>
      <c r="BK10" s="592"/>
      <c r="BL10" s="592"/>
      <c r="BM10" s="592"/>
      <c r="BN10" s="592"/>
      <c r="BO10" s="592"/>
      <c r="BP10" s="592"/>
      <c r="BQ10" s="592"/>
      <c r="BR10" s="597"/>
      <c r="BS10" s="597"/>
      <c r="BT10" s="597"/>
      <c r="BU10" s="597"/>
      <c r="BV10" s="597"/>
      <c r="BW10" s="597"/>
      <c r="BX10" s="597"/>
      <c r="BY10" s="597"/>
      <c r="BZ10" s="597"/>
      <c r="CA10" s="597"/>
      <c r="CB10" s="592"/>
      <c r="CC10" s="592"/>
      <c r="CD10" s="592"/>
      <c r="CE10" s="166"/>
      <c r="CF10" s="166"/>
    </row>
    <row r="11" spans="1:94" ht="5.25" customHeight="1" x14ac:dyDescent="0.15">
      <c r="A11" s="166"/>
      <c r="B11" s="592"/>
      <c r="C11" s="592"/>
      <c r="D11" s="592"/>
      <c r="E11" s="592"/>
      <c r="F11" s="592"/>
      <c r="G11" s="592"/>
      <c r="H11" s="592"/>
      <c r="I11" s="592"/>
      <c r="J11" s="592"/>
      <c r="K11" s="592"/>
      <c r="L11" s="592"/>
      <c r="M11" s="592"/>
      <c r="N11" s="592"/>
      <c r="O11" s="592"/>
      <c r="P11" s="592"/>
      <c r="Q11" s="592"/>
      <c r="R11" s="592"/>
      <c r="S11" s="592"/>
      <c r="T11" s="592"/>
      <c r="U11" s="592"/>
      <c r="V11" s="592"/>
      <c r="W11" s="592"/>
      <c r="X11" s="592"/>
      <c r="Y11" s="592"/>
      <c r="Z11" s="592"/>
      <c r="AA11" s="592"/>
      <c r="AB11" s="592"/>
      <c r="AC11" s="592"/>
      <c r="AD11" s="592"/>
      <c r="AE11" s="592"/>
      <c r="AF11" s="592"/>
      <c r="AG11" s="592"/>
      <c r="AH11" s="592"/>
      <c r="AI11" s="592"/>
      <c r="AJ11" s="592"/>
      <c r="AK11" s="592"/>
      <c r="AL11" s="592"/>
      <c r="AM11" s="592"/>
      <c r="AN11" s="592"/>
      <c r="AO11" s="592"/>
      <c r="AP11" s="166"/>
      <c r="AQ11" s="166"/>
      <c r="AR11" s="603"/>
      <c r="AS11" s="604"/>
      <c r="AT11" s="604"/>
      <c r="AU11" s="604"/>
      <c r="AV11" s="604"/>
      <c r="AW11" s="604"/>
      <c r="AX11" s="604"/>
      <c r="AY11" s="604"/>
      <c r="AZ11" s="604"/>
      <c r="BA11" s="166"/>
      <c r="BB11" s="166"/>
      <c r="BC11" s="166"/>
      <c r="BD11" s="597"/>
      <c r="BE11" s="597"/>
      <c r="BF11" s="597"/>
      <c r="BG11" s="597"/>
      <c r="BH11" s="597"/>
      <c r="BI11" s="592"/>
      <c r="BJ11" s="592"/>
      <c r="BK11" s="592"/>
      <c r="BL11" s="592"/>
      <c r="BM11" s="592"/>
      <c r="BN11" s="592"/>
      <c r="BO11" s="592"/>
      <c r="BP11" s="592"/>
      <c r="BQ11" s="592"/>
      <c r="BR11" s="597"/>
      <c r="BS11" s="597"/>
      <c r="BT11" s="597"/>
      <c r="BU11" s="597"/>
      <c r="BV11" s="597"/>
      <c r="BW11" s="597"/>
      <c r="BX11" s="597"/>
      <c r="BY11" s="597"/>
      <c r="BZ11" s="597"/>
      <c r="CA11" s="597"/>
      <c r="CB11" s="592"/>
      <c r="CC11" s="592"/>
      <c r="CD11" s="592"/>
      <c r="CE11" s="166"/>
      <c r="CF11" s="166"/>
    </row>
    <row r="12" spans="1:94" ht="5.25" customHeight="1" x14ac:dyDescent="0.15">
      <c r="A12" s="166"/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166"/>
      <c r="AQ12" s="166"/>
      <c r="AR12" s="604"/>
      <c r="AS12" s="604"/>
      <c r="AT12" s="604"/>
      <c r="AU12" s="604"/>
      <c r="AV12" s="604"/>
      <c r="AW12" s="604"/>
      <c r="AX12" s="604"/>
      <c r="AY12" s="604"/>
      <c r="AZ12" s="604"/>
      <c r="BA12" s="166"/>
      <c r="BB12" s="166"/>
      <c r="BC12" s="166"/>
      <c r="BD12" s="597"/>
      <c r="BE12" s="597"/>
      <c r="BF12" s="597"/>
      <c r="BG12" s="597"/>
      <c r="BH12" s="597"/>
      <c r="BI12" s="592"/>
      <c r="BJ12" s="592"/>
      <c r="BK12" s="592"/>
      <c r="BL12" s="592"/>
      <c r="BM12" s="592"/>
      <c r="BN12" s="592"/>
      <c r="BO12" s="592"/>
      <c r="BP12" s="592"/>
      <c r="BQ12" s="592"/>
      <c r="BR12" s="597"/>
      <c r="BS12" s="597"/>
      <c r="BT12" s="597"/>
      <c r="BU12" s="597"/>
      <c r="BV12" s="597"/>
      <c r="BW12" s="597"/>
      <c r="BX12" s="597"/>
      <c r="BY12" s="597"/>
      <c r="BZ12" s="597"/>
      <c r="CA12" s="597"/>
      <c r="CB12" s="592"/>
      <c r="CC12" s="592"/>
      <c r="CD12" s="592"/>
      <c r="CE12" s="166"/>
      <c r="CF12" s="166"/>
    </row>
    <row r="13" spans="1:94" ht="3.6" customHeight="1" x14ac:dyDescent="0.15">
      <c r="A13" s="166"/>
      <c r="B13" s="592"/>
      <c r="C13" s="592"/>
      <c r="D13" s="592"/>
      <c r="E13" s="592"/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166"/>
      <c r="AQ13" s="166"/>
      <c r="AR13" s="597">
        <v>31</v>
      </c>
      <c r="AS13" s="597"/>
      <c r="AT13" s="597"/>
      <c r="AU13" s="597">
        <v>2</v>
      </c>
      <c r="AV13" s="597"/>
      <c r="AW13" s="597"/>
      <c r="AX13" s="597">
        <v>22</v>
      </c>
      <c r="AY13" s="597"/>
      <c r="AZ13" s="597"/>
      <c r="BA13" s="166"/>
      <c r="BB13" s="166"/>
      <c r="BC13" s="166"/>
      <c r="BD13" s="597"/>
      <c r="BE13" s="597"/>
      <c r="BF13" s="597"/>
      <c r="BG13" s="597"/>
      <c r="BH13" s="597"/>
      <c r="BI13" s="592"/>
      <c r="BJ13" s="592"/>
      <c r="BK13" s="592"/>
      <c r="BL13" s="592"/>
      <c r="BM13" s="592"/>
      <c r="BN13" s="592"/>
      <c r="BO13" s="592"/>
      <c r="BP13" s="592"/>
      <c r="BQ13" s="592"/>
      <c r="BR13" s="597"/>
      <c r="BS13" s="597"/>
      <c r="BT13" s="597"/>
      <c r="BU13" s="597"/>
      <c r="BV13" s="597"/>
      <c r="BW13" s="597"/>
      <c r="BX13" s="597"/>
      <c r="BY13" s="597"/>
      <c r="BZ13" s="597"/>
      <c r="CA13" s="597"/>
      <c r="CB13" s="592"/>
      <c r="CC13" s="592"/>
      <c r="CD13" s="592"/>
      <c r="CE13" s="166"/>
      <c r="CF13" s="166"/>
    </row>
    <row r="14" spans="1:94" ht="5.25" customHeight="1" x14ac:dyDescent="0.15">
      <c r="A14" s="166"/>
      <c r="B14" s="592"/>
      <c r="C14" s="592"/>
      <c r="D14" s="592"/>
      <c r="E14" s="592"/>
      <c r="F14" s="592"/>
      <c r="G14" s="592"/>
      <c r="H14" s="592"/>
      <c r="I14" s="592"/>
      <c r="J14" s="592"/>
      <c r="K14" s="592"/>
      <c r="L14" s="592"/>
      <c r="M14" s="592"/>
      <c r="N14" s="592"/>
      <c r="O14" s="592"/>
      <c r="P14" s="592"/>
      <c r="Q14" s="592"/>
      <c r="R14" s="592"/>
      <c r="S14" s="592"/>
      <c r="T14" s="592"/>
      <c r="U14" s="592"/>
      <c r="V14" s="592"/>
      <c r="W14" s="592"/>
      <c r="X14" s="592"/>
      <c r="Y14" s="592"/>
      <c r="Z14" s="592"/>
      <c r="AA14" s="592"/>
      <c r="AB14" s="592"/>
      <c r="AC14" s="592"/>
      <c r="AD14" s="592"/>
      <c r="AE14" s="592"/>
      <c r="AF14" s="592"/>
      <c r="AG14" s="592"/>
      <c r="AH14" s="592"/>
      <c r="AI14" s="592"/>
      <c r="AJ14" s="592"/>
      <c r="AK14" s="592"/>
      <c r="AL14" s="592"/>
      <c r="AM14" s="592"/>
      <c r="AN14" s="592"/>
      <c r="AO14" s="592"/>
      <c r="AP14" s="166"/>
      <c r="AQ14" s="166"/>
      <c r="AR14" s="597"/>
      <c r="AS14" s="597"/>
      <c r="AT14" s="597"/>
      <c r="AU14" s="597"/>
      <c r="AV14" s="597"/>
      <c r="AW14" s="597"/>
      <c r="AX14" s="597"/>
      <c r="AY14" s="597"/>
      <c r="AZ14" s="597"/>
      <c r="BA14" s="166"/>
      <c r="BB14" s="166"/>
      <c r="BC14" s="166"/>
      <c r="BD14" s="597"/>
      <c r="BE14" s="597"/>
      <c r="BF14" s="597"/>
      <c r="BG14" s="597"/>
      <c r="BH14" s="597"/>
      <c r="BI14" s="592"/>
      <c r="BJ14" s="592"/>
      <c r="BK14" s="592"/>
      <c r="BL14" s="592"/>
      <c r="BM14" s="592"/>
      <c r="BN14" s="592"/>
      <c r="BO14" s="592"/>
      <c r="BP14" s="592"/>
      <c r="BQ14" s="592"/>
      <c r="BR14" s="597"/>
      <c r="BS14" s="597"/>
      <c r="BT14" s="597"/>
      <c r="BU14" s="597"/>
      <c r="BV14" s="597"/>
      <c r="BW14" s="597"/>
      <c r="BX14" s="597"/>
      <c r="BY14" s="597"/>
      <c r="BZ14" s="597"/>
      <c r="CA14" s="597"/>
      <c r="CB14" s="592"/>
      <c r="CC14" s="592"/>
      <c r="CD14" s="592"/>
      <c r="CE14" s="166"/>
      <c r="CF14" s="166"/>
    </row>
    <row r="15" spans="1:94" ht="5.25" customHeight="1" x14ac:dyDescent="0.15">
      <c r="A15" s="166"/>
      <c r="B15" s="592"/>
      <c r="C15" s="592"/>
      <c r="D15" s="592"/>
      <c r="E15" s="592"/>
      <c r="F15" s="592"/>
      <c r="G15" s="592"/>
      <c r="H15" s="592"/>
      <c r="I15" s="592"/>
      <c r="J15" s="592"/>
      <c r="K15" s="592"/>
      <c r="L15" s="592"/>
      <c r="M15" s="592"/>
      <c r="N15" s="592"/>
      <c r="O15" s="592"/>
      <c r="P15" s="592"/>
      <c r="Q15" s="592"/>
      <c r="R15" s="592"/>
      <c r="S15" s="592"/>
      <c r="T15" s="592"/>
      <c r="U15" s="592"/>
      <c r="V15" s="592"/>
      <c r="W15" s="592"/>
      <c r="X15" s="592"/>
      <c r="Y15" s="592"/>
      <c r="Z15" s="592"/>
      <c r="AA15" s="592"/>
      <c r="AB15" s="592"/>
      <c r="AC15" s="592"/>
      <c r="AD15" s="592"/>
      <c r="AE15" s="592"/>
      <c r="AF15" s="592"/>
      <c r="AG15" s="592"/>
      <c r="AH15" s="592"/>
      <c r="AI15" s="592"/>
      <c r="AJ15" s="592"/>
      <c r="AK15" s="592"/>
      <c r="AL15" s="592"/>
      <c r="AM15" s="592"/>
      <c r="AN15" s="592"/>
      <c r="AO15" s="592"/>
      <c r="AP15" s="166"/>
      <c r="AQ15" s="166"/>
      <c r="AR15" s="597"/>
      <c r="AS15" s="597"/>
      <c r="AT15" s="597"/>
      <c r="AU15" s="597"/>
      <c r="AV15" s="597"/>
      <c r="AW15" s="597"/>
      <c r="AX15" s="597"/>
      <c r="AY15" s="597"/>
      <c r="AZ15" s="597"/>
      <c r="BA15" s="166"/>
      <c r="BB15" s="166"/>
      <c r="BC15" s="166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66"/>
      <c r="CF15" s="166"/>
    </row>
    <row r="16" spans="1:94" ht="5.25" customHeight="1" x14ac:dyDescent="0.15">
      <c r="A16" s="166"/>
      <c r="B16" s="592"/>
      <c r="C16" s="592"/>
      <c r="D16" s="592"/>
      <c r="E16" s="592"/>
      <c r="F16" s="592"/>
      <c r="G16" s="592"/>
      <c r="H16" s="592"/>
      <c r="I16" s="592"/>
      <c r="J16" s="592"/>
      <c r="K16" s="592"/>
      <c r="L16" s="592"/>
      <c r="M16" s="592"/>
      <c r="N16" s="592"/>
      <c r="O16" s="592"/>
      <c r="P16" s="592"/>
      <c r="Q16" s="592"/>
      <c r="R16" s="592"/>
      <c r="S16" s="592"/>
      <c r="T16" s="592"/>
      <c r="U16" s="592"/>
      <c r="V16" s="592"/>
      <c r="W16" s="592"/>
      <c r="X16" s="592"/>
      <c r="Y16" s="592"/>
      <c r="Z16" s="592"/>
      <c r="AA16" s="592"/>
      <c r="AB16" s="592"/>
      <c r="AC16" s="592"/>
      <c r="AD16" s="592"/>
      <c r="AE16" s="592"/>
      <c r="AF16" s="592"/>
      <c r="AG16" s="592"/>
      <c r="AH16" s="592"/>
      <c r="AI16" s="592"/>
      <c r="AJ16" s="592"/>
      <c r="AK16" s="592"/>
      <c r="AL16" s="592"/>
      <c r="AM16" s="592"/>
      <c r="AN16" s="592"/>
      <c r="AO16" s="592"/>
      <c r="AP16" s="166"/>
      <c r="AQ16" s="166"/>
      <c r="AR16" s="597"/>
      <c r="AS16" s="597"/>
      <c r="AT16" s="597"/>
      <c r="AU16" s="597"/>
      <c r="AV16" s="597"/>
      <c r="AW16" s="597"/>
      <c r="AX16" s="597"/>
      <c r="AY16" s="597"/>
      <c r="AZ16" s="597"/>
      <c r="BA16" s="166"/>
      <c r="BB16" s="166"/>
      <c r="BC16" s="166"/>
      <c r="BD16" s="166"/>
      <c r="BE16" s="194"/>
      <c r="BF16" s="605" t="s">
        <v>1362</v>
      </c>
      <c r="BG16" s="605"/>
      <c r="BH16" s="605"/>
      <c r="BI16" s="605"/>
      <c r="BJ16" s="605"/>
      <c r="BK16" s="605"/>
      <c r="BL16" s="605"/>
      <c r="BM16" s="605"/>
      <c r="BN16" s="605"/>
      <c r="BO16" s="605"/>
      <c r="BP16" s="605"/>
      <c r="BQ16" s="605"/>
      <c r="BR16" s="605"/>
      <c r="BS16" s="605"/>
      <c r="BT16" s="605"/>
      <c r="BU16" s="605"/>
      <c r="BV16" s="605"/>
      <c r="BW16" s="605"/>
      <c r="BX16" s="605"/>
      <c r="BY16" s="605"/>
      <c r="BZ16" s="605"/>
      <c r="CA16" s="605"/>
      <c r="CB16" s="605"/>
      <c r="CC16" s="194"/>
      <c r="CD16" s="194"/>
      <c r="CE16" s="166"/>
      <c r="CF16" s="166"/>
    </row>
    <row r="17" spans="1:101" ht="5.25" customHeight="1" x14ac:dyDescent="0.15">
      <c r="A17" s="166"/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2"/>
      <c r="N17" s="592"/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2"/>
      <c r="AF17" s="592"/>
      <c r="AG17" s="592"/>
      <c r="AH17" s="592"/>
      <c r="AI17" s="592"/>
      <c r="AJ17" s="592"/>
      <c r="AK17" s="592"/>
      <c r="AL17" s="592"/>
      <c r="AM17" s="592"/>
      <c r="AN17" s="592"/>
      <c r="AO17" s="592"/>
      <c r="AP17" s="166"/>
      <c r="AQ17" s="166"/>
      <c r="AR17" s="599"/>
      <c r="AS17" s="592"/>
      <c r="AT17" s="592"/>
      <c r="AU17" s="592"/>
      <c r="AV17" s="592"/>
      <c r="AW17" s="592"/>
      <c r="AX17" s="592"/>
      <c r="AY17" s="592"/>
      <c r="AZ17" s="592"/>
      <c r="BA17" s="166"/>
      <c r="BB17" s="166"/>
      <c r="BC17" s="166"/>
      <c r="BD17" s="194"/>
      <c r="BE17" s="194"/>
      <c r="BF17" s="605"/>
      <c r="BG17" s="605"/>
      <c r="BH17" s="605"/>
      <c r="BI17" s="605"/>
      <c r="BJ17" s="605"/>
      <c r="BK17" s="605"/>
      <c r="BL17" s="605"/>
      <c r="BM17" s="605"/>
      <c r="BN17" s="605"/>
      <c r="BO17" s="605"/>
      <c r="BP17" s="605"/>
      <c r="BQ17" s="605"/>
      <c r="BR17" s="605"/>
      <c r="BS17" s="605"/>
      <c r="BT17" s="605"/>
      <c r="BU17" s="605"/>
      <c r="BV17" s="605"/>
      <c r="BW17" s="605"/>
      <c r="BX17" s="605"/>
      <c r="BY17" s="605"/>
      <c r="BZ17" s="605"/>
      <c r="CA17" s="605"/>
      <c r="CB17" s="605"/>
      <c r="CC17" s="194"/>
      <c r="CD17" s="194"/>
      <c r="CE17" s="166"/>
      <c r="CF17" s="166"/>
    </row>
    <row r="18" spans="1:101" ht="5.25" customHeight="1" x14ac:dyDescent="0.15">
      <c r="A18" s="166"/>
      <c r="B18" s="592"/>
      <c r="C18" s="592"/>
      <c r="D18" s="592"/>
      <c r="E18" s="592"/>
      <c r="F18" s="592"/>
      <c r="G18" s="592"/>
      <c r="H18" s="592"/>
      <c r="I18" s="592"/>
      <c r="J18" s="592"/>
      <c r="K18" s="592"/>
      <c r="L18" s="592"/>
      <c r="M18" s="592"/>
      <c r="N18" s="592"/>
      <c r="O18" s="592"/>
      <c r="P18" s="592"/>
      <c r="Q18" s="592"/>
      <c r="R18" s="592"/>
      <c r="S18" s="592"/>
      <c r="T18" s="592"/>
      <c r="U18" s="592"/>
      <c r="V18" s="592"/>
      <c r="W18" s="592"/>
      <c r="X18" s="592"/>
      <c r="Y18" s="592"/>
      <c r="Z18" s="592"/>
      <c r="AA18" s="592"/>
      <c r="AB18" s="592"/>
      <c r="AC18" s="592"/>
      <c r="AD18" s="592"/>
      <c r="AE18" s="592"/>
      <c r="AF18" s="592"/>
      <c r="AG18" s="592"/>
      <c r="AH18" s="592"/>
      <c r="AI18" s="592"/>
      <c r="AJ18" s="592"/>
      <c r="AK18" s="592"/>
      <c r="AL18" s="592"/>
      <c r="AM18" s="592"/>
      <c r="AN18" s="592"/>
      <c r="AO18" s="592"/>
      <c r="AP18" s="166"/>
      <c r="AQ18" s="166"/>
      <c r="AR18" s="592"/>
      <c r="AS18" s="592"/>
      <c r="AT18" s="592"/>
      <c r="AU18" s="592"/>
      <c r="AV18" s="592"/>
      <c r="AW18" s="592"/>
      <c r="AX18" s="592"/>
      <c r="AY18" s="592"/>
      <c r="AZ18" s="592"/>
      <c r="BA18" s="166"/>
      <c r="BB18" s="195"/>
      <c r="BC18" s="166"/>
      <c r="BD18" s="195"/>
      <c r="BE18" s="195"/>
      <c r="BF18" s="605"/>
      <c r="BG18" s="605"/>
      <c r="BH18" s="605"/>
      <c r="BI18" s="605"/>
      <c r="BJ18" s="605"/>
      <c r="BK18" s="605"/>
      <c r="BL18" s="605"/>
      <c r="BM18" s="605"/>
      <c r="BN18" s="605"/>
      <c r="BO18" s="605"/>
      <c r="BP18" s="605"/>
      <c r="BQ18" s="605"/>
      <c r="BR18" s="605"/>
      <c r="BS18" s="605"/>
      <c r="BT18" s="605"/>
      <c r="BU18" s="605"/>
      <c r="BV18" s="605"/>
      <c r="BW18" s="605"/>
      <c r="BX18" s="605"/>
      <c r="BY18" s="605"/>
      <c r="BZ18" s="605"/>
      <c r="CA18" s="605"/>
      <c r="CB18" s="605"/>
      <c r="CC18" s="195"/>
      <c r="CD18" s="195"/>
      <c r="CE18" s="213"/>
      <c r="CF18" s="166"/>
    </row>
    <row r="19" spans="1:101" ht="4.1500000000000004" customHeight="1" x14ac:dyDescent="0.15">
      <c r="A19" s="166"/>
      <c r="B19" s="592"/>
      <c r="C19" s="592"/>
      <c r="D19" s="592"/>
      <c r="E19" s="592"/>
      <c r="F19" s="592"/>
      <c r="G19" s="592"/>
      <c r="H19" s="592"/>
      <c r="I19" s="592"/>
      <c r="J19" s="592"/>
      <c r="K19" s="592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2"/>
      <c r="Y19" s="592"/>
      <c r="Z19" s="592"/>
      <c r="AA19" s="592"/>
      <c r="AB19" s="592"/>
      <c r="AC19" s="592"/>
      <c r="AD19" s="592"/>
      <c r="AE19" s="592"/>
      <c r="AF19" s="592"/>
      <c r="AG19" s="592"/>
      <c r="AH19" s="592"/>
      <c r="AI19" s="592"/>
      <c r="AJ19" s="592"/>
      <c r="AK19" s="592"/>
      <c r="AL19" s="592"/>
      <c r="AM19" s="592"/>
      <c r="AN19" s="592"/>
      <c r="AO19" s="592"/>
      <c r="AP19" s="166"/>
      <c r="AQ19" s="166"/>
      <c r="AR19" s="592"/>
      <c r="AS19" s="592"/>
      <c r="AT19" s="592"/>
      <c r="AU19" s="592"/>
      <c r="AV19" s="592"/>
      <c r="AW19" s="592"/>
      <c r="AX19" s="592"/>
      <c r="AY19" s="592"/>
      <c r="AZ19" s="592"/>
      <c r="BA19" s="193"/>
      <c r="BB19" s="195"/>
      <c r="BC19" s="195"/>
      <c r="BD19" s="195"/>
      <c r="BE19" s="195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4"/>
      <c r="BZ19" s="194"/>
      <c r="CA19" s="194"/>
      <c r="CB19" s="194"/>
      <c r="CC19" s="195"/>
      <c r="CD19" s="195"/>
      <c r="CE19" s="213"/>
      <c r="CF19" s="166"/>
    </row>
    <row r="20" spans="1:101" ht="5.25" customHeight="1" x14ac:dyDescent="0.15">
      <c r="A20" s="166"/>
      <c r="B20" s="592"/>
      <c r="C20" s="592"/>
      <c r="D20" s="592"/>
      <c r="E20" s="592"/>
      <c r="F20" s="592"/>
      <c r="G20" s="592"/>
      <c r="H20" s="592"/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2"/>
      <c r="V20" s="592"/>
      <c r="W20" s="592"/>
      <c r="X20" s="592"/>
      <c r="Y20" s="592"/>
      <c r="Z20" s="592"/>
      <c r="AA20" s="592"/>
      <c r="AB20" s="592"/>
      <c r="AC20" s="592"/>
      <c r="AD20" s="592"/>
      <c r="AE20" s="592"/>
      <c r="AF20" s="592"/>
      <c r="AG20" s="592"/>
      <c r="AH20" s="592"/>
      <c r="AI20" s="592"/>
      <c r="AJ20" s="592"/>
      <c r="AK20" s="592"/>
      <c r="AL20" s="592"/>
      <c r="AM20" s="592"/>
      <c r="AN20" s="592"/>
      <c r="AO20" s="592"/>
      <c r="AP20" s="166"/>
      <c r="AQ20" s="166"/>
      <c r="AR20" s="597"/>
      <c r="AS20" s="597"/>
      <c r="AT20" s="597"/>
      <c r="AU20" s="597"/>
      <c r="AV20" s="597"/>
      <c r="AW20" s="597"/>
      <c r="AX20" s="597"/>
      <c r="AY20" s="597"/>
      <c r="AZ20" s="597"/>
      <c r="BA20" s="597">
        <v>3</v>
      </c>
      <c r="BB20" s="597"/>
      <c r="BC20" s="193"/>
      <c r="BD20" s="606" t="s">
        <v>2330</v>
      </c>
      <c r="BE20" s="606"/>
      <c r="BF20" s="606"/>
      <c r="BG20" s="606"/>
      <c r="BH20" s="606"/>
      <c r="BI20" s="606"/>
      <c r="BJ20" s="606"/>
      <c r="BK20" s="606"/>
      <c r="BL20" s="606"/>
      <c r="BM20" s="606"/>
      <c r="BN20" s="606"/>
      <c r="BO20" s="606"/>
      <c r="BP20" s="606"/>
      <c r="BQ20" s="606"/>
      <c r="BR20" s="606"/>
      <c r="BS20" s="606"/>
      <c r="BT20" s="606"/>
      <c r="BU20" s="606"/>
      <c r="BV20" s="606"/>
      <c r="BW20" s="606"/>
      <c r="BX20" s="606"/>
      <c r="BY20" s="606"/>
      <c r="BZ20" s="606"/>
      <c r="CA20" s="606"/>
      <c r="CB20" s="606"/>
      <c r="CC20" s="606"/>
      <c r="CD20" s="606"/>
      <c r="CE20" s="606"/>
      <c r="CF20" s="166"/>
    </row>
    <row r="21" spans="1:101" ht="5.45" customHeight="1" x14ac:dyDescent="0.15">
      <c r="A21" s="166"/>
      <c r="B21" s="592"/>
      <c r="C21" s="592"/>
      <c r="D21" s="592"/>
      <c r="E21" s="592"/>
      <c r="F21" s="592"/>
      <c r="G21" s="592"/>
      <c r="H21" s="592"/>
      <c r="I21" s="592"/>
      <c r="J21" s="592"/>
      <c r="K21" s="592"/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2"/>
      <c r="AE21" s="592"/>
      <c r="AF21" s="592"/>
      <c r="AG21" s="592"/>
      <c r="AH21" s="592"/>
      <c r="AI21" s="592"/>
      <c r="AJ21" s="592"/>
      <c r="AK21" s="592"/>
      <c r="AL21" s="592"/>
      <c r="AM21" s="592"/>
      <c r="AN21" s="592"/>
      <c r="AO21" s="592"/>
      <c r="AP21" s="166"/>
      <c r="AQ21" s="166"/>
      <c r="AR21" s="597"/>
      <c r="AS21" s="597"/>
      <c r="AT21" s="597"/>
      <c r="AU21" s="597"/>
      <c r="AV21" s="597"/>
      <c r="AW21" s="597"/>
      <c r="AX21" s="597"/>
      <c r="AY21" s="597"/>
      <c r="AZ21" s="597"/>
      <c r="BA21" s="597"/>
      <c r="BB21" s="597"/>
      <c r="BC21" s="193"/>
      <c r="BD21" s="606"/>
      <c r="BE21" s="606"/>
      <c r="BF21" s="606"/>
      <c r="BG21" s="606"/>
      <c r="BH21" s="606"/>
      <c r="BI21" s="606"/>
      <c r="BJ21" s="606"/>
      <c r="BK21" s="606"/>
      <c r="BL21" s="606"/>
      <c r="BM21" s="606"/>
      <c r="BN21" s="606"/>
      <c r="BO21" s="606"/>
      <c r="BP21" s="606"/>
      <c r="BQ21" s="606"/>
      <c r="BR21" s="606"/>
      <c r="BS21" s="606"/>
      <c r="BT21" s="606"/>
      <c r="BU21" s="606"/>
      <c r="BV21" s="606"/>
      <c r="BW21" s="606"/>
      <c r="BX21" s="606"/>
      <c r="BY21" s="606"/>
      <c r="BZ21" s="606"/>
      <c r="CA21" s="606"/>
      <c r="CB21" s="606"/>
      <c r="CC21" s="606"/>
      <c r="CD21" s="606"/>
      <c r="CE21" s="606"/>
      <c r="CF21" s="166"/>
      <c r="CP21" s="572" t="s">
        <v>1388</v>
      </c>
      <c r="CQ21" s="572" t="s">
        <v>1389</v>
      </c>
    </row>
    <row r="22" spans="1:101" ht="7.5" customHeight="1" x14ac:dyDescent="0.15">
      <c r="A22" s="166"/>
      <c r="B22" s="592"/>
      <c r="C22" s="592"/>
      <c r="D22" s="592"/>
      <c r="E22" s="592"/>
      <c r="F22" s="592"/>
      <c r="G22" s="592"/>
      <c r="H22" s="592"/>
      <c r="I22" s="592"/>
      <c r="J22" s="592"/>
      <c r="K22" s="592"/>
      <c r="L22" s="592"/>
      <c r="M22" s="592"/>
      <c r="N22" s="592"/>
      <c r="O22" s="592"/>
      <c r="P22" s="592"/>
      <c r="Q22" s="592"/>
      <c r="R22" s="592"/>
      <c r="S22" s="592"/>
      <c r="T22" s="592"/>
      <c r="U22" s="592"/>
      <c r="V22" s="592"/>
      <c r="W22" s="592"/>
      <c r="X22" s="592"/>
      <c r="Y22" s="592"/>
      <c r="Z22" s="592"/>
      <c r="AA22" s="592"/>
      <c r="AB22" s="592"/>
      <c r="AC22" s="592"/>
      <c r="AD22" s="592"/>
      <c r="AE22" s="592"/>
      <c r="AF22" s="592"/>
      <c r="AG22" s="592"/>
      <c r="AH22" s="592"/>
      <c r="AI22" s="592"/>
      <c r="AJ22" s="592"/>
      <c r="AK22" s="592"/>
      <c r="AL22" s="592"/>
      <c r="AM22" s="592"/>
      <c r="AN22" s="592"/>
      <c r="AO22" s="592"/>
      <c r="AP22" s="166"/>
      <c r="AQ22" s="166"/>
      <c r="AR22" s="597"/>
      <c r="AS22" s="597"/>
      <c r="AT22" s="597"/>
      <c r="AU22" s="597"/>
      <c r="AV22" s="597"/>
      <c r="AW22" s="597"/>
      <c r="AX22" s="597"/>
      <c r="AY22" s="597"/>
      <c r="AZ22" s="597"/>
      <c r="BA22" s="597"/>
      <c r="BB22" s="597"/>
      <c r="BC22" s="193"/>
      <c r="BD22" s="606" t="s">
        <v>1459</v>
      </c>
      <c r="BE22" s="606"/>
      <c r="BF22" s="606"/>
      <c r="BG22" s="606"/>
      <c r="BH22" s="606"/>
      <c r="BI22" s="606"/>
      <c r="BJ22" s="606"/>
      <c r="BK22" s="606"/>
      <c r="BL22" s="606"/>
      <c r="BM22" s="606"/>
      <c r="BN22" s="606"/>
      <c r="BO22" s="606"/>
      <c r="BP22" s="606"/>
      <c r="BQ22" s="606"/>
      <c r="BR22" s="606"/>
      <c r="BS22" s="606"/>
      <c r="BT22" s="606"/>
      <c r="BU22" s="606"/>
      <c r="BV22" s="606"/>
      <c r="BW22" s="606"/>
      <c r="BX22" s="606"/>
      <c r="BY22" s="606"/>
      <c r="BZ22" s="606"/>
      <c r="CA22" s="606"/>
      <c r="CB22" s="606"/>
      <c r="CC22" s="606"/>
      <c r="CD22" s="606"/>
      <c r="CE22" s="606"/>
      <c r="CF22" s="166"/>
      <c r="CP22" s="572"/>
      <c r="CQ22" s="572"/>
    </row>
    <row r="23" spans="1:101" ht="5.25" customHeight="1" x14ac:dyDescent="0.15">
      <c r="A23" s="166"/>
      <c r="B23" s="592"/>
      <c r="C23" s="592"/>
      <c r="D23" s="592"/>
      <c r="E23" s="592"/>
      <c r="F23" s="592"/>
      <c r="G23" s="592"/>
      <c r="H23" s="592"/>
      <c r="I23" s="592"/>
      <c r="J23" s="592"/>
      <c r="K23" s="592"/>
      <c r="L23" s="592"/>
      <c r="M23" s="592"/>
      <c r="N23" s="592"/>
      <c r="O23" s="592"/>
      <c r="P23" s="592"/>
      <c r="Q23" s="592"/>
      <c r="R23" s="592"/>
      <c r="S23" s="592"/>
      <c r="T23" s="592"/>
      <c r="U23" s="592"/>
      <c r="V23" s="592"/>
      <c r="W23" s="592"/>
      <c r="X23" s="592"/>
      <c r="Y23" s="592"/>
      <c r="Z23" s="592"/>
      <c r="AA23" s="592"/>
      <c r="AB23" s="592"/>
      <c r="AC23" s="592"/>
      <c r="AD23" s="592"/>
      <c r="AE23" s="592"/>
      <c r="AF23" s="592"/>
      <c r="AG23" s="592"/>
      <c r="AH23" s="592"/>
      <c r="AI23" s="592"/>
      <c r="AJ23" s="592"/>
      <c r="AK23" s="592"/>
      <c r="AL23" s="592"/>
      <c r="AM23" s="592"/>
      <c r="AN23" s="592"/>
      <c r="AO23" s="592"/>
      <c r="AP23" s="166"/>
      <c r="AQ23" s="166"/>
      <c r="AR23" s="597"/>
      <c r="AS23" s="597"/>
      <c r="AT23" s="597"/>
      <c r="AU23" s="597"/>
      <c r="AV23" s="597"/>
      <c r="AW23" s="597"/>
      <c r="AX23" s="597"/>
      <c r="AY23" s="597"/>
      <c r="AZ23" s="597"/>
      <c r="BA23" s="597"/>
      <c r="BB23" s="597"/>
      <c r="BC23" s="193"/>
      <c r="BD23" s="606"/>
      <c r="BE23" s="606"/>
      <c r="BF23" s="606"/>
      <c r="BG23" s="606"/>
      <c r="BH23" s="606"/>
      <c r="BI23" s="606"/>
      <c r="BJ23" s="606"/>
      <c r="BK23" s="606"/>
      <c r="BL23" s="606"/>
      <c r="BM23" s="606"/>
      <c r="BN23" s="606"/>
      <c r="BO23" s="606"/>
      <c r="BP23" s="606"/>
      <c r="BQ23" s="606"/>
      <c r="BR23" s="606"/>
      <c r="BS23" s="606"/>
      <c r="BT23" s="606"/>
      <c r="BU23" s="606"/>
      <c r="BV23" s="606"/>
      <c r="BW23" s="606"/>
      <c r="BX23" s="606"/>
      <c r="BY23" s="606"/>
      <c r="BZ23" s="606"/>
      <c r="CA23" s="606"/>
      <c r="CB23" s="606"/>
      <c r="CC23" s="606"/>
      <c r="CD23" s="606"/>
      <c r="CE23" s="606"/>
      <c r="CF23" s="166"/>
    </row>
    <row r="24" spans="1:101" ht="4.1500000000000004" customHeight="1" x14ac:dyDescent="0.15">
      <c r="A24" s="166"/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  <c r="CA24" s="166"/>
      <c r="CB24" s="166"/>
      <c r="CC24" s="166"/>
      <c r="CD24" s="166"/>
      <c r="CE24" s="166"/>
      <c r="CF24" s="166"/>
    </row>
    <row r="25" spans="1:101" ht="13.7" customHeight="1" x14ac:dyDescent="0.15">
      <c r="A25" s="166"/>
      <c r="B25" s="212"/>
      <c r="C25" s="600"/>
      <c r="D25" s="600"/>
      <c r="E25" s="600"/>
      <c r="F25" s="600"/>
      <c r="G25" s="600"/>
      <c r="H25" s="600"/>
      <c r="I25" s="600"/>
      <c r="J25" s="600"/>
      <c r="K25" s="600"/>
      <c r="L25" s="602"/>
      <c r="M25" s="602"/>
      <c r="N25" s="602"/>
      <c r="O25" s="602"/>
      <c r="P25" s="602"/>
      <c r="Q25" s="602"/>
      <c r="R25" s="602"/>
      <c r="S25" s="602"/>
      <c r="T25" s="602"/>
      <c r="U25" s="602"/>
      <c r="V25" s="602"/>
      <c r="W25" s="600"/>
      <c r="X25" s="602"/>
      <c r="Y25" s="602"/>
      <c r="Z25" s="602"/>
      <c r="AA25" s="602"/>
      <c r="AB25" s="602"/>
      <c r="AC25" s="602"/>
      <c r="AD25" s="602"/>
      <c r="AE25" s="602"/>
      <c r="AF25" s="602"/>
      <c r="AG25" s="602"/>
      <c r="AH25" s="602"/>
      <c r="AI25" s="602"/>
      <c r="AJ25" s="602"/>
      <c r="AK25" s="602"/>
      <c r="AL25" s="602"/>
      <c r="AM25" s="602"/>
      <c r="AN25" s="602"/>
      <c r="AO25" s="602"/>
      <c r="AP25" s="602"/>
      <c r="AQ25" s="602"/>
      <c r="AR25" s="602"/>
      <c r="AS25" s="602"/>
      <c r="AT25" s="602"/>
      <c r="AU25" s="600"/>
      <c r="AV25" s="600"/>
      <c r="AW25" s="602"/>
      <c r="AX25" s="602"/>
      <c r="AY25" s="602"/>
      <c r="AZ25" s="600"/>
      <c r="BA25" s="602"/>
      <c r="BB25" s="602"/>
      <c r="BC25" s="602"/>
      <c r="BD25" s="602"/>
      <c r="BE25" s="602"/>
      <c r="BF25" s="602"/>
      <c r="BG25" s="602"/>
      <c r="BH25" s="602"/>
      <c r="BI25" s="602"/>
      <c r="BJ25" s="600"/>
      <c r="BK25" s="602"/>
      <c r="BL25" s="602"/>
      <c r="BM25" s="602"/>
      <c r="BN25" s="602"/>
      <c r="BO25" s="602"/>
      <c r="BP25" s="602"/>
      <c r="BQ25" s="602"/>
      <c r="BR25" s="602"/>
      <c r="BS25" s="602"/>
      <c r="BT25" s="602"/>
      <c r="BU25" s="602"/>
      <c r="BV25" s="602"/>
      <c r="BW25" s="602"/>
      <c r="BX25" s="602"/>
      <c r="BY25" s="602"/>
      <c r="BZ25" s="602"/>
      <c r="CA25" s="602"/>
      <c r="CB25" s="602"/>
      <c r="CC25" s="602"/>
      <c r="CD25" s="602"/>
      <c r="CE25" s="602"/>
      <c r="CF25" s="166"/>
      <c r="CM25" t="s">
        <v>1374</v>
      </c>
      <c r="CN25" t="s">
        <v>1375</v>
      </c>
      <c r="CO25" t="s">
        <v>1376</v>
      </c>
      <c r="CP25" t="s">
        <v>1377</v>
      </c>
      <c r="CQ25" t="s">
        <v>1378</v>
      </c>
      <c r="CR25" t="s">
        <v>1379</v>
      </c>
      <c r="CS25" t="s">
        <v>1382</v>
      </c>
      <c r="CT25" t="s">
        <v>1383</v>
      </c>
    </row>
    <row r="26" spans="1:101" ht="13.15" customHeight="1" x14ac:dyDescent="0.15">
      <c r="A26" s="166"/>
      <c r="B26" s="592"/>
      <c r="C26" s="609"/>
      <c r="D26" s="597"/>
      <c r="E26" s="597"/>
      <c r="F26" s="597"/>
      <c r="G26" s="597"/>
      <c r="H26" s="597"/>
      <c r="I26" s="597"/>
      <c r="J26" s="597"/>
      <c r="K26" s="594" t="s">
        <v>534</v>
      </c>
      <c r="L26" s="595"/>
      <c r="M26" s="595"/>
      <c r="N26" s="595"/>
      <c r="O26" s="595"/>
      <c r="P26" s="595"/>
      <c r="Q26" s="595"/>
      <c r="R26" s="595"/>
      <c r="S26" s="595"/>
      <c r="T26" s="595"/>
      <c r="U26" s="595"/>
      <c r="V26" s="595"/>
      <c r="W26" s="594" t="s">
        <v>5520</v>
      </c>
      <c r="X26" s="595"/>
      <c r="Y26" s="595"/>
      <c r="Z26" s="595"/>
      <c r="AA26" s="595"/>
      <c r="AB26" s="595"/>
      <c r="AC26" s="595"/>
      <c r="AD26" s="595"/>
      <c r="AE26" s="595"/>
      <c r="AF26" s="595"/>
      <c r="AG26" s="595"/>
      <c r="AH26" s="595"/>
      <c r="AI26" s="595"/>
      <c r="AJ26" s="595"/>
      <c r="AK26" s="595"/>
      <c r="AL26" s="595"/>
      <c r="AM26" s="595"/>
      <c r="AN26" s="595"/>
      <c r="AO26" s="595"/>
      <c r="AP26" s="595"/>
      <c r="AQ26" s="595"/>
      <c r="AR26" s="595"/>
      <c r="AS26" s="595"/>
      <c r="AT26" s="595"/>
      <c r="AU26" s="596">
        <v>200</v>
      </c>
      <c r="AV26" s="596"/>
      <c r="AW26" s="596"/>
      <c r="AX26" s="596"/>
      <c r="AY26" s="596"/>
      <c r="AZ26" s="591">
        <v>100</v>
      </c>
      <c r="BA26" s="591"/>
      <c r="BB26" s="591"/>
      <c r="BC26" s="591"/>
      <c r="BD26" s="591"/>
      <c r="BE26" s="591"/>
      <c r="BF26" s="591"/>
      <c r="BG26" s="591"/>
      <c r="BH26" s="572"/>
      <c r="BI26" s="572"/>
      <c r="BJ26" s="591">
        <v>20000</v>
      </c>
      <c r="BK26" s="591"/>
      <c r="BL26" s="591"/>
      <c r="BM26" s="591"/>
      <c r="BN26" s="591"/>
      <c r="BO26" s="591"/>
      <c r="BP26" s="591"/>
      <c r="BQ26" s="591"/>
      <c r="BR26" s="591"/>
      <c r="BS26" s="591"/>
      <c r="BT26" s="616">
        <v>50</v>
      </c>
      <c r="BU26" s="616"/>
      <c r="BV26" s="616"/>
      <c r="BW26" s="616"/>
      <c r="BX26" s="591">
        <v>200</v>
      </c>
      <c r="BY26" s="591"/>
      <c r="BZ26" s="591"/>
      <c r="CA26" s="591"/>
      <c r="CB26" s="591"/>
      <c r="CC26" s="591"/>
      <c r="CD26" s="591"/>
      <c r="CE26" s="591"/>
      <c r="CF26" s="166"/>
      <c r="CM26" t="s">
        <v>1363</v>
      </c>
      <c r="CN26" t="s">
        <v>1371</v>
      </c>
      <c r="CO26" t="s">
        <v>1372</v>
      </c>
      <c r="CP26" t="s">
        <v>1373</v>
      </c>
      <c r="CQ26" t="s">
        <v>1380</v>
      </c>
      <c r="CR26" t="s">
        <v>1381</v>
      </c>
      <c r="CS26" t="s">
        <v>1384</v>
      </c>
      <c r="CT26" s="1" t="s">
        <v>1390</v>
      </c>
    </row>
    <row r="27" spans="1:101" ht="13.15" customHeight="1" x14ac:dyDescent="0.15">
      <c r="A27" s="166"/>
      <c r="B27" s="592"/>
      <c r="C27" s="597"/>
      <c r="D27" s="597"/>
      <c r="E27" s="597"/>
      <c r="F27" s="597"/>
      <c r="G27" s="597"/>
      <c r="H27" s="597"/>
      <c r="I27" s="597"/>
      <c r="J27" s="597"/>
      <c r="K27" s="595"/>
      <c r="L27" s="595"/>
      <c r="M27" s="595"/>
      <c r="N27" s="595"/>
      <c r="O27" s="595"/>
      <c r="P27" s="595"/>
      <c r="Q27" s="595"/>
      <c r="R27" s="595"/>
      <c r="S27" s="595"/>
      <c r="T27" s="595"/>
      <c r="U27" s="595"/>
      <c r="V27" s="595"/>
      <c r="W27" s="595"/>
      <c r="X27" s="595"/>
      <c r="Y27" s="595"/>
      <c r="Z27" s="595"/>
      <c r="AA27" s="595"/>
      <c r="AB27" s="595"/>
      <c r="AC27" s="595"/>
      <c r="AD27" s="595"/>
      <c r="AE27" s="595"/>
      <c r="AF27" s="595"/>
      <c r="AG27" s="595"/>
      <c r="AH27" s="595"/>
      <c r="AI27" s="595"/>
      <c r="AJ27" s="595"/>
      <c r="AK27" s="595"/>
      <c r="AL27" s="595"/>
      <c r="AM27" s="595"/>
      <c r="AN27" s="595"/>
      <c r="AO27" s="595"/>
      <c r="AP27" s="595"/>
      <c r="AQ27" s="595"/>
      <c r="AR27" s="595"/>
      <c r="AS27" s="595"/>
      <c r="AT27" s="595"/>
      <c r="AU27" s="596"/>
      <c r="AV27" s="596"/>
      <c r="AW27" s="596"/>
      <c r="AX27" s="596"/>
      <c r="AY27" s="596"/>
      <c r="AZ27" s="591"/>
      <c r="BA27" s="591"/>
      <c r="BB27" s="591"/>
      <c r="BC27" s="591"/>
      <c r="BD27" s="591"/>
      <c r="BE27" s="591"/>
      <c r="BF27" s="591"/>
      <c r="BG27" s="591"/>
      <c r="BH27" s="572"/>
      <c r="BI27" s="572"/>
      <c r="BJ27" s="591"/>
      <c r="BK27" s="591"/>
      <c r="BL27" s="591"/>
      <c r="BM27" s="591"/>
      <c r="BN27" s="591"/>
      <c r="BO27" s="591"/>
      <c r="BP27" s="591"/>
      <c r="BQ27" s="591"/>
      <c r="BR27" s="591"/>
      <c r="BS27" s="591"/>
      <c r="BT27" s="616"/>
      <c r="BU27" s="616"/>
      <c r="BV27" s="616"/>
      <c r="BW27" s="616"/>
      <c r="BX27" s="591"/>
      <c r="BY27" s="591"/>
      <c r="BZ27" s="591"/>
      <c r="CA27" s="591"/>
      <c r="CB27" s="591"/>
      <c r="CC27" s="591"/>
      <c r="CD27" s="591"/>
      <c r="CE27" s="591"/>
      <c r="CF27" s="166"/>
    </row>
    <row r="28" spans="1:101" ht="13.15" customHeight="1" x14ac:dyDescent="0.15">
      <c r="A28" s="166"/>
      <c r="B28" s="592"/>
      <c r="C28" s="597"/>
      <c r="D28" s="597"/>
      <c r="E28" s="597"/>
      <c r="F28" s="597"/>
      <c r="G28" s="597"/>
      <c r="H28" s="597"/>
      <c r="I28" s="597"/>
      <c r="J28" s="597"/>
      <c r="K28" s="594"/>
      <c r="L28" s="595"/>
      <c r="M28" s="595"/>
      <c r="N28" s="595"/>
      <c r="O28" s="595"/>
      <c r="P28" s="595"/>
      <c r="Q28" s="595"/>
      <c r="R28" s="595"/>
      <c r="S28" s="595"/>
      <c r="T28" s="595"/>
      <c r="U28" s="595"/>
      <c r="V28" s="595"/>
      <c r="W28" s="595"/>
      <c r="X28" s="595"/>
      <c r="Y28" s="595"/>
      <c r="Z28" s="595"/>
      <c r="AA28" s="595"/>
      <c r="AB28" s="595"/>
      <c r="AC28" s="595"/>
      <c r="AD28" s="595"/>
      <c r="AE28" s="595"/>
      <c r="AF28" s="595"/>
      <c r="AG28" s="595"/>
      <c r="AH28" s="595"/>
      <c r="AI28" s="595"/>
      <c r="AJ28" s="595"/>
      <c r="AK28" s="595"/>
      <c r="AL28" s="595"/>
      <c r="AM28" s="595"/>
      <c r="AN28" s="595"/>
      <c r="AO28" s="595"/>
      <c r="AP28" s="595"/>
      <c r="AQ28" s="595"/>
      <c r="AR28" s="595"/>
      <c r="AS28" s="595"/>
      <c r="AT28" s="595"/>
      <c r="AU28" s="597"/>
      <c r="AV28" s="597"/>
      <c r="AW28" s="597"/>
      <c r="AX28" s="597"/>
      <c r="AY28" s="597"/>
      <c r="AZ28" s="591"/>
      <c r="BA28" s="591"/>
      <c r="BB28" s="591"/>
      <c r="BC28" s="591"/>
      <c r="BD28" s="591"/>
      <c r="BE28" s="591"/>
      <c r="BF28" s="591"/>
      <c r="BG28" s="591"/>
      <c r="BH28" s="593"/>
      <c r="BI28" s="593"/>
      <c r="BJ28" s="591"/>
      <c r="BK28" s="591"/>
      <c r="BL28" s="591"/>
      <c r="BM28" s="591"/>
      <c r="BN28" s="591"/>
      <c r="BO28" s="591"/>
      <c r="BP28" s="591"/>
      <c r="BQ28" s="591"/>
      <c r="BR28" s="591"/>
      <c r="BS28" s="591"/>
      <c r="BT28" s="616"/>
      <c r="BU28" s="616"/>
      <c r="BV28" s="616"/>
      <c r="BW28" s="616"/>
      <c r="BX28" s="591"/>
      <c r="BY28" s="591"/>
      <c r="BZ28" s="591"/>
      <c r="CA28" s="591"/>
      <c r="CB28" s="591"/>
      <c r="CC28" s="591"/>
      <c r="CD28" s="591"/>
      <c r="CE28" s="591"/>
      <c r="CF28" s="166"/>
      <c r="CM28" t="s">
        <v>1364</v>
      </c>
      <c r="CW28" s="25">
        <v>42550</v>
      </c>
    </row>
    <row r="29" spans="1:101" ht="13.15" customHeight="1" x14ac:dyDescent="0.15">
      <c r="A29" s="166"/>
      <c r="B29" s="592"/>
      <c r="C29" s="597"/>
      <c r="D29" s="597"/>
      <c r="E29" s="597"/>
      <c r="F29" s="597"/>
      <c r="G29" s="597"/>
      <c r="H29" s="597"/>
      <c r="I29" s="597"/>
      <c r="J29" s="597"/>
      <c r="K29" s="595"/>
      <c r="L29" s="595"/>
      <c r="M29" s="595"/>
      <c r="N29" s="595"/>
      <c r="O29" s="595"/>
      <c r="P29" s="595"/>
      <c r="Q29" s="595"/>
      <c r="R29" s="595"/>
      <c r="S29" s="595"/>
      <c r="T29" s="595"/>
      <c r="U29" s="595"/>
      <c r="V29" s="595"/>
      <c r="W29" s="595"/>
      <c r="X29" s="595"/>
      <c r="Y29" s="595"/>
      <c r="Z29" s="595"/>
      <c r="AA29" s="595"/>
      <c r="AB29" s="595"/>
      <c r="AC29" s="595"/>
      <c r="AD29" s="595"/>
      <c r="AE29" s="595"/>
      <c r="AF29" s="595"/>
      <c r="AG29" s="595"/>
      <c r="AH29" s="595"/>
      <c r="AI29" s="595"/>
      <c r="AJ29" s="595"/>
      <c r="AK29" s="595"/>
      <c r="AL29" s="595"/>
      <c r="AM29" s="595"/>
      <c r="AN29" s="595"/>
      <c r="AO29" s="595"/>
      <c r="AP29" s="595"/>
      <c r="AQ29" s="595"/>
      <c r="AR29" s="595"/>
      <c r="AS29" s="595"/>
      <c r="AT29" s="595"/>
      <c r="AU29" s="597"/>
      <c r="AV29" s="597"/>
      <c r="AW29" s="597"/>
      <c r="AX29" s="597"/>
      <c r="AY29" s="597"/>
      <c r="AZ29" s="591"/>
      <c r="BA29" s="591"/>
      <c r="BB29" s="591"/>
      <c r="BC29" s="591"/>
      <c r="BD29" s="591"/>
      <c r="BE29" s="591"/>
      <c r="BF29" s="591"/>
      <c r="BG29" s="591"/>
      <c r="BH29" s="593"/>
      <c r="BI29" s="593"/>
      <c r="BJ29" s="591"/>
      <c r="BK29" s="591"/>
      <c r="BL29" s="591"/>
      <c r="BM29" s="591"/>
      <c r="BN29" s="591"/>
      <c r="BO29" s="591"/>
      <c r="BP29" s="591"/>
      <c r="BQ29" s="591"/>
      <c r="BR29" s="591"/>
      <c r="BS29" s="591"/>
      <c r="BT29" s="616"/>
      <c r="BU29" s="616"/>
      <c r="BV29" s="616"/>
      <c r="BW29" s="616"/>
      <c r="BX29" s="591"/>
      <c r="BY29" s="591"/>
      <c r="BZ29" s="591"/>
      <c r="CA29" s="591"/>
      <c r="CB29" s="591"/>
      <c r="CC29" s="591"/>
      <c r="CD29" s="591"/>
      <c r="CE29" s="591"/>
      <c r="CF29" s="166"/>
    </row>
    <row r="30" spans="1:101" ht="13.15" customHeight="1" x14ac:dyDescent="0.15">
      <c r="A30" s="166"/>
      <c r="B30" s="592"/>
      <c r="C30" s="597"/>
      <c r="D30" s="597"/>
      <c r="E30" s="597"/>
      <c r="F30" s="597"/>
      <c r="G30" s="597"/>
      <c r="H30" s="597"/>
      <c r="I30" s="597"/>
      <c r="J30" s="597"/>
      <c r="K30" s="594"/>
      <c r="L30" s="595"/>
      <c r="M30" s="595"/>
      <c r="N30" s="595"/>
      <c r="O30" s="595"/>
      <c r="P30" s="595"/>
      <c r="Q30" s="595"/>
      <c r="R30" s="595"/>
      <c r="S30" s="595"/>
      <c r="T30" s="595"/>
      <c r="U30" s="595"/>
      <c r="V30" s="595"/>
      <c r="W30" s="595"/>
      <c r="X30" s="595"/>
      <c r="Y30" s="595"/>
      <c r="Z30" s="595"/>
      <c r="AA30" s="595"/>
      <c r="AB30" s="595"/>
      <c r="AC30" s="595"/>
      <c r="AD30" s="595"/>
      <c r="AE30" s="595"/>
      <c r="AF30" s="595"/>
      <c r="AG30" s="595"/>
      <c r="AH30" s="595"/>
      <c r="AI30" s="595"/>
      <c r="AJ30" s="595"/>
      <c r="AK30" s="595"/>
      <c r="AL30" s="595"/>
      <c r="AM30" s="595"/>
      <c r="AN30" s="595"/>
      <c r="AO30" s="595"/>
      <c r="AP30" s="595"/>
      <c r="AQ30" s="595"/>
      <c r="AR30" s="595"/>
      <c r="AS30" s="595"/>
      <c r="AT30" s="595"/>
      <c r="AU30" s="597"/>
      <c r="AV30" s="597"/>
      <c r="AW30" s="597"/>
      <c r="AX30" s="597"/>
      <c r="AY30" s="597"/>
      <c r="AZ30" s="591"/>
      <c r="BA30" s="591"/>
      <c r="BB30" s="591"/>
      <c r="BC30" s="591"/>
      <c r="BD30" s="591"/>
      <c r="BE30" s="591"/>
      <c r="BF30" s="591"/>
      <c r="BG30" s="591"/>
      <c r="BH30" s="593"/>
      <c r="BI30" s="593"/>
      <c r="BJ30" s="591"/>
      <c r="BK30" s="591"/>
      <c r="BL30" s="591"/>
      <c r="BM30" s="591"/>
      <c r="BN30" s="591"/>
      <c r="BO30" s="591"/>
      <c r="BP30" s="591"/>
      <c r="BQ30" s="591"/>
      <c r="BR30" s="591"/>
      <c r="BS30" s="591"/>
      <c r="BT30" s="616"/>
      <c r="BU30" s="616"/>
      <c r="BV30" s="616"/>
      <c r="BW30" s="616"/>
      <c r="BX30" s="591"/>
      <c r="BY30" s="591"/>
      <c r="BZ30" s="591"/>
      <c r="CA30" s="591"/>
      <c r="CB30" s="591"/>
      <c r="CC30" s="591"/>
      <c r="CD30" s="591"/>
      <c r="CE30" s="591"/>
      <c r="CF30" s="166"/>
      <c r="CM30" t="s">
        <v>1365</v>
      </c>
    </row>
    <row r="31" spans="1:101" ht="13.15" customHeight="1" x14ac:dyDescent="0.15">
      <c r="A31" s="166"/>
      <c r="B31" s="592"/>
      <c r="C31" s="597"/>
      <c r="D31" s="597"/>
      <c r="E31" s="597"/>
      <c r="F31" s="597"/>
      <c r="G31" s="597"/>
      <c r="H31" s="597"/>
      <c r="I31" s="597"/>
      <c r="J31" s="597"/>
      <c r="K31" s="595"/>
      <c r="L31" s="595"/>
      <c r="M31" s="595"/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595"/>
      <c r="AC31" s="595"/>
      <c r="AD31" s="595"/>
      <c r="AE31" s="595"/>
      <c r="AF31" s="595"/>
      <c r="AG31" s="595"/>
      <c r="AH31" s="595"/>
      <c r="AI31" s="595"/>
      <c r="AJ31" s="595"/>
      <c r="AK31" s="595"/>
      <c r="AL31" s="595"/>
      <c r="AM31" s="595"/>
      <c r="AN31" s="595"/>
      <c r="AO31" s="595"/>
      <c r="AP31" s="595"/>
      <c r="AQ31" s="595"/>
      <c r="AR31" s="595"/>
      <c r="AS31" s="595"/>
      <c r="AT31" s="595"/>
      <c r="AU31" s="597"/>
      <c r="AV31" s="597"/>
      <c r="AW31" s="597"/>
      <c r="AX31" s="597"/>
      <c r="AY31" s="597"/>
      <c r="AZ31" s="591"/>
      <c r="BA31" s="591"/>
      <c r="BB31" s="591"/>
      <c r="BC31" s="591"/>
      <c r="BD31" s="591"/>
      <c r="BE31" s="591"/>
      <c r="BF31" s="591"/>
      <c r="BG31" s="591"/>
      <c r="BH31" s="593"/>
      <c r="BI31" s="593"/>
      <c r="BJ31" s="591"/>
      <c r="BK31" s="591"/>
      <c r="BL31" s="591"/>
      <c r="BM31" s="591"/>
      <c r="BN31" s="591"/>
      <c r="BO31" s="591"/>
      <c r="BP31" s="591"/>
      <c r="BQ31" s="591"/>
      <c r="BR31" s="591"/>
      <c r="BS31" s="591"/>
      <c r="BT31" s="616"/>
      <c r="BU31" s="616"/>
      <c r="BV31" s="616"/>
      <c r="BW31" s="616"/>
      <c r="BX31" s="591"/>
      <c r="BY31" s="591"/>
      <c r="BZ31" s="591"/>
      <c r="CA31" s="591"/>
      <c r="CB31" s="591"/>
      <c r="CC31" s="591"/>
      <c r="CD31" s="591"/>
      <c r="CE31" s="591"/>
      <c r="CF31" s="166"/>
    </row>
    <row r="32" spans="1:101" ht="13.15" customHeight="1" x14ac:dyDescent="0.15">
      <c r="A32" s="166"/>
      <c r="B32" s="592"/>
      <c r="C32" s="597"/>
      <c r="D32" s="597"/>
      <c r="E32" s="597"/>
      <c r="F32" s="597"/>
      <c r="G32" s="597"/>
      <c r="H32" s="597"/>
      <c r="I32" s="597"/>
      <c r="J32" s="597"/>
      <c r="K32" s="594"/>
      <c r="L32" s="595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595"/>
      <c r="AC32" s="595"/>
      <c r="AD32" s="595"/>
      <c r="AE32" s="595"/>
      <c r="AF32" s="595"/>
      <c r="AG32" s="595"/>
      <c r="AH32" s="595"/>
      <c r="AI32" s="595"/>
      <c r="AJ32" s="595"/>
      <c r="AK32" s="595"/>
      <c r="AL32" s="595"/>
      <c r="AM32" s="595"/>
      <c r="AN32" s="595"/>
      <c r="AO32" s="595"/>
      <c r="AP32" s="595"/>
      <c r="AQ32" s="595"/>
      <c r="AR32" s="595"/>
      <c r="AS32" s="595"/>
      <c r="AT32" s="595"/>
      <c r="AU32" s="597"/>
      <c r="AV32" s="597"/>
      <c r="AW32" s="597"/>
      <c r="AX32" s="597"/>
      <c r="AY32" s="597"/>
      <c r="AZ32" s="591"/>
      <c r="BA32" s="591"/>
      <c r="BB32" s="591"/>
      <c r="BC32" s="591"/>
      <c r="BD32" s="591"/>
      <c r="BE32" s="591"/>
      <c r="BF32" s="591"/>
      <c r="BG32" s="591"/>
      <c r="BH32" s="593"/>
      <c r="BI32" s="593"/>
      <c r="BJ32" s="591"/>
      <c r="BK32" s="591"/>
      <c r="BL32" s="591"/>
      <c r="BM32" s="591"/>
      <c r="BN32" s="591"/>
      <c r="BO32" s="591"/>
      <c r="BP32" s="591"/>
      <c r="BQ32" s="591"/>
      <c r="BR32" s="591"/>
      <c r="BS32" s="591"/>
      <c r="BT32" s="616"/>
      <c r="BU32" s="616"/>
      <c r="BV32" s="616"/>
      <c r="BW32" s="616"/>
      <c r="BX32" s="591"/>
      <c r="BY32" s="591"/>
      <c r="BZ32" s="591"/>
      <c r="CA32" s="591"/>
      <c r="CB32" s="591"/>
      <c r="CC32" s="591"/>
      <c r="CD32" s="591"/>
      <c r="CE32" s="591"/>
      <c r="CF32" s="166"/>
      <c r="CM32" t="s">
        <v>1366</v>
      </c>
    </row>
    <row r="33" spans="1:96" ht="13.15" customHeight="1" x14ac:dyDescent="0.15">
      <c r="A33" s="166"/>
      <c r="B33" s="592"/>
      <c r="C33" s="597"/>
      <c r="D33" s="597"/>
      <c r="E33" s="597"/>
      <c r="F33" s="597"/>
      <c r="G33" s="597"/>
      <c r="H33" s="597"/>
      <c r="I33" s="597"/>
      <c r="J33" s="597"/>
      <c r="K33" s="595"/>
      <c r="L33" s="595"/>
      <c r="M33" s="595"/>
      <c r="N33" s="595"/>
      <c r="O33" s="595"/>
      <c r="P33" s="595"/>
      <c r="Q33" s="595"/>
      <c r="R33" s="595"/>
      <c r="S33" s="595"/>
      <c r="T33" s="595"/>
      <c r="U33" s="595"/>
      <c r="V33" s="595"/>
      <c r="W33" s="595"/>
      <c r="X33" s="595"/>
      <c r="Y33" s="595"/>
      <c r="Z33" s="595"/>
      <c r="AA33" s="595"/>
      <c r="AB33" s="595"/>
      <c r="AC33" s="595"/>
      <c r="AD33" s="595"/>
      <c r="AE33" s="595"/>
      <c r="AF33" s="595"/>
      <c r="AG33" s="595"/>
      <c r="AH33" s="595"/>
      <c r="AI33" s="595"/>
      <c r="AJ33" s="595"/>
      <c r="AK33" s="595"/>
      <c r="AL33" s="595"/>
      <c r="AM33" s="595"/>
      <c r="AN33" s="595"/>
      <c r="AO33" s="595"/>
      <c r="AP33" s="595"/>
      <c r="AQ33" s="595"/>
      <c r="AR33" s="595"/>
      <c r="AS33" s="595"/>
      <c r="AT33" s="595"/>
      <c r="AU33" s="597"/>
      <c r="AV33" s="597"/>
      <c r="AW33" s="597"/>
      <c r="AX33" s="597"/>
      <c r="AY33" s="597"/>
      <c r="AZ33" s="591"/>
      <c r="BA33" s="591"/>
      <c r="BB33" s="591"/>
      <c r="BC33" s="591"/>
      <c r="BD33" s="591"/>
      <c r="BE33" s="591"/>
      <c r="BF33" s="591"/>
      <c r="BG33" s="591"/>
      <c r="BH33" s="593"/>
      <c r="BI33" s="593"/>
      <c r="BJ33" s="591"/>
      <c r="BK33" s="591"/>
      <c r="BL33" s="591"/>
      <c r="BM33" s="591"/>
      <c r="BN33" s="591"/>
      <c r="BO33" s="591"/>
      <c r="BP33" s="591"/>
      <c r="BQ33" s="591"/>
      <c r="BR33" s="591"/>
      <c r="BS33" s="591"/>
      <c r="BT33" s="616"/>
      <c r="BU33" s="616"/>
      <c r="BV33" s="616"/>
      <c r="BW33" s="616"/>
      <c r="BX33" s="591"/>
      <c r="BY33" s="591"/>
      <c r="BZ33" s="591"/>
      <c r="CA33" s="591"/>
      <c r="CB33" s="591"/>
      <c r="CC33" s="591"/>
      <c r="CD33" s="591"/>
      <c r="CE33" s="591"/>
      <c r="CF33" s="166"/>
    </row>
    <row r="34" spans="1:96" ht="13.15" customHeight="1" x14ac:dyDescent="0.15">
      <c r="A34" s="166"/>
      <c r="B34" s="592"/>
      <c r="C34" s="597"/>
      <c r="D34" s="597"/>
      <c r="E34" s="597"/>
      <c r="F34" s="597"/>
      <c r="G34" s="597"/>
      <c r="H34" s="597"/>
      <c r="I34" s="597"/>
      <c r="J34" s="597"/>
      <c r="K34" s="594"/>
      <c r="L34" s="595"/>
      <c r="M34" s="595"/>
      <c r="N34" s="595"/>
      <c r="O34" s="595"/>
      <c r="P34" s="595"/>
      <c r="Q34" s="595"/>
      <c r="R34" s="595"/>
      <c r="S34" s="595"/>
      <c r="T34" s="595"/>
      <c r="U34" s="595"/>
      <c r="V34" s="595"/>
      <c r="W34" s="595"/>
      <c r="X34" s="595"/>
      <c r="Y34" s="595"/>
      <c r="Z34" s="595"/>
      <c r="AA34" s="595"/>
      <c r="AB34" s="595"/>
      <c r="AC34" s="595"/>
      <c r="AD34" s="595"/>
      <c r="AE34" s="595"/>
      <c r="AF34" s="595"/>
      <c r="AG34" s="595"/>
      <c r="AH34" s="595"/>
      <c r="AI34" s="595"/>
      <c r="AJ34" s="595"/>
      <c r="AK34" s="595"/>
      <c r="AL34" s="595"/>
      <c r="AM34" s="595"/>
      <c r="AN34" s="595"/>
      <c r="AO34" s="595"/>
      <c r="AP34" s="595"/>
      <c r="AQ34" s="595"/>
      <c r="AR34" s="595"/>
      <c r="AS34" s="595"/>
      <c r="AT34" s="595"/>
      <c r="AU34" s="597"/>
      <c r="AV34" s="597"/>
      <c r="AW34" s="597"/>
      <c r="AX34" s="597"/>
      <c r="AY34" s="597"/>
      <c r="AZ34" s="591"/>
      <c r="BA34" s="591"/>
      <c r="BB34" s="591"/>
      <c r="BC34" s="591"/>
      <c r="BD34" s="591"/>
      <c r="BE34" s="591"/>
      <c r="BF34" s="591"/>
      <c r="BG34" s="591"/>
      <c r="BH34" s="593"/>
      <c r="BI34" s="593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616"/>
      <c r="BU34" s="616"/>
      <c r="BV34" s="616"/>
      <c r="BW34" s="616"/>
      <c r="BX34" s="591"/>
      <c r="BY34" s="591"/>
      <c r="BZ34" s="591"/>
      <c r="CA34" s="591"/>
      <c r="CB34" s="591"/>
      <c r="CC34" s="591"/>
      <c r="CD34" s="591"/>
      <c r="CE34" s="591"/>
      <c r="CF34" s="166"/>
      <c r="CM34" t="s">
        <v>1367</v>
      </c>
    </row>
    <row r="35" spans="1:96" ht="13.15" customHeight="1" x14ac:dyDescent="0.15">
      <c r="A35" s="166"/>
      <c r="B35" s="592"/>
      <c r="C35" s="597"/>
      <c r="D35" s="597"/>
      <c r="E35" s="597"/>
      <c r="F35" s="597"/>
      <c r="G35" s="597"/>
      <c r="H35" s="597"/>
      <c r="I35" s="597"/>
      <c r="J35" s="597"/>
      <c r="K35" s="595"/>
      <c r="L35" s="595"/>
      <c r="M35" s="595"/>
      <c r="N35" s="595"/>
      <c r="O35" s="595"/>
      <c r="P35" s="595"/>
      <c r="Q35" s="595"/>
      <c r="R35" s="595"/>
      <c r="S35" s="595"/>
      <c r="T35" s="595"/>
      <c r="U35" s="595"/>
      <c r="V35" s="595"/>
      <c r="W35" s="595"/>
      <c r="X35" s="595"/>
      <c r="Y35" s="595"/>
      <c r="Z35" s="595"/>
      <c r="AA35" s="595"/>
      <c r="AB35" s="595"/>
      <c r="AC35" s="595"/>
      <c r="AD35" s="595"/>
      <c r="AE35" s="595"/>
      <c r="AF35" s="595"/>
      <c r="AG35" s="595"/>
      <c r="AH35" s="595"/>
      <c r="AI35" s="595"/>
      <c r="AJ35" s="595"/>
      <c r="AK35" s="595"/>
      <c r="AL35" s="595"/>
      <c r="AM35" s="595"/>
      <c r="AN35" s="595"/>
      <c r="AO35" s="595"/>
      <c r="AP35" s="595"/>
      <c r="AQ35" s="595"/>
      <c r="AR35" s="595"/>
      <c r="AS35" s="595"/>
      <c r="AT35" s="595"/>
      <c r="AU35" s="597"/>
      <c r="AV35" s="597"/>
      <c r="AW35" s="597"/>
      <c r="AX35" s="597"/>
      <c r="AY35" s="597"/>
      <c r="AZ35" s="591"/>
      <c r="BA35" s="591"/>
      <c r="BB35" s="591"/>
      <c r="BC35" s="591"/>
      <c r="BD35" s="591"/>
      <c r="BE35" s="591"/>
      <c r="BF35" s="591"/>
      <c r="BG35" s="591"/>
      <c r="BH35" s="593"/>
      <c r="BI35" s="593"/>
      <c r="BJ35" s="591"/>
      <c r="BK35" s="591"/>
      <c r="BL35" s="591"/>
      <c r="BM35" s="591"/>
      <c r="BN35" s="591"/>
      <c r="BO35" s="591"/>
      <c r="BP35" s="591"/>
      <c r="BQ35" s="591"/>
      <c r="BR35" s="591"/>
      <c r="BS35" s="591"/>
      <c r="BT35" s="616"/>
      <c r="BU35" s="616"/>
      <c r="BV35" s="616"/>
      <c r="BW35" s="616"/>
      <c r="BX35" s="591"/>
      <c r="BY35" s="591"/>
      <c r="BZ35" s="591"/>
      <c r="CA35" s="591"/>
      <c r="CB35" s="591"/>
      <c r="CC35" s="591"/>
      <c r="CD35" s="591"/>
      <c r="CE35" s="591"/>
      <c r="CF35" s="166"/>
    </row>
    <row r="36" spans="1:96" ht="13.15" customHeight="1" x14ac:dyDescent="0.15">
      <c r="A36" s="166"/>
      <c r="B36" s="592"/>
      <c r="C36" s="597"/>
      <c r="D36" s="597"/>
      <c r="E36" s="597"/>
      <c r="F36" s="597"/>
      <c r="G36" s="597"/>
      <c r="H36" s="597"/>
      <c r="I36" s="597"/>
      <c r="J36" s="597"/>
      <c r="K36" s="594"/>
      <c r="L36" s="595"/>
      <c r="M36" s="595"/>
      <c r="N36" s="595"/>
      <c r="O36" s="595"/>
      <c r="P36" s="595"/>
      <c r="Q36" s="595"/>
      <c r="R36" s="595"/>
      <c r="S36" s="595"/>
      <c r="T36" s="595"/>
      <c r="U36" s="595"/>
      <c r="V36" s="595"/>
      <c r="W36" s="595"/>
      <c r="X36" s="595"/>
      <c r="Y36" s="595"/>
      <c r="Z36" s="595"/>
      <c r="AA36" s="595"/>
      <c r="AB36" s="595"/>
      <c r="AC36" s="595"/>
      <c r="AD36" s="595"/>
      <c r="AE36" s="595"/>
      <c r="AF36" s="595"/>
      <c r="AG36" s="595"/>
      <c r="AH36" s="595"/>
      <c r="AI36" s="595"/>
      <c r="AJ36" s="595"/>
      <c r="AK36" s="595"/>
      <c r="AL36" s="595"/>
      <c r="AM36" s="595"/>
      <c r="AN36" s="595"/>
      <c r="AO36" s="595"/>
      <c r="AP36" s="595"/>
      <c r="AQ36" s="595"/>
      <c r="AR36" s="595"/>
      <c r="AS36" s="595"/>
      <c r="AT36" s="595"/>
      <c r="AU36" s="597"/>
      <c r="AV36" s="597"/>
      <c r="AW36" s="597"/>
      <c r="AX36" s="597"/>
      <c r="AY36" s="597"/>
      <c r="AZ36" s="591"/>
      <c r="BA36" s="591"/>
      <c r="BB36" s="591"/>
      <c r="BC36" s="591"/>
      <c r="BD36" s="591"/>
      <c r="BE36" s="591"/>
      <c r="BF36" s="591"/>
      <c r="BG36" s="591"/>
      <c r="BH36" s="593"/>
      <c r="BI36" s="593"/>
      <c r="BJ36" s="591"/>
      <c r="BK36" s="591"/>
      <c r="BL36" s="591"/>
      <c r="BM36" s="591"/>
      <c r="BN36" s="591"/>
      <c r="BO36" s="591"/>
      <c r="BP36" s="591"/>
      <c r="BQ36" s="591"/>
      <c r="BR36" s="591"/>
      <c r="BS36" s="591"/>
      <c r="BT36" s="617"/>
      <c r="BU36" s="617"/>
      <c r="BV36" s="617"/>
      <c r="BW36" s="617"/>
      <c r="BX36" s="591"/>
      <c r="BY36" s="591"/>
      <c r="BZ36" s="591"/>
      <c r="CA36" s="591"/>
      <c r="CB36" s="591"/>
      <c r="CC36" s="591"/>
      <c r="CD36" s="591"/>
      <c r="CE36" s="591"/>
      <c r="CF36" s="166"/>
      <c r="CM36" t="s">
        <v>1368</v>
      </c>
    </row>
    <row r="37" spans="1:96" ht="13.15" customHeight="1" x14ac:dyDescent="0.15">
      <c r="A37" s="166"/>
      <c r="B37" s="592"/>
      <c r="C37" s="597"/>
      <c r="D37" s="597"/>
      <c r="E37" s="597"/>
      <c r="F37" s="597"/>
      <c r="G37" s="597"/>
      <c r="H37" s="597"/>
      <c r="I37" s="597"/>
      <c r="J37" s="597"/>
      <c r="K37" s="595"/>
      <c r="L37" s="595"/>
      <c r="M37" s="595"/>
      <c r="N37" s="595"/>
      <c r="O37" s="595"/>
      <c r="P37" s="595"/>
      <c r="Q37" s="595"/>
      <c r="R37" s="595"/>
      <c r="S37" s="595"/>
      <c r="T37" s="595"/>
      <c r="U37" s="595"/>
      <c r="V37" s="595"/>
      <c r="W37" s="595"/>
      <c r="X37" s="595"/>
      <c r="Y37" s="595"/>
      <c r="Z37" s="595"/>
      <c r="AA37" s="595"/>
      <c r="AB37" s="595"/>
      <c r="AC37" s="595"/>
      <c r="AD37" s="595"/>
      <c r="AE37" s="595"/>
      <c r="AF37" s="595"/>
      <c r="AG37" s="595"/>
      <c r="AH37" s="595"/>
      <c r="AI37" s="595"/>
      <c r="AJ37" s="595"/>
      <c r="AK37" s="595"/>
      <c r="AL37" s="595"/>
      <c r="AM37" s="595"/>
      <c r="AN37" s="595"/>
      <c r="AO37" s="595"/>
      <c r="AP37" s="595"/>
      <c r="AQ37" s="595"/>
      <c r="AR37" s="595"/>
      <c r="AS37" s="595"/>
      <c r="AT37" s="595"/>
      <c r="AU37" s="597"/>
      <c r="AV37" s="597"/>
      <c r="AW37" s="597"/>
      <c r="AX37" s="597"/>
      <c r="AY37" s="597"/>
      <c r="AZ37" s="591"/>
      <c r="BA37" s="591"/>
      <c r="BB37" s="591"/>
      <c r="BC37" s="591"/>
      <c r="BD37" s="591"/>
      <c r="BE37" s="591"/>
      <c r="BF37" s="591"/>
      <c r="BG37" s="591"/>
      <c r="BH37" s="593"/>
      <c r="BI37" s="593"/>
      <c r="BJ37" s="591"/>
      <c r="BK37" s="591"/>
      <c r="BL37" s="591"/>
      <c r="BM37" s="591"/>
      <c r="BN37" s="591"/>
      <c r="BO37" s="591"/>
      <c r="BP37" s="591"/>
      <c r="BQ37" s="591"/>
      <c r="BR37" s="591"/>
      <c r="BS37" s="591"/>
      <c r="BT37" s="617"/>
      <c r="BU37" s="617"/>
      <c r="BV37" s="617"/>
      <c r="BW37" s="617"/>
      <c r="BX37" s="591"/>
      <c r="BY37" s="591"/>
      <c r="BZ37" s="591"/>
      <c r="CA37" s="591"/>
      <c r="CB37" s="591"/>
      <c r="CC37" s="591"/>
      <c r="CD37" s="591"/>
      <c r="CE37" s="591"/>
      <c r="CF37" s="166"/>
    </row>
    <row r="38" spans="1:96" ht="10.5" customHeight="1" x14ac:dyDescent="0.15">
      <c r="A38" s="166"/>
      <c r="B38" s="607"/>
      <c r="C38" s="608"/>
      <c r="D38" s="608"/>
      <c r="E38" s="608"/>
      <c r="F38" s="608"/>
      <c r="G38" s="608"/>
      <c r="H38" s="608"/>
      <c r="I38" s="608"/>
      <c r="J38" s="610"/>
      <c r="K38" s="611"/>
      <c r="L38" s="611"/>
      <c r="M38" s="611"/>
      <c r="N38" s="611"/>
      <c r="O38" s="592"/>
      <c r="P38" s="592"/>
      <c r="Q38" s="592"/>
      <c r="R38" s="592"/>
      <c r="S38" s="613"/>
      <c r="T38" s="614"/>
      <c r="U38" s="614"/>
      <c r="V38" s="592"/>
      <c r="W38" s="592"/>
      <c r="X38" s="592"/>
      <c r="Y38" s="592"/>
      <c r="Z38" s="592"/>
      <c r="AA38" s="592"/>
      <c r="AB38" s="592"/>
      <c r="AC38" s="592"/>
      <c r="AD38" s="592"/>
      <c r="AE38" s="592"/>
      <c r="AF38" s="592"/>
      <c r="AG38" s="592"/>
      <c r="AH38" s="592"/>
      <c r="AI38" s="592"/>
      <c r="AJ38" s="592"/>
      <c r="AK38" s="592"/>
      <c r="AL38" s="592"/>
      <c r="AM38" s="592"/>
      <c r="AN38" s="597"/>
      <c r="AO38" s="597"/>
      <c r="AP38" s="597"/>
      <c r="AQ38" s="597"/>
      <c r="AR38" s="597"/>
      <c r="AS38" s="597"/>
      <c r="AT38" s="597"/>
      <c r="AU38" s="592"/>
      <c r="AV38" s="592"/>
      <c r="AW38" s="592"/>
      <c r="AX38" s="592"/>
      <c r="AY38" s="592"/>
      <c r="AZ38" s="615"/>
      <c r="BA38" s="615"/>
      <c r="BB38" s="615"/>
      <c r="BC38" s="615"/>
      <c r="BD38" s="615"/>
      <c r="BE38" s="615"/>
      <c r="BF38" s="615"/>
      <c r="BG38" s="615"/>
      <c r="BH38" s="615"/>
      <c r="BI38" s="615"/>
      <c r="BJ38" s="612">
        <f>SUM(BJ26:BJ36)</f>
        <v>20000</v>
      </c>
      <c r="BK38" s="612"/>
      <c r="BL38" s="612"/>
      <c r="BM38" s="612"/>
      <c r="BN38" s="612"/>
      <c r="BO38" s="612"/>
      <c r="BP38" s="612"/>
      <c r="BQ38" s="612"/>
      <c r="BR38" s="612"/>
      <c r="BS38" s="612"/>
      <c r="BT38" s="592"/>
      <c r="BU38" s="592"/>
      <c r="BV38" s="592"/>
      <c r="BW38" s="592"/>
      <c r="BX38" s="592"/>
      <c r="BY38" s="592"/>
      <c r="BZ38" s="592"/>
      <c r="CA38" s="592"/>
      <c r="CB38" s="592"/>
      <c r="CC38" s="592"/>
      <c r="CD38" s="592"/>
      <c r="CE38" s="592"/>
      <c r="CF38" s="166"/>
      <c r="CM38" t="s">
        <v>1369</v>
      </c>
      <c r="CR38" t="s">
        <v>1370</v>
      </c>
    </row>
    <row r="39" spans="1:96" ht="13.15" customHeight="1" x14ac:dyDescent="0.15">
      <c r="A39" s="166"/>
      <c r="B39" s="608"/>
      <c r="C39" s="608"/>
      <c r="D39" s="608"/>
      <c r="E39" s="608"/>
      <c r="F39" s="608"/>
      <c r="G39" s="608"/>
      <c r="H39" s="608"/>
      <c r="I39" s="608"/>
      <c r="J39" s="611"/>
      <c r="K39" s="611"/>
      <c r="L39" s="611"/>
      <c r="M39" s="611"/>
      <c r="N39" s="611"/>
      <c r="O39" s="592"/>
      <c r="P39" s="592"/>
      <c r="Q39" s="592"/>
      <c r="R39" s="592"/>
      <c r="S39" s="614"/>
      <c r="T39" s="614"/>
      <c r="U39" s="614"/>
      <c r="V39" s="592"/>
      <c r="W39" s="592"/>
      <c r="X39" s="592"/>
      <c r="Y39" s="592"/>
      <c r="Z39" s="592"/>
      <c r="AA39" s="592"/>
      <c r="AB39" s="592"/>
      <c r="AC39" s="592"/>
      <c r="AD39" s="592"/>
      <c r="AE39" s="592"/>
      <c r="AF39" s="592"/>
      <c r="AG39" s="592"/>
      <c r="AH39" s="592"/>
      <c r="AI39" s="592"/>
      <c r="AJ39" s="592"/>
      <c r="AK39" s="592"/>
      <c r="AL39" s="592"/>
      <c r="AM39" s="592"/>
      <c r="AN39" s="597"/>
      <c r="AO39" s="597"/>
      <c r="AP39" s="597"/>
      <c r="AQ39" s="597"/>
      <c r="AR39" s="597"/>
      <c r="AS39" s="597"/>
      <c r="AT39" s="597"/>
      <c r="AU39" s="592"/>
      <c r="AV39" s="592"/>
      <c r="AW39" s="592"/>
      <c r="AX39" s="592"/>
      <c r="AY39" s="592"/>
      <c r="AZ39" s="615"/>
      <c r="BA39" s="615"/>
      <c r="BB39" s="615"/>
      <c r="BC39" s="615"/>
      <c r="BD39" s="615"/>
      <c r="BE39" s="615"/>
      <c r="BF39" s="615"/>
      <c r="BG39" s="615"/>
      <c r="BH39" s="615"/>
      <c r="BI39" s="615"/>
      <c r="BJ39" s="612"/>
      <c r="BK39" s="612"/>
      <c r="BL39" s="612"/>
      <c r="BM39" s="612"/>
      <c r="BN39" s="612"/>
      <c r="BO39" s="612"/>
      <c r="BP39" s="612"/>
      <c r="BQ39" s="612"/>
      <c r="BR39" s="612"/>
      <c r="BS39" s="612"/>
      <c r="BT39" s="592"/>
      <c r="BU39" s="592"/>
      <c r="BV39" s="592"/>
      <c r="BW39" s="592"/>
      <c r="BX39" s="592"/>
      <c r="BY39" s="592"/>
      <c r="BZ39" s="592"/>
      <c r="CA39" s="592"/>
      <c r="CB39" s="592"/>
      <c r="CC39" s="592"/>
      <c r="CD39" s="592"/>
      <c r="CE39" s="592"/>
      <c r="CF39" s="166"/>
    </row>
    <row r="40" spans="1:96" ht="16.5" customHeight="1" x14ac:dyDescent="0.15">
      <c r="A40" s="166"/>
      <c r="B40" s="166"/>
      <c r="C40" s="166"/>
      <c r="D40" s="166"/>
      <c r="E40" s="166"/>
      <c r="F40" s="592"/>
      <c r="G40" s="592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92"/>
      <c r="AO40" s="166"/>
      <c r="AP40" s="166"/>
      <c r="AQ40" s="166"/>
      <c r="AR40" s="166"/>
      <c r="AS40" s="166"/>
      <c r="AT40" s="166"/>
      <c r="AU40" s="592"/>
      <c r="AV40" s="592"/>
      <c r="AW40" s="592"/>
      <c r="AX40" s="592"/>
      <c r="AY40" s="592"/>
      <c r="AZ40" s="592"/>
      <c r="BA40" s="592"/>
      <c r="BB40" s="592"/>
      <c r="BC40" s="592"/>
      <c r="BD40" s="592"/>
      <c r="BE40" s="592"/>
      <c r="BF40" s="592"/>
      <c r="BG40" s="592"/>
      <c r="BH40" s="592"/>
      <c r="BI40" s="592"/>
      <c r="BJ40" s="592"/>
      <c r="BK40" s="592"/>
      <c r="BL40" s="592"/>
      <c r="BM40" s="592"/>
      <c r="BN40" s="592"/>
      <c r="BO40" s="592"/>
      <c r="BP40" s="592"/>
      <c r="BQ40" s="592"/>
      <c r="BR40" s="592"/>
      <c r="BS40" s="592"/>
      <c r="BT40" s="592"/>
      <c r="BU40" s="592"/>
      <c r="BV40" s="592"/>
      <c r="BW40" s="592"/>
      <c r="BX40" s="592"/>
      <c r="BY40" s="592"/>
      <c r="BZ40" s="592"/>
      <c r="CA40" s="592"/>
      <c r="CB40" s="592"/>
      <c r="CC40" s="592"/>
      <c r="CD40" s="592"/>
      <c r="CE40" s="592"/>
      <c r="CF40" s="166"/>
    </row>
    <row r="41" spans="1:96" ht="15" customHeight="1" x14ac:dyDescent="0.15">
      <c r="A41" s="166"/>
      <c r="B41" s="166"/>
      <c r="C41" s="166"/>
      <c r="D41" s="166"/>
      <c r="E41" s="166"/>
      <c r="F41" s="592"/>
      <c r="G41" s="592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592"/>
      <c r="AV41" s="592"/>
      <c r="AW41" s="592"/>
      <c r="AX41" s="592"/>
      <c r="AY41" s="592"/>
      <c r="AZ41" s="592"/>
      <c r="BA41" s="592"/>
      <c r="BB41" s="592"/>
      <c r="BC41" s="592"/>
      <c r="BD41" s="592"/>
      <c r="BE41" s="592"/>
      <c r="BF41" s="592"/>
      <c r="BG41" s="592"/>
      <c r="BH41" s="592"/>
      <c r="BI41" s="592"/>
      <c r="BJ41" s="592"/>
      <c r="BK41" s="592"/>
      <c r="BL41" s="592"/>
      <c r="BM41" s="592"/>
      <c r="BN41" s="592"/>
      <c r="BO41" s="592"/>
      <c r="BP41" s="592"/>
      <c r="BQ41" s="592"/>
      <c r="BR41" s="592"/>
      <c r="BS41" s="592"/>
      <c r="BT41" s="592"/>
      <c r="BU41" s="592"/>
      <c r="BV41" s="592"/>
      <c r="BW41" s="592"/>
      <c r="BX41" s="592"/>
      <c r="BY41" s="592"/>
      <c r="BZ41" s="592"/>
      <c r="CA41" s="592"/>
      <c r="CB41" s="592"/>
      <c r="CC41" s="592"/>
      <c r="CD41" s="592"/>
      <c r="CE41" s="592"/>
      <c r="CF41" s="166"/>
    </row>
    <row r="42" spans="1:96" ht="13.15" customHeight="1" x14ac:dyDescent="0.15">
      <c r="A42" s="166"/>
      <c r="B42" s="166"/>
      <c r="C42" s="166"/>
      <c r="D42" s="166"/>
      <c r="E42" s="166"/>
      <c r="F42" s="592"/>
      <c r="G42" s="592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592"/>
      <c r="AV42" s="592"/>
      <c r="AW42" s="592"/>
      <c r="AX42" s="592"/>
      <c r="AY42" s="592"/>
      <c r="AZ42" s="592"/>
      <c r="BA42" s="592"/>
      <c r="BB42" s="592"/>
      <c r="BC42" s="592"/>
      <c r="BD42" s="592"/>
      <c r="BE42" s="592"/>
      <c r="BF42" s="592"/>
      <c r="BG42" s="592"/>
      <c r="BH42" s="592"/>
      <c r="BI42" s="592"/>
      <c r="BJ42" s="592"/>
      <c r="BK42" s="592"/>
      <c r="BL42" s="592"/>
      <c r="BM42" s="592"/>
      <c r="BN42" s="592"/>
      <c r="BO42" s="592"/>
      <c r="BP42" s="592"/>
      <c r="BQ42" s="592"/>
      <c r="BR42" s="592"/>
      <c r="BS42" s="592"/>
      <c r="BT42" s="592"/>
      <c r="BU42" s="592"/>
      <c r="BV42" s="592"/>
      <c r="BW42" s="592"/>
      <c r="BX42" s="592"/>
      <c r="BY42" s="592"/>
      <c r="BZ42" s="592"/>
      <c r="CA42" s="592"/>
      <c r="CB42" s="592"/>
      <c r="CC42" s="592"/>
      <c r="CD42" s="592"/>
      <c r="CE42" s="592"/>
      <c r="CF42" s="166"/>
    </row>
    <row r="43" spans="1:96" ht="13.15" customHeight="1" x14ac:dyDescent="0.15">
      <c r="A43" s="166"/>
      <c r="B43" s="166"/>
      <c r="C43" s="166"/>
      <c r="D43" s="166"/>
      <c r="E43" s="166"/>
      <c r="F43" s="592"/>
      <c r="G43" s="592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592"/>
      <c r="AV43" s="592"/>
      <c r="AW43" s="592"/>
      <c r="AX43" s="592"/>
      <c r="AY43" s="592"/>
      <c r="AZ43" s="592"/>
      <c r="BA43" s="592"/>
      <c r="BB43" s="592"/>
      <c r="BC43" s="592"/>
      <c r="BD43" s="592"/>
      <c r="BE43" s="592"/>
      <c r="BF43" s="592"/>
      <c r="BG43" s="592"/>
      <c r="BH43" s="592"/>
      <c r="BI43" s="592"/>
      <c r="BJ43" s="592"/>
      <c r="BK43" s="592"/>
      <c r="BL43" s="592"/>
      <c r="BM43" s="592"/>
      <c r="BN43" s="592"/>
      <c r="BO43" s="592"/>
      <c r="BP43" s="592"/>
      <c r="BQ43" s="592"/>
      <c r="BR43" s="592"/>
      <c r="BS43" s="592"/>
      <c r="BT43" s="592"/>
      <c r="BU43" s="592"/>
      <c r="BV43" s="592"/>
      <c r="BW43" s="592"/>
      <c r="BX43" s="592"/>
      <c r="BY43" s="592"/>
      <c r="BZ43" s="592"/>
      <c r="CA43" s="592"/>
      <c r="CB43" s="592"/>
      <c r="CC43" s="592"/>
      <c r="CD43" s="592"/>
      <c r="CE43" s="592"/>
      <c r="CF43" s="166"/>
    </row>
    <row r="44" spans="1:96" ht="4.7" customHeight="1" x14ac:dyDescent="0.15">
      <c r="A44" s="166"/>
      <c r="B44" s="166"/>
      <c r="C44" s="166"/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</row>
    <row r="45" spans="1:96" x14ac:dyDescent="0.15">
      <c r="A45" s="166"/>
      <c r="B45" s="166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</row>
    <row r="46" spans="1:96" x14ac:dyDescent="0.15">
      <c r="A46" s="166"/>
      <c r="B46" s="166"/>
      <c r="C46" s="166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N46" s="1" t="s">
        <v>1486</v>
      </c>
    </row>
    <row r="49" spans="92:96" x14ac:dyDescent="0.15">
      <c r="CR49" s="25"/>
    </row>
    <row r="51" spans="92:96" x14ac:dyDescent="0.15">
      <c r="CN51" t="s">
        <v>1502</v>
      </c>
    </row>
    <row r="137" spans="44:44" x14ac:dyDescent="0.15">
      <c r="AR137">
        <v>28</v>
      </c>
    </row>
  </sheetData>
  <mergeCells count="104">
    <mergeCell ref="K30:V31"/>
    <mergeCell ref="W30:AT31"/>
    <mergeCell ref="AN38:AT39"/>
    <mergeCell ref="W32:AT33"/>
    <mergeCell ref="BT26:BW27"/>
    <mergeCell ref="BT28:BW29"/>
    <mergeCell ref="BT30:BW31"/>
    <mergeCell ref="BT32:BW33"/>
    <mergeCell ref="BT34:BW35"/>
    <mergeCell ref="BJ32:BS33"/>
    <mergeCell ref="BT38:CE43"/>
    <mergeCell ref="BX26:CE27"/>
    <mergeCell ref="BX28:CE29"/>
    <mergeCell ref="BX30:CE31"/>
    <mergeCell ref="BX32:CE33"/>
    <mergeCell ref="BX34:CE35"/>
    <mergeCell ref="BX36:CE37"/>
    <mergeCell ref="AU30:AY31"/>
    <mergeCell ref="BJ30:BS31"/>
    <mergeCell ref="BT36:BW37"/>
    <mergeCell ref="AU36:AY37"/>
    <mergeCell ref="AU32:AY33"/>
    <mergeCell ref="AU34:AY35"/>
    <mergeCell ref="BJ34:BS35"/>
    <mergeCell ref="BJ36:BS37"/>
    <mergeCell ref="BH36:BI37"/>
    <mergeCell ref="K32:V33"/>
    <mergeCell ref="K34:V35"/>
    <mergeCell ref="K36:V37"/>
    <mergeCell ref="V38:AM39"/>
    <mergeCell ref="J38:N39"/>
    <mergeCell ref="BJ38:BS39"/>
    <mergeCell ref="O38:R39"/>
    <mergeCell ref="S38:U39"/>
    <mergeCell ref="AZ38:BI39"/>
    <mergeCell ref="AU38:AY39"/>
    <mergeCell ref="B38:D39"/>
    <mergeCell ref="B26:B27"/>
    <mergeCell ref="B28:B29"/>
    <mergeCell ref="B30:B31"/>
    <mergeCell ref="B32:B33"/>
    <mergeCell ref="B34:B35"/>
    <mergeCell ref="C32:J33"/>
    <mergeCell ref="C34:J35"/>
    <mergeCell ref="C36:J37"/>
    <mergeCell ref="C26:J27"/>
    <mergeCell ref="C28:J29"/>
    <mergeCell ref="C30:J31"/>
    <mergeCell ref="B36:B37"/>
    <mergeCell ref="E38:I39"/>
    <mergeCell ref="C25:J25"/>
    <mergeCell ref="K25:V25"/>
    <mergeCell ref="W25:AT25"/>
    <mergeCell ref="AR11:AZ12"/>
    <mergeCell ref="BT25:CE25"/>
    <mergeCell ref="AR20:AZ23"/>
    <mergeCell ref="BF16:CB18"/>
    <mergeCell ref="AU25:AY25"/>
    <mergeCell ref="AZ25:BI25"/>
    <mergeCell ref="BJ25:BS25"/>
    <mergeCell ref="BD20:CE21"/>
    <mergeCell ref="BD22:CE23"/>
    <mergeCell ref="C5:AE8"/>
    <mergeCell ref="AG6:AH8"/>
    <mergeCell ref="AR17:AZ19"/>
    <mergeCell ref="CP21:CP22"/>
    <mergeCell ref="CQ21:CQ22"/>
    <mergeCell ref="BA20:BB23"/>
    <mergeCell ref="BI5:BQ9"/>
    <mergeCell ref="BI10:BQ14"/>
    <mergeCell ref="BD5:BH9"/>
    <mergeCell ref="BD10:BH14"/>
    <mergeCell ref="CB5:CD7"/>
    <mergeCell ref="CB8:CD14"/>
    <mergeCell ref="BR5:CA8"/>
    <mergeCell ref="BR9:CA14"/>
    <mergeCell ref="B10:AO23"/>
    <mergeCell ref="AR13:AT16"/>
    <mergeCell ref="AU13:AW16"/>
    <mergeCell ref="AX13:AZ16"/>
    <mergeCell ref="AZ30:BG31"/>
    <mergeCell ref="AZ32:BG33"/>
    <mergeCell ref="AZ34:BG35"/>
    <mergeCell ref="AZ36:BG37"/>
    <mergeCell ref="F40:G43"/>
    <mergeCell ref="AU40:BB43"/>
    <mergeCell ref="BC40:BS43"/>
    <mergeCell ref="BH26:BI27"/>
    <mergeCell ref="BH28:BI29"/>
    <mergeCell ref="BH30:BI31"/>
    <mergeCell ref="BH32:BI33"/>
    <mergeCell ref="BH34:BI35"/>
    <mergeCell ref="K28:V29"/>
    <mergeCell ref="W28:AT29"/>
    <mergeCell ref="W26:AT27"/>
    <mergeCell ref="AU26:AY27"/>
    <mergeCell ref="AU28:AY29"/>
    <mergeCell ref="K26:V27"/>
    <mergeCell ref="AZ26:BG27"/>
    <mergeCell ref="AZ28:BG29"/>
    <mergeCell ref="BJ26:BS27"/>
    <mergeCell ref="BJ28:BS29"/>
    <mergeCell ref="W34:AT35"/>
    <mergeCell ref="W36:AT37"/>
  </mergeCells>
  <phoneticPr fontId="2"/>
  <pageMargins left="0.9055118110236221" right="2.3228346456692917" top="0" bottom="0.78740157480314965" header="0" footer="0.78740157480314965"/>
  <pageSetup paperSize="77" orientation="portrait" blackAndWhite="1" horizontalDpi="180" verticalDpi="180" r:id="rId1"/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autoPict="0" r:id="rId5">
            <anchor moveWithCells="1">
              <from>
                <xdr:col>97</xdr:col>
                <xdr:colOff>47625</xdr:colOff>
                <xdr:row>41</xdr:row>
                <xdr:rowOff>9525</xdr:rowOff>
              </from>
              <to>
                <xdr:col>98</xdr:col>
                <xdr:colOff>276225</xdr:colOff>
                <xdr:row>42</xdr:row>
                <xdr:rowOff>66675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7" r:id="rId6" name="CommandButton1">
          <controlPr defaultSize="0" autoLine="0" autoPict="0" r:id="rId7">
            <anchor moveWithCells="1">
              <from>
                <xdr:col>91</xdr:col>
                <xdr:colOff>0</xdr:colOff>
                <xdr:row>40</xdr:row>
                <xdr:rowOff>133350</xdr:rowOff>
              </from>
              <to>
                <xdr:col>92</xdr:col>
                <xdr:colOff>361950</xdr:colOff>
                <xdr:row>42</xdr:row>
                <xdr:rowOff>95250</xdr:rowOff>
              </to>
            </anchor>
          </controlPr>
        </control>
      </mc:Choice>
      <mc:Fallback>
        <control shapeId="45057" r:id="rId6" name="CommandButton1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autoPict="0" r:id="rId9">
            <anchor moveWithCells="1">
              <from>
                <xdr:col>91</xdr:col>
                <xdr:colOff>9525</xdr:colOff>
                <xdr:row>47</xdr:row>
                <xdr:rowOff>76200</xdr:rowOff>
              </from>
              <to>
                <xdr:col>92</xdr:col>
                <xdr:colOff>333375</xdr:colOff>
                <xdr:row>49</xdr:row>
                <xdr:rowOff>47625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J34"/>
  <sheetViews>
    <sheetView zoomScale="120" zoomScaleNormal="120" workbookViewId="0">
      <selection activeCell="M25" sqref="M25"/>
    </sheetView>
  </sheetViews>
  <sheetFormatPr defaultRowHeight="13.5" x14ac:dyDescent="0.15"/>
  <cols>
    <col min="1" max="1" width="2.625" customWidth="1"/>
    <col min="2" max="2" width="9" customWidth="1"/>
    <col min="3" max="3" width="10.625" customWidth="1"/>
    <col min="4" max="4" width="4.75" customWidth="1"/>
    <col min="6" max="6" width="6.125" customWidth="1"/>
    <col min="7" max="7" width="10.875" customWidth="1"/>
    <col min="8" max="8" width="2.125" customWidth="1"/>
    <col min="9" max="9" width="3" customWidth="1"/>
  </cols>
  <sheetData>
    <row r="2" spans="2:10" x14ac:dyDescent="0.15">
      <c r="B2" t="s">
        <v>6</v>
      </c>
      <c r="F2" t="s">
        <v>4410</v>
      </c>
    </row>
    <row r="3" spans="2:10" ht="14.25" thickBot="1" x14ac:dyDescent="0.2">
      <c r="J3" t="s">
        <v>4411</v>
      </c>
    </row>
    <row r="4" spans="2:10" x14ac:dyDescent="0.15">
      <c r="B4" s="19" t="s">
        <v>258</v>
      </c>
      <c r="C4" s="20" t="s">
        <v>259</v>
      </c>
      <c r="F4" s="408" t="s">
        <v>4355</v>
      </c>
      <c r="G4" s="409" t="s">
        <v>4356</v>
      </c>
    </row>
    <row r="5" spans="2:10" x14ac:dyDescent="0.15">
      <c r="B5" s="21" t="s">
        <v>260</v>
      </c>
      <c r="C5" s="22" t="s">
        <v>275</v>
      </c>
      <c r="D5" s="379"/>
      <c r="F5" s="87" t="s">
        <v>4357</v>
      </c>
      <c r="G5" s="410" t="s">
        <v>4358</v>
      </c>
      <c r="I5" s="418" t="s">
        <v>4401</v>
      </c>
    </row>
    <row r="6" spans="2:10" x14ac:dyDescent="0.15">
      <c r="B6" s="21" t="s">
        <v>261</v>
      </c>
      <c r="C6" s="22" t="s">
        <v>276</v>
      </c>
      <c r="D6" s="379"/>
      <c r="F6" s="87" t="s">
        <v>4359</v>
      </c>
      <c r="G6" s="410" t="s">
        <v>4360</v>
      </c>
      <c r="I6" s="418" t="s">
        <v>4401</v>
      </c>
    </row>
    <row r="7" spans="2:10" x14ac:dyDescent="0.15">
      <c r="B7" s="21" t="s">
        <v>262</v>
      </c>
      <c r="C7" s="22" t="s">
        <v>277</v>
      </c>
      <c r="D7" s="379"/>
      <c r="F7" s="87" t="s">
        <v>4361</v>
      </c>
      <c r="G7" s="410" t="s">
        <v>4362</v>
      </c>
      <c r="I7" s="418" t="s">
        <v>4401</v>
      </c>
    </row>
    <row r="8" spans="2:10" x14ac:dyDescent="0.15">
      <c r="B8" s="21" t="s">
        <v>263</v>
      </c>
      <c r="C8" s="22" t="s">
        <v>278</v>
      </c>
      <c r="D8" s="379"/>
      <c r="F8" s="87" t="s">
        <v>4363</v>
      </c>
      <c r="G8" s="410" t="s">
        <v>4364</v>
      </c>
      <c r="I8" s="418" t="s">
        <v>4401</v>
      </c>
    </row>
    <row r="9" spans="2:10" x14ac:dyDescent="0.15">
      <c r="B9" s="21" t="s">
        <v>264</v>
      </c>
      <c r="C9" s="22" t="s">
        <v>279</v>
      </c>
      <c r="D9" s="379"/>
      <c r="F9" s="87" t="s">
        <v>4385</v>
      </c>
      <c r="G9" s="410" t="s">
        <v>4386</v>
      </c>
      <c r="I9" s="418" t="s">
        <v>4401</v>
      </c>
    </row>
    <row r="10" spans="2:10" x14ac:dyDescent="0.15">
      <c r="B10" s="21" t="s">
        <v>265</v>
      </c>
      <c r="C10" s="22" t="s">
        <v>280</v>
      </c>
      <c r="D10" s="379"/>
      <c r="F10" s="87" t="s">
        <v>4387</v>
      </c>
      <c r="G10" s="410" t="s">
        <v>4388</v>
      </c>
      <c r="I10" s="418" t="s">
        <v>4401</v>
      </c>
    </row>
    <row r="11" spans="2:10" x14ac:dyDescent="0.15">
      <c r="B11" s="21" t="s">
        <v>266</v>
      </c>
      <c r="C11" s="22" t="s">
        <v>281</v>
      </c>
      <c r="D11" s="379"/>
      <c r="F11" s="87" t="s">
        <v>4389</v>
      </c>
      <c r="G11" s="410" t="s">
        <v>4390</v>
      </c>
      <c r="I11" s="418" t="s">
        <v>4402</v>
      </c>
    </row>
    <row r="12" spans="2:10" x14ac:dyDescent="0.15">
      <c r="B12" s="21" t="s">
        <v>267</v>
      </c>
      <c r="C12" s="22" t="s">
        <v>282</v>
      </c>
      <c r="D12" s="379"/>
      <c r="F12" s="87" t="s">
        <v>4391</v>
      </c>
      <c r="G12" s="410" t="s">
        <v>4392</v>
      </c>
      <c r="I12" s="418" t="s">
        <v>4402</v>
      </c>
    </row>
    <row r="13" spans="2:10" ht="14.25" thickBot="1" x14ac:dyDescent="0.2">
      <c r="B13" s="21" t="s">
        <v>268</v>
      </c>
      <c r="C13" s="22" t="s">
        <v>283</v>
      </c>
      <c r="D13" s="379"/>
      <c r="F13" s="412" t="s">
        <v>4393</v>
      </c>
      <c r="G13" s="413" t="s">
        <v>4394</v>
      </c>
      <c r="I13" s="418" t="s">
        <v>4403</v>
      </c>
    </row>
    <row r="14" spans="2:10" x14ac:dyDescent="0.15">
      <c r="B14" s="21" t="s">
        <v>269</v>
      </c>
      <c r="C14" s="22" t="s">
        <v>284</v>
      </c>
      <c r="D14" s="379"/>
      <c r="F14" s="450" t="s">
        <v>4365</v>
      </c>
      <c r="G14" s="451" t="s">
        <v>279</v>
      </c>
    </row>
    <row r="15" spans="2:10" x14ac:dyDescent="0.15">
      <c r="B15" s="21" t="s">
        <v>270</v>
      </c>
      <c r="C15" s="22" t="s">
        <v>285</v>
      </c>
      <c r="D15" s="379"/>
      <c r="F15" s="87" t="s">
        <v>4366</v>
      </c>
      <c r="G15" s="410" t="s">
        <v>280</v>
      </c>
    </row>
    <row r="16" spans="2:10" x14ac:dyDescent="0.15">
      <c r="B16" s="21" t="s">
        <v>271</v>
      </c>
      <c r="C16" s="22" t="s">
        <v>286</v>
      </c>
      <c r="D16" s="379"/>
      <c r="F16" s="87" t="s">
        <v>4367</v>
      </c>
      <c r="G16" s="410" t="s">
        <v>281</v>
      </c>
    </row>
    <row r="17" spans="2:7" x14ac:dyDescent="0.15">
      <c r="B17" s="21" t="s">
        <v>272</v>
      </c>
      <c r="C17" s="22" t="s">
        <v>287</v>
      </c>
      <c r="D17" s="379"/>
      <c r="F17" s="87" t="s">
        <v>4368</v>
      </c>
      <c r="G17" s="410" t="s">
        <v>282</v>
      </c>
    </row>
    <row r="18" spans="2:7" x14ac:dyDescent="0.15">
      <c r="B18" s="21" t="s">
        <v>273</v>
      </c>
      <c r="C18" s="22" t="s">
        <v>288</v>
      </c>
      <c r="D18" s="379"/>
      <c r="F18" s="87" t="s">
        <v>4369</v>
      </c>
      <c r="G18" s="410" t="s">
        <v>283</v>
      </c>
    </row>
    <row r="19" spans="2:7" x14ac:dyDescent="0.15">
      <c r="B19" s="21" t="s">
        <v>274</v>
      </c>
      <c r="C19" s="22" t="s">
        <v>289</v>
      </c>
      <c r="D19" s="379"/>
      <c r="F19" s="87" t="s">
        <v>4370</v>
      </c>
      <c r="G19" s="410" t="s">
        <v>284</v>
      </c>
    </row>
    <row r="20" spans="2:7" x14ac:dyDescent="0.15">
      <c r="B20" s="21" t="s">
        <v>292</v>
      </c>
      <c r="C20" s="22" t="s">
        <v>290</v>
      </c>
      <c r="D20" s="379"/>
      <c r="F20" s="87" t="s">
        <v>4371</v>
      </c>
      <c r="G20" s="410" t="s">
        <v>4372</v>
      </c>
    </row>
    <row r="21" spans="2:7" x14ac:dyDescent="0.15">
      <c r="B21" s="21" t="s">
        <v>293</v>
      </c>
      <c r="C21" s="22" t="s">
        <v>291</v>
      </c>
      <c r="D21" s="379"/>
      <c r="F21" s="87" t="s">
        <v>4373</v>
      </c>
      <c r="G21" s="410" t="s">
        <v>4374</v>
      </c>
    </row>
    <row r="22" spans="2:7" x14ac:dyDescent="0.15">
      <c r="B22" s="21" t="s">
        <v>294</v>
      </c>
      <c r="C22" s="22" t="s">
        <v>303</v>
      </c>
      <c r="D22" s="379"/>
      <c r="F22" s="87" t="s">
        <v>4375</v>
      </c>
      <c r="G22" s="410" t="s">
        <v>4376</v>
      </c>
    </row>
    <row r="23" spans="2:7" x14ac:dyDescent="0.15">
      <c r="B23" s="21" t="s">
        <v>295</v>
      </c>
      <c r="C23" s="22" t="s">
        <v>304</v>
      </c>
      <c r="D23" s="379"/>
      <c r="F23" s="87" t="s">
        <v>4377</v>
      </c>
      <c r="G23" s="410" t="s">
        <v>4378</v>
      </c>
    </row>
    <row r="24" spans="2:7" x14ac:dyDescent="0.15">
      <c r="B24" s="21" t="s">
        <v>296</v>
      </c>
      <c r="C24" s="22" t="s">
        <v>305</v>
      </c>
      <c r="D24" s="379"/>
      <c r="F24" s="87" t="s">
        <v>4379</v>
      </c>
      <c r="G24" s="410" t="s">
        <v>4380</v>
      </c>
    </row>
    <row r="25" spans="2:7" x14ac:dyDescent="0.15">
      <c r="B25" s="21" t="s">
        <v>297</v>
      </c>
      <c r="C25" s="22" t="s">
        <v>306</v>
      </c>
      <c r="D25" s="379"/>
      <c r="F25" s="87" t="s">
        <v>4381</v>
      </c>
      <c r="G25" s="410" t="s">
        <v>4382</v>
      </c>
    </row>
    <row r="26" spans="2:7" x14ac:dyDescent="0.15">
      <c r="B26" s="21" t="s">
        <v>298</v>
      </c>
      <c r="C26" s="22" t="s">
        <v>307</v>
      </c>
      <c r="D26" s="379"/>
      <c r="F26" s="87" t="s">
        <v>4383</v>
      </c>
      <c r="G26" s="410" t="s">
        <v>4384</v>
      </c>
    </row>
    <row r="27" spans="2:7" x14ac:dyDescent="0.15">
      <c r="B27" s="21" t="s">
        <v>299</v>
      </c>
      <c r="C27" s="22" t="s">
        <v>309</v>
      </c>
      <c r="D27" s="379"/>
      <c r="F27" s="87" t="s">
        <v>4395</v>
      </c>
      <c r="G27" s="411" t="s">
        <v>4396</v>
      </c>
    </row>
    <row r="28" spans="2:7" ht="14.25" thickBot="1" x14ac:dyDescent="0.2">
      <c r="B28" s="21" t="s">
        <v>300</v>
      </c>
      <c r="C28" s="22" t="s">
        <v>1103</v>
      </c>
      <c r="D28" s="379"/>
      <c r="F28" s="412" t="s">
        <v>4397</v>
      </c>
      <c r="G28" s="413" t="s">
        <v>4398</v>
      </c>
    </row>
    <row r="29" spans="2:7" x14ac:dyDescent="0.15">
      <c r="B29" s="21" t="s">
        <v>1176</v>
      </c>
      <c r="C29" s="22" t="s">
        <v>1177</v>
      </c>
      <c r="D29" s="379"/>
    </row>
    <row r="30" spans="2:7" x14ac:dyDescent="0.15">
      <c r="B30" s="21" t="s">
        <v>1178</v>
      </c>
      <c r="C30" s="22" t="s">
        <v>1179</v>
      </c>
      <c r="D30" s="379"/>
    </row>
    <row r="31" spans="2:7" x14ac:dyDescent="0.15">
      <c r="B31" s="21" t="s">
        <v>301</v>
      </c>
      <c r="C31" s="22" t="s">
        <v>1196</v>
      </c>
      <c r="D31" s="379"/>
    </row>
    <row r="32" spans="2:7" x14ac:dyDescent="0.15">
      <c r="B32" s="21" t="s">
        <v>302</v>
      </c>
      <c r="C32" s="22" t="s">
        <v>1225</v>
      </c>
      <c r="D32" s="379"/>
    </row>
    <row r="33" spans="2:4" x14ac:dyDescent="0.15">
      <c r="B33" s="21" t="s">
        <v>310</v>
      </c>
      <c r="C33" s="228" t="s">
        <v>1519</v>
      </c>
      <c r="D33" s="379"/>
    </row>
    <row r="34" spans="2:4" ht="14.25" thickBot="1" x14ac:dyDescent="0.2">
      <c r="B34" s="23" t="s">
        <v>311</v>
      </c>
      <c r="C34" s="24" t="s">
        <v>2446</v>
      </c>
      <c r="D34" s="379"/>
    </row>
  </sheetData>
  <phoneticPr fontId="2"/>
  <pageMargins left="0.75" right="0.75" top="1" bottom="1" header="0.51200000000000001" footer="0.51200000000000001"/>
  <pageSetup paperSize="9" orientation="portrait" horizontalDpi="180" verticalDpi="18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C1:CAI112"/>
  <sheetViews>
    <sheetView topLeftCell="A43" workbookViewId="0">
      <selection activeCell="BI91" sqref="BI91"/>
    </sheetView>
  </sheetViews>
  <sheetFormatPr defaultRowHeight="13.5" x14ac:dyDescent="0.15"/>
  <cols>
    <col min="1" max="2" width="0.375" customWidth="1"/>
    <col min="3" max="3" width="0.375" style="25" customWidth="1"/>
    <col min="4" max="23" width="0.375" customWidth="1"/>
    <col min="24" max="24" width="8.25" customWidth="1"/>
    <col min="25" max="25" width="10.375" customWidth="1"/>
    <col min="26" max="26" width="0.875" customWidth="1"/>
    <col min="27" max="27" width="34.625" customWidth="1"/>
    <col min="28" max="30" width="10.875" customWidth="1"/>
    <col min="31" max="31" width="10.875" style="2" customWidth="1"/>
    <col min="32" max="36" width="10.875" customWidth="1"/>
    <col min="37" max="37" width="10.875" style="2" customWidth="1"/>
    <col min="38" max="39" width="10.875" customWidth="1"/>
    <col min="40" max="40" width="11" customWidth="1"/>
    <col min="41" max="41" width="10.125" customWidth="1"/>
    <col min="42" max="42" width="9.875" customWidth="1"/>
    <col min="43" max="43" width="22.125" customWidth="1"/>
    <col min="45" max="45" width="10.875" customWidth="1"/>
    <col min="46" max="57" width="8.875" style="2" customWidth="1"/>
    <col min="58" max="58" width="10.625" style="2" customWidth="1"/>
    <col min="59" max="59" width="11.75" customWidth="1"/>
  </cols>
  <sheetData>
    <row r="1" spans="3:59" ht="14.25" thickBot="1" x14ac:dyDescent="0.2">
      <c r="Y1" s="452">
        <v>7000000</v>
      </c>
      <c r="AA1" s="165" t="s">
        <v>3771</v>
      </c>
      <c r="AB1" s="164">
        <f>AB2/$Y$1</f>
        <v>0.70449442857142852</v>
      </c>
      <c r="AC1" s="164">
        <f t="shared" ref="AC1:AM1" si="0">AC2/$Y$1</f>
        <v>0.69241128571428567</v>
      </c>
      <c r="AD1" s="164">
        <f t="shared" si="0"/>
        <v>0.96743857142857148</v>
      </c>
      <c r="AE1" s="164">
        <f t="shared" si="0"/>
        <v>0.65064385714285711</v>
      </c>
      <c r="AF1" s="164">
        <f t="shared" si="0"/>
        <v>0.6947457142857143</v>
      </c>
      <c r="AG1" s="164">
        <f t="shared" si="0"/>
        <v>1.3340542857142856</v>
      </c>
      <c r="AH1" s="455">
        <f t="shared" si="0"/>
        <v>0.99265971428571431</v>
      </c>
      <c r="AI1" s="455">
        <f t="shared" si="0"/>
        <v>0.61502757142857145</v>
      </c>
      <c r="AJ1" s="164">
        <f t="shared" si="0"/>
        <v>1.0921665714285713</v>
      </c>
      <c r="AK1" s="164">
        <f t="shared" si="0"/>
        <v>0.83156471428571432</v>
      </c>
      <c r="AL1" s="164">
        <f t="shared" si="0"/>
        <v>1.0404898571428571</v>
      </c>
      <c r="AM1" s="164">
        <f t="shared" si="0"/>
        <v>1.0021628571428571</v>
      </c>
      <c r="AN1" s="164">
        <f>AN2/86400000</f>
        <v>0.86010493055555559</v>
      </c>
      <c r="AO1" s="164">
        <f>AO2/7000000</f>
        <v>0.88467935714285717</v>
      </c>
    </row>
    <row r="2" spans="3:59" ht="19.149999999999999" customHeight="1" thickBot="1" x14ac:dyDescent="0.2">
      <c r="C2" s="52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AA2" s="305" t="s">
        <v>323</v>
      </c>
      <c r="AB2" s="306">
        <v>4931461</v>
      </c>
      <c r="AC2" s="306">
        <v>4846879</v>
      </c>
      <c r="AD2" s="306">
        <v>6772070</v>
      </c>
      <c r="AE2" s="306">
        <v>4554507</v>
      </c>
      <c r="AF2" s="306">
        <v>4863220</v>
      </c>
      <c r="AG2" s="306">
        <v>9338380</v>
      </c>
      <c r="AH2" s="306">
        <v>6948618</v>
      </c>
      <c r="AI2" s="306">
        <v>4305193</v>
      </c>
      <c r="AJ2" s="306">
        <v>7645166</v>
      </c>
      <c r="AK2" s="306">
        <v>5820953</v>
      </c>
      <c r="AL2" s="306">
        <v>7283429</v>
      </c>
      <c r="AM2" s="306">
        <v>7015140</v>
      </c>
      <c r="AN2" s="306">
        <v>74313066</v>
      </c>
      <c r="AO2" s="307">
        <f>$AN$2/12</f>
        <v>6192755.5</v>
      </c>
      <c r="AS2" s="77" t="s">
        <v>1171</v>
      </c>
      <c r="AT2" s="78">
        <f>SUM(AT5:AT343)</f>
        <v>4990846</v>
      </c>
      <c r="AU2" s="78">
        <f t="shared" ref="AU2:BF2" si="1">SUM(AU5:AU343)</f>
        <v>4929710</v>
      </c>
      <c r="AV2" s="78">
        <f t="shared" si="1"/>
        <v>6796135</v>
      </c>
      <c r="AW2" s="78">
        <f t="shared" si="1"/>
        <v>4588565</v>
      </c>
      <c r="AX2" s="78">
        <f t="shared" si="1"/>
        <v>4837690</v>
      </c>
      <c r="AY2" s="78">
        <f t="shared" si="1"/>
        <v>9352587</v>
      </c>
      <c r="AZ2" s="78">
        <f t="shared" si="1"/>
        <v>6989823</v>
      </c>
      <c r="BA2" s="78">
        <f t="shared" si="1"/>
        <v>4353257</v>
      </c>
      <c r="BB2" s="78">
        <f t="shared" si="1"/>
        <v>7643943</v>
      </c>
      <c r="BC2" s="78">
        <f t="shared" si="1"/>
        <v>5821056</v>
      </c>
      <c r="BD2" s="78">
        <f t="shared" si="1"/>
        <v>6224668</v>
      </c>
      <c r="BE2" s="78">
        <f t="shared" si="1"/>
        <v>6269059</v>
      </c>
      <c r="BF2" s="78">
        <f t="shared" si="1"/>
        <v>72797328</v>
      </c>
    </row>
    <row r="3" spans="3:59" ht="14.25" thickBot="1" x14ac:dyDescent="0.2"/>
    <row r="4" spans="3:59" x14ac:dyDescent="0.15">
      <c r="C4"/>
      <c r="AA4" s="26" t="s">
        <v>1</v>
      </c>
      <c r="AB4" s="74" t="s">
        <v>766</v>
      </c>
      <c r="AC4" s="74" t="s">
        <v>316</v>
      </c>
      <c r="AD4" s="74" t="s">
        <v>317</v>
      </c>
      <c r="AE4" s="74" t="s">
        <v>318</v>
      </c>
      <c r="AF4" s="74" t="s">
        <v>319</v>
      </c>
      <c r="AG4" s="74" t="s">
        <v>320</v>
      </c>
      <c r="AH4" s="74" t="s">
        <v>321</v>
      </c>
      <c r="AI4" s="74" t="s">
        <v>337</v>
      </c>
      <c r="AJ4" s="74" t="s">
        <v>338</v>
      </c>
      <c r="AK4" s="65" t="s">
        <v>313</v>
      </c>
      <c r="AL4" s="74" t="s">
        <v>314</v>
      </c>
      <c r="AM4" s="74" t="s">
        <v>315</v>
      </c>
      <c r="AN4" s="65" t="s">
        <v>324</v>
      </c>
      <c r="AO4" s="230" t="s">
        <v>1234</v>
      </c>
      <c r="AP4" s="158" t="s">
        <v>1529</v>
      </c>
      <c r="AS4" s="79" t="s">
        <v>1151</v>
      </c>
      <c r="AT4" s="80" t="s">
        <v>1152</v>
      </c>
      <c r="AU4" s="80" t="s">
        <v>316</v>
      </c>
      <c r="AV4" s="80" t="s">
        <v>317</v>
      </c>
      <c r="AW4" s="80" t="s">
        <v>318</v>
      </c>
      <c r="AX4" s="80" t="s">
        <v>319</v>
      </c>
      <c r="AY4" s="80" t="s">
        <v>320</v>
      </c>
      <c r="AZ4" s="80" t="s">
        <v>321</v>
      </c>
      <c r="BA4" s="80" t="s">
        <v>337</v>
      </c>
      <c r="BB4" s="80" t="s">
        <v>338</v>
      </c>
      <c r="BC4" s="80" t="s">
        <v>313</v>
      </c>
      <c r="BD4" s="80" t="s">
        <v>314</v>
      </c>
      <c r="BE4" s="80" t="s">
        <v>315</v>
      </c>
      <c r="BF4" s="80" t="s">
        <v>1170</v>
      </c>
      <c r="BG4" s="156" t="s">
        <v>1232</v>
      </c>
    </row>
    <row r="5" spans="3:59" x14ac:dyDescent="0.15">
      <c r="C5"/>
      <c r="AA5" s="61" t="s">
        <v>55</v>
      </c>
      <c r="AB5" s="184">
        <v>1476800</v>
      </c>
      <c r="AC5" s="184">
        <v>1314454</v>
      </c>
      <c r="AD5" s="184">
        <v>544400</v>
      </c>
      <c r="AE5" s="184">
        <v>1058400</v>
      </c>
      <c r="AF5" s="184">
        <v>550550</v>
      </c>
      <c r="AG5" s="184">
        <v>1231160</v>
      </c>
      <c r="AH5" s="184">
        <v>1255400</v>
      </c>
      <c r="AI5" s="184">
        <v>0</v>
      </c>
      <c r="AJ5" s="184">
        <v>1026000</v>
      </c>
      <c r="AK5" s="184">
        <v>1092893</v>
      </c>
      <c r="AL5" s="184">
        <v>2945440</v>
      </c>
      <c r="AM5" s="184">
        <v>1263290</v>
      </c>
      <c r="AN5" s="184">
        <f t="shared" ref="AN5:AN36" si="2">SUM(AB5:AM5)</f>
        <v>13758787</v>
      </c>
      <c r="AO5" s="231">
        <f t="shared" ref="AO5:AO36" si="3">AN5/$AN$2</f>
        <v>0.18514627024001404</v>
      </c>
      <c r="AP5" s="50">
        <f>AN5/12</f>
        <v>1146565.5833333333</v>
      </c>
      <c r="AS5" s="155" t="s">
        <v>1403</v>
      </c>
      <c r="AT5" s="89">
        <v>156000</v>
      </c>
      <c r="AU5" s="89">
        <v>297000</v>
      </c>
      <c r="AV5" s="89">
        <v>621600</v>
      </c>
      <c r="AW5" s="89">
        <v>0</v>
      </c>
      <c r="AX5" s="89">
        <v>0</v>
      </c>
      <c r="AY5" s="89">
        <v>1261250</v>
      </c>
      <c r="AZ5" s="89">
        <v>836000</v>
      </c>
      <c r="BA5" s="89">
        <v>521000</v>
      </c>
      <c r="BB5" s="89">
        <v>741000</v>
      </c>
      <c r="BC5" s="89">
        <v>174000</v>
      </c>
      <c r="BD5" s="89">
        <v>441600</v>
      </c>
      <c r="BE5" s="89">
        <v>695000</v>
      </c>
      <c r="BF5" s="82">
        <f>SUM(AT5:BE5)</f>
        <v>5744450</v>
      </c>
      <c r="BG5" s="454">
        <f>BF5/$BF$2</f>
        <v>7.8910176483400596E-2</v>
      </c>
    </row>
    <row r="6" spans="3:59" x14ac:dyDescent="0.15">
      <c r="C6"/>
      <c r="AA6" s="21" t="s">
        <v>57</v>
      </c>
      <c r="AB6" s="184">
        <v>0</v>
      </c>
      <c r="AC6" s="184">
        <v>22100</v>
      </c>
      <c r="AD6" s="184">
        <v>0</v>
      </c>
      <c r="AE6" s="184">
        <v>0</v>
      </c>
      <c r="AF6" s="184">
        <v>0</v>
      </c>
      <c r="AG6" s="184">
        <v>409450</v>
      </c>
      <c r="AH6" s="184">
        <v>578550</v>
      </c>
      <c r="AI6" s="184">
        <v>0</v>
      </c>
      <c r="AJ6" s="184">
        <v>0</v>
      </c>
      <c r="AK6" s="184">
        <v>186000</v>
      </c>
      <c r="AL6" s="184">
        <v>1404</v>
      </c>
      <c r="AM6" s="184">
        <v>16000</v>
      </c>
      <c r="AN6" s="184">
        <f t="shared" si="2"/>
        <v>1213504</v>
      </c>
      <c r="AO6" s="231">
        <f t="shared" si="3"/>
        <v>1.6329618266591236E-2</v>
      </c>
      <c r="AP6" s="50">
        <f t="shared" ref="AP6:AP69" si="4">AN6/12</f>
        <v>101125.33333333333</v>
      </c>
      <c r="AS6" s="81" t="s">
        <v>1153</v>
      </c>
      <c r="AT6" s="89">
        <v>155000</v>
      </c>
      <c r="AU6" s="89">
        <v>305250</v>
      </c>
      <c r="AV6" s="89">
        <v>148500</v>
      </c>
      <c r="AW6" s="89">
        <v>148500</v>
      </c>
      <c r="AX6" s="89">
        <v>148500</v>
      </c>
      <c r="AY6" s="89">
        <v>390000</v>
      </c>
      <c r="AZ6" s="89">
        <v>358500</v>
      </c>
      <c r="BA6" s="89">
        <v>223000</v>
      </c>
      <c r="BB6" s="89">
        <v>434500</v>
      </c>
      <c r="BC6" s="89">
        <v>310000</v>
      </c>
      <c r="BD6" s="89">
        <v>703300</v>
      </c>
      <c r="BE6" s="89">
        <v>148500</v>
      </c>
      <c r="BF6" s="82">
        <f t="shared" ref="BF6:BF34" si="5">SUM(AT6:BE6)</f>
        <v>3473550</v>
      </c>
      <c r="BG6" s="454">
        <f t="shared" ref="BG6:BG34" si="6">BF6/$BF$2</f>
        <v>4.7715350211755027E-2</v>
      </c>
    </row>
    <row r="7" spans="3:59" x14ac:dyDescent="0.15">
      <c r="C7"/>
      <c r="AA7" s="67" t="s">
        <v>59</v>
      </c>
      <c r="AB7" s="184">
        <v>0</v>
      </c>
      <c r="AC7" s="184">
        <v>0</v>
      </c>
      <c r="AD7" s="184">
        <v>0</v>
      </c>
      <c r="AE7" s="184">
        <v>0</v>
      </c>
      <c r="AF7" s="184">
        <v>0</v>
      </c>
      <c r="AG7" s="184">
        <v>0</v>
      </c>
      <c r="AH7" s="184">
        <v>0</v>
      </c>
      <c r="AI7" s="184">
        <v>0</v>
      </c>
      <c r="AJ7" s="184">
        <v>0</v>
      </c>
      <c r="AK7" s="184">
        <v>0</v>
      </c>
      <c r="AL7" s="184">
        <v>0</v>
      </c>
      <c r="AM7" s="184">
        <v>0</v>
      </c>
      <c r="AN7" s="184">
        <f t="shared" si="2"/>
        <v>0</v>
      </c>
      <c r="AO7" s="231">
        <f t="shared" si="3"/>
        <v>0</v>
      </c>
      <c r="AP7" s="50">
        <f t="shared" si="4"/>
        <v>0</v>
      </c>
      <c r="AS7" s="81" t="s">
        <v>365</v>
      </c>
      <c r="AT7" s="89">
        <v>957000</v>
      </c>
      <c r="AU7" s="89">
        <v>743000</v>
      </c>
      <c r="AV7" s="89">
        <v>3255200</v>
      </c>
      <c r="AW7" s="89">
        <v>162500</v>
      </c>
      <c r="AX7" s="89">
        <v>1946500</v>
      </c>
      <c r="AY7" s="89">
        <v>1065000</v>
      </c>
      <c r="AZ7" s="89">
        <v>1969550</v>
      </c>
      <c r="BA7" s="89">
        <v>1754200</v>
      </c>
      <c r="BB7" s="89">
        <v>1717500</v>
      </c>
      <c r="BC7" s="89">
        <v>1458750</v>
      </c>
      <c r="BD7" s="89">
        <v>1394300</v>
      </c>
      <c r="BE7" s="89">
        <v>318000</v>
      </c>
      <c r="BF7" s="82">
        <f t="shared" si="5"/>
        <v>16741500</v>
      </c>
      <c r="BG7" s="454">
        <f t="shared" si="6"/>
        <v>0.22997410014829114</v>
      </c>
    </row>
    <row r="8" spans="3:59" x14ac:dyDescent="0.15">
      <c r="C8"/>
      <c r="AA8" s="68" t="s">
        <v>194</v>
      </c>
      <c r="AB8" s="184">
        <v>2359000</v>
      </c>
      <c r="AC8" s="184">
        <v>175000</v>
      </c>
      <c r="AD8" s="184">
        <v>4885850</v>
      </c>
      <c r="AE8" s="184">
        <v>1794323</v>
      </c>
      <c r="AF8" s="184">
        <v>400250</v>
      </c>
      <c r="AG8" s="184">
        <v>3149650</v>
      </c>
      <c r="AH8" s="184">
        <v>2075975</v>
      </c>
      <c r="AI8" s="184">
        <v>331000</v>
      </c>
      <c r="AJ8" s="184">
        <v>3045566</v>
      </c>
      <c r="AK8" s="184">
        <v>2025050</v>
      </c>
      <c r="AL8" s="184">
        <v>1095600</v>
      </c>
      <c r="AM8" s="184">
        <v>2387600</v>
      </c>
      <c r="AN8" s="184">
        <f t="shared" si="2"/>
        <v>23724864</v>
      </c>
      <c r="AO8" s="231">
        <f t="shared" si="3"/>
        <v>0.31925562053919293</v>
      </c>
      <c r="AP8" s="50">
        <f t="shared" si="4"/>
        <v>1977072</v>
      </c>
      <c r="AS8" s="81" t="s">
        <v>1154</v>
      </c>
      <c r="AT8" s="89">
        <v>0</v>
      </c>
      <c r="AU8" s="89">
        <v>-250000</v>
      </c>
      <c r="AV8" s="89">
        <v>0</v>
      </c>
      <c r="AW8" s="89">
        <v>0</v>
      </c>
      <c r="AX8" s="89">
        <v>0</v>
      </c>
      <c r="AY8" s="89">
        <v>0</v>
      </c>
      <c r="AZ8" s="89">
        <v>-250000</v>
      </c>
      <c r="BA8" s="89">
        <v>0</v>
      </c>
      <c r="BB8" s="89">
        <v>0</v>
      </c>
      <c r="BC8" s="89">
        <v>0</v>
      </c>
      <c r="BD8" s="89">
        <v>0</v>
      </c>
      <c r="BE8" s="89">
        <v>0</v>
      </c>
      <c r="BF8" s="82">
        <f t="shared" si="5"/>
        <v>-500000</v>
      </c>
      <c r="BG8" s="454">
        <f t="shared" si="6"/>
        <v>-6.8683839604662409E-3</v>
      </c>
    </row>
    <row r="9" spans="3:59" x14ac:dyDescent="0.15">
      <c r="C9"/>
      <c r="AA9" s="73" t="s">
        <v>62</v>
      </c>
      <c r="AB9" s="369">
        <v>0</v>
      </c>
      <c r="AC9" s="369">
        <v>0</v>
      </c>
      <c r="AD9" s="369">
        <v>0</v>
      </c>
      <c r="AE9" s="369">
        <v>0</v>
      </c>
      <c r="AF9" s="369">
        <v>0</v>
      </c>
      <c r="AG9" s="369">
        <v>0</v>
      </c>
      <c r="AH9" s="369">
        <v>0</v>
      </c>
      <c r="AI9" s="369">
        <v>0</v>
      </c>
      <c r="AJ9" s="369">
        <v>0</v>
      </c>
      <c r="AK9" s="369">
        <v>0</v>
      </c>
      <c r="AL9" s="369">
        <v>0</v>
      </c>
      <c r="AM9" s="369">
        <v>0</v>
      </c>
      <c r="AN9" s="369">
        <f t="shared" si="2"/>
        <v>0</v>
      </c>
      <c r="AO9" s="232">
        <f t="shared" si="3"/>
        <v>0</v>
      </c>
      <c r="AP9" s="233">
        <f t="shared" si="4"/>
        <v>0</v>
      </c>
      <c r="AS9" s="81" t="s">
        <v>538</v>
      </c>
      <c r="AT9" s="89">
        <v>384000</v>
      </c>
      <c r="AU9" s="89">
        <v>764000</v>
      </c>
      <c r="AV9" s="89">
        <v>432000</v>
      </c>
      <c r="AW9" s="89">
        <v>764776</v>
      </c>
      <c r="AX9" s="89">
        <v>383900</v>
      </c>
      <c r="AY9" s="89">
        <v>0</v>
      </c>
      <c r="AZ9" s="89">
        <v>216000</v>
      </c>
      <c r="BA9" s="89">
        <v>176000</v>
      </c>
      <c r="BB9" s="89">
        <v>196900</v>
      </c>
      <c r="BC9" s="89">
        <v>0</v>
      </c>
      <c r="BD9" s="89">
        <v>1009000</v>
      </c>
      <c r="BE9" s="89">
        <v>620550</v>
      </c>
      <c r="BF9" s="82">
        <f t="shared" si="5"/>
        <v>4947126</v>
      </c>
      <c r="BG9" s="454">
        <f t="shared" si="6"/>
        <v>6.7957521737611035E-2</v>
      </c>
    </row>
    <row r="10" spans="3:59" x14ac:dyDescent="0.15">
      <c r="C10"/>
      <c r="AA10" s="21" t="s">
        <v>64</v>
      </c>
      <c r="AB10" s="184">
        <v>479500</v>
      </c>
      <c r="AC10" s="184">
        <v>2365625</v>
      </c>
      <c r="AD10" s="184">
        <v>440000</v>
      </c>
      <c r="AE10" s="184">
        <v>148500</v>
      </c>
      <c r="AF10" s="184">
        <v>1679300</v>
      </c>
      <c r="AG10" s="184">
        <v>2813500</v>
      </c>
      <c r="AH10" s="184">
        <v>711500</v>
      </c>
      <c r="AI10" s="184">
        <v>2185065</v>
      </c>
      <c r="AJ10" s="184">
        <v>2255800</v>
      </c>
      <c r="AK10" s="184">
        <v>1799900</v>
      </c>
      <c r="AL10" s="184">
        <v>273000</v>
      </c>
      <c r="AM10" s="184">
        <v>1423400</v>
      </c>
      <c r="AN10" s="184">
        <f t="shared" si="2"/>
        <v>16575090</v>
      </c>
      <c r="AO10" s="231">
        <f t="shared" si="3"/>
        <v>0.22304408756328262</v>
      </c>
      <c r="AP10" s="50">
        <f t="shared" si="4"/>
        <v>1381257.5</v>
      </c>
      <c r="AS10" s="81" t="s">
        <v>1155</v>
      </c>
      <c r="AT10" s="89">
        <v>166666</v>
      </c>
      <c r="AU10" s="89">
        <v>216000</v>
      </c>
      <c r="AV10" s="89">
        <v>0</v>
      </c>
      <c r="AW10" s="89">
        <v>471000</v>
      </c>
      <c r="AX10" s="89">
        <v>246000</v>
      </c>
      <c r="AY10" s="89">
        <v>211250</v>
      </c>
      <c r="AZ10" s="89">
        <v>0</v>
      </c>
      <c r="BA10" s="89">
        <v>0</v>
      </c>
      <c r="BB10" s="89">
        <v>0</v>
      </c>
      <c r="BC10" s="89">
        <v>464000</v>
      </c>
      <c r="BD10" s="89">
        <v>0</v>
      </c>
      <c r="BE10" s="89">
        <v>709000</v>
      </c>
      <c r="BF10" s="82">
        <f t="shared" si="5"/>
        <v>2483916</v>
      </c>
      <c r="BG10" s="454">
        <f t="shared" si="6"/>
        <v>3.4120977627090932E-2</v>
      </c>
    </row>
    <row r="11" spans="3:59" x14ac:dyDescent="0.15">
      <c r="C11"/>
      <c r="AA11" s="21" t="s">
        <v>66</v>
      </c>
      <c r="AB11" s="184">
        <v>0</v>
      </c>
      <c r="AC11" s="184">
        <v>0</v>
      </c>
      <c r="AD11" s="184">
        <v>0</v>
      </c>
      <c r="AE11" s="184">
        <v>0</v>
      </c>
      <c r="AF11" s="184">
        <v>0</v>
      </c>
      <c r="AG11" s="184">
        <v>0</v>
      </c>
      <c r="AH11" s="184">
        <v>0</v>
      </c>
      <c r="AI11" s="184">
        <v>0</v>
      </c>
      <c r="AJ11" s="184">
        <v>0</v>
      </c>
      <c r="AK11" s="184">
        <v>0</v>
      </c>
      <c r="AL11" s="184">
        <v>0</v>
      </c>
      <c r="AM11" s="184">
        <v>0</v>
      </c>
      <c r="AN11" s="184">
        <f t="shared" si="2"/>
        <v>0</v>
      </c>
      <c r="AO11" s="231">
        <f t="shared" si="3"/>
        <v>0</v>
      </c>
      <c r="AP11" s="50">
        <f t="shared" si="4"/>
        <v>0</v>
      </c>
      <c r="AS11" s="81" t="s">
        <v>1156</v>
      </c>
      <c r="AT11" s="89">
        <v>0</v>
      </c>
      <c r="AU11" s="89">
        <v>0</v>
      </c>
      <c r="AV11" s="89">
        <v>0</v>
      </c>
      <c r="AW11" s="89">
        <v>0</v>
      </c>
      <c r="AX11" s="89">
        <v>0</v>
      </c>
      <c r="AY11" s="89">
        <v>0</v>
      </c>
      <c r="AZ11" s="89">
        <v>0</v>
      </c>
      <c r="BA11" s="89">
        <v>0</v>
      </c>
      <c r="BB11" s="89">
        <v>0</v>
      </c>
      <c r="BC11" s="89">
        <v>0</v>
      </c>
      <c r="BD11" s="89">
        <v>0</v>
      </c>
      <c r="BE11" s="89">
        <v>0</v>
      </c>
      <c r="BF11" s="82">
        <f t="shared" si="5"/>
        <v>0</v>
      </c>
      <c r="BG11" s="454">
        <f t="shared" si="6"/>
        <v>0</v>
      </c>
    </row>
    <row r="12" spans="3:59" x14ac:dyDescent="0.15">
      <c r="C12"/>
      <c r="AA12" s="21" t="s">
        <v>68</v>
      </c>
      <c r="AB12" s="184">
        <v>0</v>
      </c>
      <c r="AC12" s="184">
        <v>0</v>
      </c>
      <c r="AD12" s="184">
        <v>0</v>
      </c>
      <c r="AE12" s="184">
        <v>0</v>
      </c>
      <c r="AF12" s="184">
        <v>0</v>
      </c>
      <c r="AG12" s="184">
        <v>0</v>
      </c>
      <c r="AH12" s="184">
        <v>0</v>
      </c>
      <c r="AI12" s="184">
        <v>0</v>
      </c>
      <c r="AJ12" s="184">
        <v>0</v>
      </c>
      <c r="AK12" s="184">
        <v>0</v>
      </c>
      <c r="AL12" s="184">
        <v>0</v>
      </c>
      <c r="AM12" s="184">
        <v>0</v>
      </c>
      <c r="AN12" s="184">
        <f t="shared" si="2"/>
        <v>0</v>
      </c>
      <c r="AO12" s="231">
        <f t="shared" si="3"/>
        <v>0</v>
      </c>
      <c r="AP12" s="50">
        <f t="shared" si="4"/>
        <v>0</v>
      </c>
      <c r="AS12" s="81" t="s">
        <v>1157</v>
      </c>
      <c r="AT12" s="89">
        <v>0</v>
      </c>
      <c r="AU12" s="89">
        <v>0</v>
      </c>
      <c r="AV12" s="89">
        <v>0</v>
      </c>
      <c r="AW12" s="89">
        <v>0</v>
      </c>
      <c r="AX12" s="89">
        <v>0</v>
      </c>
      <c r="AY12" s="89">
        <v>0</v>
      </c>
      <c r="AZ12" s="89">
        <v>0</v>
      </c>
      <c r="BA12" s="89">
        <v>0</v>
      </c>
      <c r="BB12" s="89">
        <v>0</v>
      </c>
      <c r="BC12" s="89">
        <v>0</v>
      </c>
      <c r="BD12" s="89">
        <v>0</v>
      </c>
      <c r="BE12" s="89">
        <v>0</v>
      </c>
      <c r="BF12" s="82">
        <f t="shared" si="5"/>
        <v>0</v>
      </c>
      <c r="BG12" s="454">
        <f t="shared" si="6"/>
        <v>0</v>
      </c>
    </row>
    <row r="13" spans="3:59" x14ac:dyDescent="0.15">
      <c r="C13"/>
      <c r="AA13" s="21" t="s">
        <v>70</v>
      </c>
      <c r="AB13" s="184">
        <v>0</v>
      </c>
      <c r="AC13" s="184">
        <v>0</v>
      </c>
      <c r="AD13" s="184">
        <v>0</v>
      </c>
      <c r="AE13" s="184">
        <v>0</v>
      </c>
      <c r="AF13" s="184">
        <v>0</v>
      </c>
      <c r="AG13" s="184">
        <v>0</v>
      </c>
      <c r="AH13" s="184">
        <v>0</v>
      </c>
      <c r="AI13" s="184">
        <v>0</v>
      </c>
      <c r="AJ13" s="184">
        <v>0</v>
      </c>
      <c r="AK13" s="184">
        <v>0</v>
      </c>
      <c r="AL13" s="184">
        <v>0</v>
      </c>
      <c r="AM13" s="184">
        <v>0</v>
      </c>
      <c r="AN13" s="184">
        <f t="shared" si="2"/>
        <v>0</v>
      </c>
      <c r="AO13" s="231">
        <f t="shared" si="3"/>
        <v>0</v>
      </c>
      <c r="AP13" s="50">
        <f t="shared" si="4"/>
        <v>0</v>
      </c>
      <c r="AS13" s="81" t="s">
        <v>1158</v>
      </c>
      <c r="AT13" s="89">
        <v>1175000</v>
      </c>
      <c r="AU13" s="89">
        <v>886225</v>
      </c>
      <c r="AV13" s="89">
        <v>526500</v>
      </c>
      <c r="AW13" s="89">
        <v>337500</v>
      </c>
      <c r="AX13" s="89">
        <v>635000</v>
      </c>
      <c r="AY13" s="89">
        <v>1954000</v>
      </c>
      <c r="AZ13" s="89">
        <v>1089000</v>
      </c>
      <c r="BA13" s="89">
        <v>1380000</v>
      </c>
      <c r="BB13" s="89">
        <v>1337333</v>
      </c>
      <c r="BC13" s="89">
        <v>1196333</v>
      </c>
      <c r="BD13" s="89">
        <v>0</v>
      </c>
      <c r="BE13" s="89">
        <v>807500</v>
      </c>
      <c r="BF13" s="82">
        <f t="shared" si="5"/>
        <v>11324391</v>
      </c>
      <c r="BG13" s="454">
        <f t="shared" si="6"/>
        <v>0.15556053101289652</v>
      </c>
    </row>
    <row r="14" spans="3:59" x14ac:dyDescent="0.15">
      <c r="C14"/>
      <c r="AA14" s="21" t="s">
        <v>72</v>
      </c>
      <c r="AB14" s="184">
        <v>0</v>
      </c>
      <c r="AC14" s="184">
        <v>0</v>
      </c>
      <c r="AD14" s="184">
        <v>0</v>
      </c>
      <c r="AE14" s="184">
        <v>0</v>
      </c>
      <c r="AF14" s="184">
        <v>0</v>
      </c>
      <c r="AG14" s="184">
        <v>0</v>
      </c>
      <c r="AH14" s="184">
        <v>0</v>
      </c>
      <c r="AI14" s="184">
        <v>0</v>
      </c>
      <c r="AJ14" s="184">
        <v>0</v>
      </c>
      <c r="AK14" s="184">
        <v>0</v>
      </c>
      <c r="AL14" s="184">
        <v>0</v>
      </c>
      <c r="AM14" s="184">
        <v>0</v>
      </c>
      <c r="AN14" s="184">
        <f t="shared" si="2"/>
        <v>0</v>
      </c>
      <c r="AO14" s="231">
        <f t="shared" si="3"/>
        <v>0</v>
      </c>
      <c r="AP14" s="50">
        <f t="shared" si="4"/>
        <v>0</v>
      </c>
      <c r="AS14" s="81" t="s">
        <v>1159</v>
      </c>
      <c r="AT14" s="89">
        <v>441500</v>
      </c>
      <c r="AU14" s="89">
        <v>0</v>
      </c>
      <c r="AV14" s="89">
        <v>0</v>
      </c>
      <c r="AW14" s="89">
        <v>0</v>
      </c>
      <c r="AX14" s="89">
        <v>0</v>
      </c>
      <c r="AY14" s="89">
        <v>0</v>
      </c>
      <c r="AZ14" s="89">
        <v>0</v>
      </c>
      <c r="BA14" s="89">
        <v>0</v>
      </c>
      <c r="BB14" s="89">
        <v>260000</v>
      </c>
      <c r="BC14" s="89">
        <v>0</v>
      </c>
      <c r="BD14" s="89">
        <v>0</v>
      </c>
      <c r="BE14" s="89">
        <v>0</v>
      </c>
      <c r="BF14" s="82">
        <f t="shared" si="5"/>
        <v>701500</v>
      </c>
      <c r="BG14" s="454">
        <f t="shared" si="6"/>
        <v>9.6363426965341368E-3</v>
      </c>
    </row>
    <row r="15" spans="3:59" x14ac:dyDescent="0.15">
      <c r="C15"/>
      <c r="AA15" s="21" t="s">
        <v>74</v>
      </c>
      <c r="AB15" s="184">
        <v>0</v>
      </c>
      <c r="AC15" s="184">
        <v>0</v>
      </c>
      <c r="AD15" s="184">
        <v>43550</v>
      </c>
      <c r="AE15" s="184">
        <v>164275</v>
      </c>
      <c r="AF15" s="184">
        <v>965500</v>
      </c>
      <c r="AG15" s="184">
        <v>207880</v>
      </c>
      <c r="AH15" s="184">
        <v>0</v>
      </c>
      <c r="AI15" s="184">
        <v>1035200</v>
      </c>
      <c r="AJ15" s="184">
        <v>0</v>
      </c>
      <c r="AK15" s="184">
        <v>0</v>
      </c>
      <c r="AL15" s="184">
        <v>520500</v>
      </c>
      <c r="AM15" s="184">
        <v>22100</v>
      </c>
      <c r="AN15" s="184">
        <f t="shared" si="2"/>
        <v>2959005</v>
      </c>
      <c r="AO15" s="231">
        <f t="shared" si="3"/>
        <v>3.9818098744573399E-2</v>
      </c>
      <c r="AP15" s="50">
        <f t="shared" si="4"/>
        <v>246583.75</v>
      </c>
      <c r="AS15" s="81" t="s">
        <v>539</v>
      </c>
      <c r="AT15" s="89">
        <v>190800</v>
      </c>
      <c r="AU15" s="89">
        <v>180400</v>
      </c>
      <c r="AV15" s="89">
        <v>196800</v>
      </c>
      <c r="AW15" s="89">
        <v>554880</v>
      </c>
      <c r="AX15" s="89">
        <v>190800</v>
      </c>
      <c r="AY15" s="89">
        <v>864200</v>
      </c>
      <c r="AZ15" s="89">
        <v>595200</v>
      </c>
      <c r="BA15" s="89">
        <v>0</v>
      </c>
      <c r="BB15" s="89">
        <v>190800</v>
      </c>
      <c r="BC15" s="89">
        <v>196800</v>
      </c>
      <c r="BD15" s="89">
        <v>892400</v>
      </c>
      <c r="BE15" s="89">
        <v>196800</v>
      </c>
      <c r="BF15" s="82">
        <f t="shared" si="5"/>
        <v>4249880</v>
      </c>
      <c r="BG15" s="454">
        <f t="shared" si="6"/>
        <v>5.8379615251812539E-2</v>
      </c>
    </row>
    <row r="16" spans="3:59" x14ac:dyDescent="0.15">
      <c r="C16"/>
      <c r="AA16" s="21" t="s">
        <v>1189</v>
      </c>
      <c r="AB16" s="184">
        <v>0</v>
      </c>
      <c r="AC16" s="184">
        <v>218000</v>
      </c>
      <c r="AD16" s="184">
        <v>364800</v>
      </c>
      <c r="AE16" s="184">
        <v>190800</v>
      </c>
      <c r="AF16" s="184">
        <v>210000</v>
      </c>
      <c r="AG16" s="184">
        <v>100000</v>
      </c>
      <c r="AH16" s="184">
        <v>587600</v>
      </c>
      <c r="AI16" s="184">
        <v>216000</v>
      </c>
      <c r="AJ16" s="184">
        <v>330000</v>
      </c>
      <c r="AK16" s="184">
        <v>0</v>
      </c>
      <c r="AL16" s="184">
        <v>1300000</v>
      </c>
      <c r="AM16" s="184">
        <v>0</v>
      </c>
      <c r="AN16" s="184">
        <f t="shared" si="2"/>
        <v>3517200</v>
      </c>
      <c r="AO16" s="231">
        <f t="shared" si="3"/>
        <v>4.7329496538334188E-2</v>
      </c>
      <c r="AP16" s="50">
        <f t="shared" si="4"/>
        <v>293100</v>
      </c>
      <c r="AS16" s="81" t="s">
        <v>1160</v>
      </c>
      <c r="AT16" s="89">
        <v>455000</v>
      </c>
      <c r="AU16" s="89">
        <v>401400</v>
      </c>
      <c r="AV16" s="89">
        <v>673000</v>
      </c>
      <c r="AW16" s="89">
        <v>799218</v>
      </c>
      <c r="AX16" s="89">
        <v>196900</v>
      </c>
      <c r="AY16" s="89">
        <v>1458040</v>
      </c>
      <c r="AZ16" s="89">
        <v>649800</v>
      </c>
      <c r="BA16" s="89">
        <v>213000</v>
      </c>
      <c r="BB16" s="89">
        <v>1299800</v>
      </c>
      <c r="BC16" s="89">
        <v>409200</v>
      </c>
      <c r="BD16" s="89">
        <v>178800</v>
      </c>
      <c r="BE16" s="89">
        <v>1234900</v>
      </c>
      <c r="BF16" s="82">
        <f t="shared" si="5"/>
        <v>7969058</v>
      </c>
      <c r="BG16" s="454">
        <f t="shared" si="6"/>
        <v>0.10946910029445037</v>
      </c>
    </row>
    <row r="17" spans="3:59" x14ac:dyDescent="0.15">
      <c r="C17"/>
      <c r="AA17" s="68" t="s">
        <v>776</v>
      </c>
      <c r="AB17" s="184">
        <v>2470</v>
      </c>
      <c r="AC17" s="184">
        <v>0</v>
      </c>
      <c r="AD17" s="184">
        <v>0</v>
      </c>
      <c r="AE17" s="184">
        <v>25000</v>
      </c>
      <c r="AF17" s="184">
        <v>0</v>
      </c>
      <c r="AG17" s="184">
        <v>0</v>
      </c>
      <c r="AH17" s="184">
        <v>0</v>
      </c>
      <c r="AI17" s="184">
        <v>0</v>
      </c>
      <c r="AJ17" s="184">
        <v>0</v>
      </c>
      <c r="AK17" s="184">
        <v>0</v>
      </c>
      <c r="AL17" s="184">
        <v>0</v>
      </c>
      <c r="AM17" s="184">
        <v>0</v>
      </c>
      <c r="AN17" s="184">
        <f t="shared" si="2"/>
        <v>27470</v>
      </c>
      <c r="AO17" s="231">
        <f t="shared" si="3"/>
        <v>3.696523569623678E-4</v>
      </c>
      <c r="AP17" s="50">
        <f t="shared" si="4"/>
        <v>2289.1666666666665</v>
      </c>
      <c r="AS17" s="81" t="s">
        <v>363</v>
      </c>
      <c r="AT17" s="89">
        <v>238000</v>
      </c>
      <c r="AU17" s="89">
        <v>177600</v>
      </c>
      <c r="AV17" s="89">
        <v>238000</v>
      </c>
      <c r="AW17" s="89">
        <v>0</v>
      </c>
      <c r="AX17" s="89">
        <v>252000</v>
      </c>
      <c r="AY17" s="89">
        <v>406000</v>
      </c>
      <c r="AZ17" s="89">
        <v>790000</v>
      </c>
      <c r="BA17" s="89">
        <v>0</v>
      </c>
      <c r="BB17" s="89">
        <v>372000</v>
      </c>
      <c r="BC17" s="89">
        <v>552000</v>
      </c>
      <c r="BD17" s="89">
        <v>154000</v>
      </c>
      <c r="BE17" s="89">
        <v>336000</v>
      </c>
      <c r="BF17" s="82">
        <f t="shared" si="5"/>
        <v>3515600</v>
      </c>
      <c r="BG17" s="454">
        <f t="shared" si="6"/>
        <v>4.8292981302830239E-2</v>
      </c>
    </row>
    <row r="18" spans="3:59" x14ac:dyDescent="0.15">
      <c r="C18"/>
      <c r="AA18" s="21" t="s">
        <v>78</v>
      </c>
      <c r="AB18" s="184">
        <v>0</v>
      </c>
      <c r="AC18" s="184">
        <v>0</v>
      </c>
      <c r="AD18" s="184">
        <v>0</v>
      </c>
      <c r="AE18" s="184">
        <v>0</v>
      </c>
      <c r="AF18" s="184">
        <v>0</v>
      </c>
      <c r="AG18" s="184">
        <v>0</v>
      </c>
      <c r="AH18" s="184">
        <v>0</v>
      </c>
      <c r="AI18" s="184">
        <v>0</v>
      </c>
      <c r="AJ18" s="184">
        <v>0</v>
      </c>
      <c r="AK18" s="184">
        <v>0</v>
      </c>
      <c r="AL18" s="184">
        <v>0</v>
      </c>
      <c r="AM18" s="184">
        <v>0</v>
      </c>
      <c r="AN18" s="184">
        <f t="shared" si="2"/>
        <v>0</v>
      </c>
      <c r="AO18" s="231">
        <f t="shared" si="3"/>
        <v>0</v>
      </c>
      <c r="AP18" s="50">
        <f t="shared" si="4"/>
        <v>0</v>
      </c>
      <c r="AS18" s="81" t="s">
        <v>1161</v>
      </c>
      <c r="AT18" s="89">
        <v>233000</v>
      </c>
      <c r="AU18" s="89">
        <v>0</v>
      </c>
      <c r="AV18" s="89">
        <v>0</v>
      </c>
      <c r="AW18" s="89">
        <v>180600</v>
      </c>
      <c r="AX18" s="89">
        <v>143000</v>
      </c>
      <c r="AY18" s="89">
        <v>971000</v>
      </c>
      <c r="AZ18" s="89">
        <v>381000</v>
      </c>
      <c r="BA18" s="89">
        <v>0</v>
      </c>
      <c r="BB18" s="89">
        <v>796333</v>
      </c>
      <c r="BC18" s="89">
        <v>705000</v>
      </c>
      <c r="BD18" s="89">
        <v>0</v>
      </c>
      <c r="BE18" s="89">
        <v>657000</v>
      </c>
      <c r="BF18" s="82">
        <f t="shared" si="5"/>
        <v>4066933</v>
      </c>
      <c r="BG18" s="454">
        <f t="shared" si="6"/>
        <v>5.5866514770981701E-2</v>
      </c>
    </row>
    <row r="19" spans="3:59" x14ac:dyDescent="0.15">
      <c r="C19"/>
      <c r="AA19" s="21" t="s">
        <v>80</v>
      </c>
      <c r="AB19" s="184">
        <v>0</v>
      </c>
      <c r="AC19" s="184">
        <v>0</v>
      </c>
      <c r="AD19" s="184">
        <v>0</v>
      </c>
      <c r="AE19" s="184">
        <v>0</v>
      </c>
      <c r="AF19" s="184">
        <v>0</v>
      </c>
      <c r="AG19" s="184">
        <v>0</v>
      </c>
      <c r="AH19" s="184">
        <v>0</v>
      </c>
      <c r="AI19" s="184">
        <v>0</v>
      </c>
      <c r="AJ19" s="184">
        <v>0</v>
      </c>
      <c r="AK19" s="184">
        <v>0</v>
      </c>
      <c r="AL19" s="184">
        <v>0</v>
      </c>
      <c r="AM19" s="184">
        <v>0</v>
      </c>
      <c r="AN19" s="184">
        <f t="shared" si="2"/>
        <v>0</v>
      </c>
      <c r="AO19" s="231">
        <f t="shared" si="3"/>
        <v>0</v>
      </c>
      <c r="AP19" s="50">
        <f t="shared" si="4"/>
        <v>0</v>
      </c>
      <c r="AS19" s="81" t="s">
        <v>1162</v>
      </c>
      <c r="AT19" s="89">
        <v>260000</v>
      </c>
      <c r="AU19" s="89">
        <v>0</v>
      </c>
      <c r="AV19" s="89">
        <v>0</v>
      </c>
      <c r="AW19" s="89">
        <v>0</v>
      </c>
      <c r="AX19" s="89">
        <v>0</v>
      </c>
      <c r="AY19" s="89">
        <v>0</v>
      </c>
      <c r="AZ19" s="89">
        <v>0</v>
      </c>
      <c r="BA19" s="89">
        <v>0</v>
      </c>
      <c r="BB19" s="89">
        <v>195000</v>
      </c>
      <c r="BC19" s="89">
        <v>260000</v>
      </c>
      <c r="BD19" s="89">
        <v>0</v>
      </c>
      <c r="BE19" s="89">
        <v>0</v>
      </c>
      <c r="BF19" s="82">
        <f t="shared" si="5"/>
        <v>715000</v>
      </c>
      <c r="BG19" s="454">
        <f t="shared" si="6"/>
        <v>9.8217890634667258E-3</v>
      </c>
    </row>
    <row r="20" spans="3:59" x14ac:dyDescent="0.15">
      <c r="C20"/>
      <c r="AA20" s="21" t="s">
        <v>81</v>
      </c>
      <c r="AB20" s="184">
        <v>0</v>
      </c>
      <c r="AC20" s="184">
        <v>0</v>
      </c>
      <c r="AD20" s="184">
        <v>0</v>
      </c>
      <c r="AE20" s="184">
        <v>0</v>
      </c>
      <c r="AF20" s="184">
        <v>0</v>
      </c>
      <c r="AG20" s="184">
        <v>0</v>
      </c>
      <c r="AH20" s="184">
        <v>0</v>
      </c>
      <c r="AI20" s="184">
        <v>0</v>
      </c>
      <c r="AJ20" s="184">
        <v>0</v>
      </c>
      <c r="AK20" s="184">
        <v>0</v>
      </c>
      <c r="AL20" s="184">
        <v>0</v>
      </c>
      <c r="AM20" s="184">
        <v>0</v>
      </c>
      <c r="AN20" s="184">
        <f t="shared" si="2"/>
        <v>0</v>
      </c>
      <c r="AO20" s="231">
        <f t="shared" si="3"/>
        <v>0</v>
      </c>
      <c r="AP20" s="50">
        <f t="shared" si="4"/>
        <v>0</v>
      </c>
      <c r="AS20" s="81" t="s">
        <v>1163</v>
      </c>
      <c r="AT20" s="89">
        <v>0</v>
      </c>
      <c r="AU20" s="89">
        <v>515000</v>
      </c>
      <c r="AV20" s="89">
        <v>0</v>
      </c>
      <c r="AW20" s="89">
        <v>0</v>
      </c>
      <c r="AX20" s="89">
        <v>0</v>
      </c>
      <c r="AY20" s="89">
        <v>0</v>
      </c>
      <c r="AZ20" s="89">
        <v>0</v>
      </c>
      <c r="BA20" s="89">
        <v>0</v>
      </c>
      <c r="BB20" s="89">
        <v>0</v>
      </c>
      <c r="BC20" s="89">
        <v>0</v>
      </c>
      <c r="BD20" s="89">
        <v>465000</v>
      </c>
      <c r="BE20" s="89">
        <v>209000</v>
      </c>
      <c r="BF20" s="82">
        <f t="shared" si="5"/>
        <v>1189000</v>
      </c>
      <c r="BG20" s="454">
        <f t="shared" si="6"/>
        <v>1.6333017057988723E-2</v>
      </c>
    </row>
    <row r="21" spans="3:59" x14ac:dyDescent="0.15">
      <c r="C21"/>
      <c r="AA21" s="21" t="s">
        <v>83</v>
      </c>
      <c r="AB21" s="184">
        <v>0</v>
      </c>
      <c r="AC21" s="184">
        <v>0</v>
      </c>
      <c r="AD21" s="184">
        <v>0</v>
      </c>
      <c r="AE21" s="184">
        <v>0</v>
      </c>
      <c r="AF21" s="184">
        <v>0</v>
      </c>
      <c r="AG21" s="184">
        <v>0</v>
      </c>
      <c r="AH21" s="184">
        <v>258000</v>
      </c>
      <c r="AI21" s="184">
        <v>0</v>
      </c>
      <c r="AJ21" s="184">
        <v>0</v>
      </c>
      <c r="AK21" s="184">
        <v>0</v>
      </c>
      <c r="AL21" s="184">
        <v>0</v>
      </c>
      <c r="AM21" s="184">
        <v>0</v>
      </c>
      <c r="AN21" s="184">
        <f t="shared" si="2"/>
        <v>258000</v>
      </c>
      <c r="AO21" s="231">
        <f t="shared" si="3"/>
        <v>3.4717986201780451E-3</v>
      </c>
      <c r="AP21" s="50">
        <f t="shared" si="4"/>
        <v>21500</v>
      </c>
      <c r="AS21" s="81" t="s">
        <v>1164</v>
      </c>
      <c r="AT21" s="89">
        <v>0</v>
      </c>
      <c r="AU21" s="89">
        <v>0</v>
      </c>
      <c r="AV21" s="89">
        <v>0</v>
      </c>
      <c r="AW21" s="89">
        <v>0</v>
      </c>
      <c r="AX21" s="89">
        <v>0</v>
      </c>
      <c r="AY21" s="89">
        <v>0</v>
      </c>
      <c r="AZ21" s="89">
        <v>0</v>
      </c>
      <c r="BA21" s="89">
        <v>0</v>
      </c>
      <c r="BB21" s="89">
        <v>0</v>
      </c>
      <c r="BC21" s="89">
        <v>0</v>
      </c>
      <c r="BD21" s="89">
        <v>0</v>
      </c>
      <c r="BE21" s="89">
        <v>0</v>
      </c>
      <c r="BF21" s="82">
        <f t="shared" si="5"/>
        <v>0</v>
      </c>
      <c r="BG21" s="454">
        <f t="shared" si="6"/>
        <v>0</v>
      </c>
    </row>
    <row r="22" spans="3:59" x14ac:dyDescent="0.15">
      <c r="C22"/>
      <c r="AA22" s="21" t="s">
        <v>85</v>
      </c>
      <c r="AB22" s="184">
        <v>0</v>
      </c>
      <c r="AC22" s="184">
        <v>0</v>
      </c>
      <c r="AD22" s="184">
        <v>0</v>
      </c>
      <c r="AE22" s="184">
        <v>0</v>
      </c>
      <c r="AF22" s="184">
        <v>0</v>
      </c>
      <c r="AG22" s="184">
        <v>0</v>
      </c>
      <c r="AH22" s="184">
        <v>0</v>
      </c>
      <c r="AI22" s="184">
        <v>0</v>
      </c>
      <c r="AJ22" s="184">
        <v>0</v>
      </c>
      <c r="AK22" s="184">
        <v>0</v>
      </c>
      <c r="AL22" s="184">
        <v>0</v>
      </c>
      <c r="AM22" s="184">
        <v>0</v>
      </c>
      <c r="AN22" s="184">
        <f t="shared" si="2"/>
        <v>0</v>
      </c>
      <c r="AO22" s="231">
        <f t="shared" si="3"/>
        <v>0</v>
      </c>
      <c r="AP22" s="50">
        <f t="shared" si="4"/>
        <v>0</v>
      </c>
      <c r="AS22" s="81" t="s">
        <v>1165</v>
      </c>
      <c r="AT22" s="89">
        <v>0</v>
      </c>
      <c r="AU22" s="89">
        <v>25200</v>
      </c>
      <c r="AV22" s="89">
        <v>25200</v>
      </c>
      <c r="AW22" s="89">
        <v>0</v>
      </c>
      <c r="AX22" s="89">
        <v>0</v>
      </c>
      <c r="AY22" s="89">
        <v>0</v>
      </c>
      <c r="AZ22" s="89">
        <v>0</v>
      </c>
      <c r="BA22" s="89">
        <v>0</v>
      </c>
      <c r="BB22" s="89">
        <v>0</v>
      </c>
      <c r="BC22" s="89">
        <v>0</v>
      </c>
      <c r="BD22" s="89">
        <v>0</v>
      </c>
      <c r="BE22" s="89">
        <v>0</v>
      </c>
      <c r="BF22" s="82">
        <f t="shared" si="5"/>
        <v>50400</v>
      </c>
      <c r="BG22" s="454">
        <f t="shared" si="6"/>
        <v>6.9233310321499715E-4</v>
      </c>
    </row>
    <row r="23" spans="3:59" x14ac:dyDescent="0.15">
      <c r="C23"/>
      <c r="AA23" s="21" t="s">
        <v>87</v>
      </c>
      <c r="AB23" s="184">
        <v>0</v>
      </c>
      <c r="AC23" s="184">
        <v>0</v>
      </c>
      <c r="AD23" s="184">
        <v>0</v>
      </c>
      <c r="AE23" s="184">
        <v>0</v>
      </c>
      <c r="AF23" s="184">
        <v>0</v>
      </c>
      <c r="AG23" s="184">
        <v>0</v>
      </c>
      <c r="AH23" s="184">
        <v>0</v>
      </c>
      <c r="AI23" s="184">
        <v>0</v>
      </c>
      <c r="AJ23" s="184">
        <v>0</v>
      </c>
      <c r="AK23" s="184">
        <v>0</v>
      </c>
      <c r="AL23" s="184">
        <v>0</v>
      </c>
      <c r="AM23" s="184">
        <v>0</v>
      </c>
      <c r="AN23" s="184">
        <f t="shared" si="2"/>
        <v>0</v>
      </c>
      <c r="AO23" s="231">
        <f t="shared" si="3"/>
        <v>0</v>
      </c>
      <c r="AP23" s="50">
        <f t="shared" si="4"/>
        <v>0</v>
      </c>
      <c r="AS23" s="81" t="s">
        <v>1166</v>
      </c>
      <c r="AT23" s="89">
        <v>0</v>
      </c>
      <c r="AU23" s="89">
        <v>43550</v>
      </c>
      <c r="AV23" s="89">
        <v>66950</v>
      </c>
      <c r="AW23" s="89">
        <v>21450</v>
      </c>
      <c r="AX23" s="89">
        <v>0</v>
      </c>
      <c r="AY23" s="89">
        <v>58500</v>
      </c>
      <c r="AZ23" s="89">
        <v>37700</v>
      </c>
      <c r="BA23" s="89">
        <v>21450</v>
      </c>
      <c r="BB23" s="89">
        <v>15600</v>
      </c>
      <c r="BC23" s="89">
        <v>15600</v>
      </c>
      <c r="BD23" s="89">
        <v>35400</v>
      </c>
      <c r="BE23" s="89">
        <v>22100</v>
      </c>
      <c r="BF23" s="82">
        <f t="shared" si="5"/>
        <v>338300</v>
      </c>
      <c r="BG23" s="454">
        <f t="shared" si="6"/>
        <v>4.647148587651459E-3</v>
      </c>
    </row>
    <row r="24" spans="3:59" x14ac:dyDescent="0.15">
      <c r="C24"/>
      <c r="AA24" s="21" t="s">
        <v>89</v>
      </c>
      <c r="AB24" s="184">
        <v>0</v>
      </c>
      <c r="AC24" s="184">
        <v>0</v>
      </c>
      <c r="AD24" s="184">
        <v>0</v>
      </c>
      <c r="AE24" s="184">
        <v>0</v>
      </c>
      <c r="AF24" s="184">
        <v>0</v>
      </c>
      <c r="AG24" s="184">
        <v>0</v>
      </c>
      <c r="AH24" s="184">
        <v>21050</v>
      </c>
      <c r="AI24" s="184">
        <v>0</v>
      </c>
      <c r="AJ24" s="184">
        <v>0</v>
      </c>
      <c r="AK24" s="184">
        <v>0</v>
      </c>
      <c r="AL24" s="184">
        <v>0</v>
      </c>
      <c r="AM24" s="184">
        <v>0</v>
      </c>
      <c r="AN24" s="184">
        <f t="shared" si="2"/>
        <v>21050</v>
      </c>
      <c r="AO24" s="231">
        <f t="shared" si="3"/>
        <v>2.8326108897189087E-4</v>
      </c>
      <c r="AP24" s="50">
        <f t="shared" si="4"/>
        <v>1754.1666666666667</v>
      </c>
      <c r="AS24" s="81" t="s">
        <v>1167</v>
      </c>
      <c r="AT24" s="89">
        <v>2275</v>
      </c>
      <c r="AU24" s="89">
        <v>0</v>
      </c>
      <c r="AV24" s="89">
        <v>12150</v>
      </c>
      <c r="AW24" s="89">
        <v>6300</v>
      </c>
      <c r="AX24" s="89">
        <v>0</v>
      </c>
      <c r="AY24" s="89">
        <v>18450</v>
      </c>
      <c r="AZ24" s="89">
        <v>0</v>
      </c>
      <c r="BA24" s="89">
        <v>4200</v>
      </c>
      <c r="BB24" s="89">
        <v>2100</v>
      </c>
      <c r="BC24" s="89">
        <v>0</v>
      </c>
      <c r="BD24" s="89">
        <v>0</v>
      </c>
      <c r="BE24" s="89">
        <v>2275</v>
      </c>
      <c r="BF24" s="82">
        <f t="shared" si="5"/>
        <v>47750</v>
      </c>
      <c r="BG24" s="454">
        <f t="shared" si="6"/>
        <v>6.5593066822452605E-4</v>
      </c>
    </row>
    <row r="25" spans="3:59" x14ac:dyDescent="0.15">
      <c r="C25"/>
      <c r="AA25" s="21" t="s">
        <v>91</v>
      </c>
      <c r="AB25" s="184">
        <v>0</v>
      </c>
      <c r="AC25" s="184">
        <v>0</v>
      </c>
      <c r="AD25" s="184">
        <v>27000</v>
      </c>
      <c r="AE25" s="184">
        <v>0</v>
      </c>
      <c r="AF25" s="184">
        <v>0</v>
      </c>
      <c r="AG25" s="184">
        <v>0</v>
      </c>
      <c r="AH25" s="184">
        <v>0</v>
      </c>
      <c r="AI25" s="184">
        <v>0</v>
      </c>
      <c r="AJ25" s="184">
        <v>0</v>
      </c>
      <c r="AK25" s="184">
        <v>0</v>
      </c>
      <c r="AL25" s="184">
        <v>0</v>
      </c>
      <c r="AM25" s="184">
        <v>0</v>
      </c>
      <c r="AN25" s="184">
        <f t="shared" si="2"/>
        <v>27000</v>
      </c>
      <c r="AO25" s="231">
        <f t="shared" si="3"/>
        <v>3.6332776257677217E-4</v>
      </c>
      <c r="AP25" s="50">
        <f t="shared" si="4"/>
        <v>2250</v>
      </c>
      <c r="AS25" s="81" t="s">
        <v>369</v>
      </c>
      <c r="AT25" s="89">
        <v>20000</v>
      </c>
      <c r="AU25" s="89">
        <v>0</v>
      </c>
      <c r="AV25" s="89">
        <v>16000</v>
      </c>
      <c r="AW25" s="89">
        <v>25000</v>
      </c>
      <c r="AX25" s="89">
        <v>55000</v>
      </c>
      <c r="AY25" s="89">
        <v>30000</v>
      </c>
      <c r="AZ25" s="89">
        <v>25000</v>
      </c>
      <c r="BA25" s="89">
        <v>35000</v>
      </c>
      <c r="BB25" s="89">
        <v>16400</v>
      </c>
      <c r="BC25" s="89">
        <v>0</v>
      </c>
      <c r="BD25" s="89">
        <v>53000</v>
      </c>
      <c r="BE25" s="89">
        <v>13000</v>
      </c>
      <c r="BF25" s="82">
        <f t="shared" si="5"/>
        <v>288400</v>
      </c>
      <c r="BG25" s="454">
        <f t="shared" si="6"/>
        <v>3.9616838683969278E-3</v>
      </c>
    </row>
    <row r="26" spans="3:59" x14ac:dyDescent="0.15">
      <c r="C26"/>
      <c r="AA26" s="21" t="s">
        <v>92</v>
      </c>
      <c r="AB26" s="184">
        <v>0</v>
      </c>
      <c r="AC26" s="184">
        <v>0</v>
      </c>
      <c r="AD26" s="184">
        <v>0</v>
      </c>
      <c r="AE26" s="184">
        <v>0</v>
      </c>
      <c r="AF26" s="184">
        <v>0</v>
      </c>
      <c r="AG26" s="184">
        <v>0</v>
      </c>
      <c r="AH26" s="184">
        <v>0</v>
      </c>
      <c r="AI26" s="184">
        <v>0</v>
      </c>
      <c r="AJ26" s="184">
        <v>0</v>
      </c>
      <c r="AK26" s="184">
        <v>0</v>
      </c>
      <c r="AL26" s="184">
        <v>0</v>
      </c>
      <c r="AM26" s="184">
        <v>0</v>
      </c>
      <c r="AN26" s="184">
        <f t="shared" si="2"/>
        <v>0</v>
      </c>
      <c r="AO26" s="231">
        <f t="shared" si="3"/>
        <v>0</v>
      </c>
      <c r="AP26" s="50">
        <f t="shared" si="4"/>
        <v>0</v>
      </c>
      <c r="AS26" s="81" t="s">
        <v>1168</v>
      </c>
      <c r="AT26" s="89">
        <v>-27980</v>
      </c>
      <c r="AU26" s="89">
        <v>111000</v>
      </c>
      <c r="AV26" s="89">
        <v>5420</v>
      </c>
      <c r="AW26" s="89">
        <v>28368</v>
      </c>
      <c r="AX26" s="89">
        <v>117020</v>
      </c>
      <c r="AY26" s="89">
        <v>58240</v>
      </c>
      <c r="AZ26" s="89">
        <v>65955</v>
      </c>
      <c r="BA26" s="89">
        <v>15340</v>
      </c>
      <c r="BB26" s="89">
        <v>38550</v>
      </c>
      <c r="BC26" s="89">
        <v>13870</v>
      </c>
      <c r="BD26" s="89">
        <v>22750</v>
      </c>
      <c r="BE26" s="89">
        <v>21310</v>
      </c>
      <c r="BF26" s="82">
        <f t="shared" si="5"/>
        <v>469843</v>
      </c>
      <c r="BG26" s="454">
        <f t="shared" si="6"/>
        <v>6.4541242502746806E-3</v>
      </c>
    </row>
    <row r="27" spans="3:59" x14ac:dyDescent="0.15">
      <c r="C27"/>
      <c r="AA27" s="21" t="s">
        <v>94</v>
      </c>
      <c r="AB27" s="184">
        <v>0</v>
      </c>
      <c r="AC27" s="184">
        <v>0</v>
      </c>
      <c r="AD27" s="184">
        <v>0</v>
      </c>
      <c r="AE27" s="184">
        <v>0</v>
      </c>
      <c r="AF27" s="184">
        <v>143000</v>
      </c>
      <c r="AG27" s="184">
        <v>179000</v>
      </c>
      <c r="AH27" s="184">
        <v>0</v>
      </c>
      <c r="AI27" s="184">
        <v>0</v>
      </c>
      <c r="AJ27" s="184">
        <v>339900</v>
      </c>
      <c r="AK27" s="184">
        <v>0</v>
      </c>
      <c r="AL27" s="184">
        <v>361900</v>
      </c>
      <c r="AM27" s="184">
        <v>440000</v>
      </c>
      <c r="AN27" s="184">
        <f t="shared" si="2"/>
        <v>1463800</v>
      </c>
      <c r="AO27" s="231">
        <f t="shared" si="3"/>
        <v>1.9697747365180707E-2</v>
      </c>
      <c r="AP27" s="50">
        <f t="shared" si="4"/>
        <v>121983.33333333333</v>
      </c>
      <c r="AS27" s="81" t="s">
        <v>373</v>
      </c>
      <c r="AT27" s="89">
        <v>9500</v>
      </c>
      <c r="AU27" s="89">
        <v>4000</v>
      </c>
      <c r="AV27" s="89">
        <v>70700</v>
      </c>
      <c r="AW27" s="89">
        <v>63000</v>
      </c>
      <c r="AX27" s="89">
        <v>23000</v>
      </c>
      <c r="AY27" s="89">
        <v>128000</v>
      </c>
      <c r="AZ27" s="89">
        <v>46000</v>
      </c>
      <c r="BA27" s="89">
        <v>10000</v>
      </c>
      <c r="BB27" s="89">
        <v>30000</v>
      </c>
      <c r="BC27" s="89">
        <v>65400</v>
      </c>
      <c r="BD27" s="89">
        <v>95000</v>
      </c>
      <c r="BE27" s="89">
        <v>20000</v>
      </c>
      <c r="BF27" s="82">
        <f t="shared" si="5"/>
        <v>564600</v>
      </c>
      <c r="BG27" s="454">
        <f t="shared" si="6"/>
        <v>7.7557791681584793E-3</v>
      </c>
    </row>
    <row r="28" spans="3:59" x14ac:dyDescent="0.15">
      <c r="C28"/>
      <c r="AA28" s="67" t="s">
        <v>3981</v>
      </c>
      <c r="AB28" s="370">
        <v>0</v>
      </c>
      <c r="AC28" s="370">
        <v>0</v>
      </c>
      <c r="AD28" s="370">
        <v>0</v>
      </c>
      <c r="AE28" s="370">
        <v>0</v>
      </c>
      <c r="AF28" s="370">
        <v>156000</v>
      </c>
      <c r="AG28" s="370">
        <v>0</v>
      </c>
      <c r="AH28" s="370">
        <v>0</v>
      </c>
      <c r="AI28" s="370">
        <v>0</v>
      </c>
      <c r="AJ28" s="370">
        <v>0</v>
      </c>
      <c r="AK28" s="370">
        <v>0</v>
      </c>
      <c r="AL28" s="370">
        <v>0</v>
      </c>
      <c r="AM28" s="370">
        <v>0</v>
      </c>
      <c r="AN28" s="370">
        <f t="shared" si="2"/>
        <v>156000</v>
      </c>
      <c r="AO28" s="336">
        <f t="shared" si="3"/>
        <v>2.0992270726657948E-3</v>
      </c>
      <c r="AP28" s="337">
        <f t="shared" si="4"/>
        <v>13000</v>
      </c>
      <c r="AS28" s="81" t="s">
        <v>1169</v>
      </c>
      <c r="AT28" s="89">
        <v>0</v>
      </c>
      <c r="AU28" s="89">
        <v>0</v>
      </c>
      <c r="AV28" s="89">
        <v>0</v>
      </c>
      <c r="AW28" s="89">
        <v>0</v>
      </c>
      <c r="AX28" s="89">
        <v>0</v>
      </c>
      <c r="AY28" s="89">
        <v>0</v>
      </c>
      <c r="AZ28" s="89">
        <v>0</v>
      </c>
      <c r="BA28" s="89">
        <v>0</v>
      </c>
      <c r="BB28" s="89">
        <v>0</v>
      </c>
      <c r="BC28" s="89">
        <v>0</v>
      </c>
      <c r="BD28" s="89">
        <v>0</v>
      </c>
      <c r="BE28" s="89">
        <v>0</v>
      </c>
      <c r="BF28" s="82">
        <f t="shared" si="5"/>
        <v>0</v>
      </c>
      <c r="BG28" s="454">
        <f t="shared" si="6"/>
        <v>0</v>
      </c>
    </row>
    <row r="29" spans="3:59" x14ac:dyDescent="0.15">
      <c r="C29"/>
      <c r="AA29" s="21" t="s">
        <v>97</v>
      </c>
      <c r="AB29" s="184">
        <v>0</v>
      </c>
      <c r="AC29" s="184">
        <v>115000</v>
      </c>
      <c r="AD29" s="184">
        <v>0</v>
      </c>
      <c r="AE29" s="184">
        <v>0</v>
      </c>
      <c r="AF29" s="184">
        <v>0</v>
      </c>
      <c r="AG29" s="184">
        <v>0</v>
      </c>
      <c r="AH29" s="184">
        <v>0</v>
      </c>
      <c r="AI29" s="184">
        <v>115000</v>
      </c>
      <c r="AJ29" s="184">
        <v>130000</v>
      </c>
      <c r="AK29" s="184">
        <v>0</v>
      </c>
      <c r="AL29" s="184">
        <v>0</v>
      </c>
      <c r="AM29" s="184">
        <v>0</v>
      </c>
      <c r="AN29" s="184">
        <f t="shared" si="2"/>
        <v>360000</v>
      </c>
      <c r="AO29" s="231">
        <f t="shared" si="3"/>
        <v>4.8443701676902954E-3</v>
      </c>
      <c r="AP29" s="50">
        <f t="shared" si="4"/>
        <v>30000</v>
      </c>
      <c r="AS29" s="81" t="s">
        <v>1212</v>
      </c>
      <c r="AT29" s="152">
        <v>0</v>
      </c>
      <c r="AU29" s="152">
        <v>0</v>
      </c>
      <c r="AV29" s="152">
        <v>0</v>
      </c>
      <c r="AW29" s="152">
        <v>0</v>
      </c>
      <c r="AX29" s="152">
        <v>0</v>
      </c>
      <c r="AY29" s="152">
        <v>0</v>
      </c>
      <c r="AZ29" s="152">
        <v>0</v>
      </c>
      <c r="BA29" s="152">
        <v>0</v>
      </c>
      <c r="BB29" s="152">
        <v>0</v>
      </c>
      <c r="BC29" s="152">
        <v>0</v>
      </c>
      <c r="BD29" s="152">
        <v>0</v>
      </c>
      <c r="BE29" s="152">
        <v>0</v>
      </c>
      <c r="BF29" s="82">
        <f t="shared" si="5"/>
        <v>0</v>
      </c>
      <c r="BG29" s="454">
        <f t="shared" si="6"/>
        <v>0</v>
      </c>
    </row>
    <row r="30" spans="3:59" x14ac:dyDescent="0.15">
      <c r="C30"/>
      <c r="AA30" s="21" t="s">
        <v>99</v>
      </c>
      <c r="AB30" s="184">
        <v>0</v>
      </c>
      <c r="AC30" s="184">
        <v>0</v>
      </c>
      <c r="AD30" s="184">
        <v>0</v>
      </c>
      <c r="AE30" s="184">
        <v>0</v>
      </c>
      <c r="AF30" s="184">
        <v>0</v>
      </c>
      <c r="AG30" s="184">
        <v>0</v>
      </c>
      <c r="AH30" s="184">
        <v>0</v>
      </c>
      <c r="AI30" s="184">
        <v>0</v>
      </c>
      <c r="AJ30" s="184">
        <v>0</v>
      </c>
      <c r="AK30" s="184">
        <v>0</v>
      </c>
      <c r="AL30" s="184">
        <v>0</v>
      </c>
      <c r="AM30" s="184">
        <v>0</v>
      </c>
      <c r="AN30" s="184">
        <f t="shared" si="2"/>
        <v>0</v>
      </c>
      <c r="AO30" s="231">
        <f t="shared" si="3"/>
        <v>0</v>
      </c>
      <c r="AP30" s="50">
        <f t="shared" si="4"/>
        <v>0</v>
      </c>
      <c r="AS30" s="81" t="s">
        <v>1213</v>
      </c>
      <c r="AT30" s="152">
        <v>0</v>
      </c>
      <c r="AU30" s="152">
        <v>0</v>
      </c>
      <c r="AV30" s="152">
        <v>0</v>
      </c>
      <c r="AW30" s="152">
        <v>0</v>
      </c>
      <c r="AX30" s="152">
        <v>500000</v>
      </c>
      <c r="AY30" s="152">
        <v>500000</v>
      </c>
      <c r="AZ30" s="152">
        <v>180000</v>
      </c>
      <c r="BA30" s="152">
        <v>0</v>
      </c>
      <c r="BB30" s="152">
        <v>0</v>
      </c>
      <c r="BC30" s="152">
        <v>0</v>
      </c>
      <c r="BD30" s="152">
        <v>0</v>
      </c>
      <c r="BE30" s="152">
        <v>0</v>
      </c>
      <c r="BF30" s="82">
        <f t="shared" si="5"/>
        <v>1180000</v>
      </c>
      <c r="BG30" s="454">
        <f t="shared" si="6"/>
        <v>1.6209386146700328E-2</v>
      </c>
    </row>
    <row r="31" spans="3:59" x14ac:dyDescent="0.15">
      <c r="C31"/>
      <c r="AA31" s="21" t="s">
        <v>101</v>
      </c>
      <c r="AB31" s="184">
        <v>0</v>
      </c>
      <c r="AC31" s="184">
        <v>0</v>
      </c>
      <c r="AD31" s="184">
        <v>0</v>
      </c>
      <c r="AE31" s="184">
        <v>0</v>
      </c>
      <c r="AF31" s="184">
        <v>0</v>
      </c>
      <c r="AG31" s="184">
        <v>0</v>
      </c>
      <c r="AH31" s="184">
        <v>0</v>
      </c>
      <c r="AI31" s="184">
        <v>0</v>
      </c>
      <c r="AJ31" s="184">
        <v>0</v>
      </c>
      <c r="AK31" s="184">
        <v>0</v>
      </c>
      <c r="AL31" s="184">
        <v>0</v>
      </c>
      <c r="AM31" s="184">
        <v>0</v>
      </c>
      <c r="AN31" s="184">
        <f t="shared" si="2"/>
        <v>0</v>
      </c>
      <c r="AO31" s="231">
        <f t="shared" si="3"/>
        <v>0</v>
      </c>
      <c r="AP31" s="50">
        <f t="shared" si="4"/>
        <v>0</v>
      </c>
      <c r="AS31" s="81" t="s">
        <v>1214</v>
      </c>
      <c r="AT31" s="152">
        <v>175000</v>
      </c>
      <c r="AU31" s="152">
        <v>510000</v>
      </c>
      <c r="AV31" s="152">
        <v>0</v>
      </c>
      <c r="AW31" s="152">
        <v>1025400</v>
      </c>
      <c r="AX31" s="152">
        <v>0</v>
      </c>
      <c r="AY31" s="152">
        <v>0</v>
      </c>
      <c r="AZ31" s="152">
        <v>0</v>
      </c>
      <c r="BA31" s="152">
        <v>0</v>
      </c>
      <c r="BB31" s="152">
        <v>0</v>
      </c>
      <c r="BC31" s="152">
        <v>0</v>
      </c>
      <c r="BD31" s="152">
        <v>0</v>
      </c>
      <c r="BE31" s="152">
        <v>0</v>
      </c>
      <c r="BF31" s="82">
        <f t="shared" si="5"/>
        <v>1710400</v>
      </c>
      <c r="BG31" s="454">
        <f t="shared" si="6"/>
        <v>2.3495367851962917E-2</v>
      </c>
    </row>
    <row r="32" spans="3:59" x14ac:dyDescent="0.15">
      <c r="C32"/>
      <c r="AA32" s="21" t="s">
        <v>103</v>
      </c>
      <c r="AB32" s="184">
        <v>0</v>
      </c>
      <c r="AC32" s="184">
        <v>0</v>
      </c>
      <c r="AD32" s="184">
        <v>0</v>
      </c>
      <c r="AE32" s="184">
        <v>0</v>
      </c>
      <c r="AF32" s="184">
        <v>0</v>
      </c>
      <c r="AG32" s="184">
        <v>0</v>
      </c>
      <c r="AH32" s="184">
        <v>0</v>
      </c>
      <c r="AI32" s="184">
        <v>0</v>
      </c>
      <c r="AJ32" s="184">
        <v>130000</v>
      </c>
      <c r="AK32" s="184">
        <v>0</v>
      </c>
      <c r="AL32" s="184">
        <v>0</v>
      </c>
      <c r="AM32" s="184">
        <v>0</v>
      </c>
      <c r="AN32" s="184">
        <f t="shared" si="2"/>
        <v>130000</v>
      </c>
      <c r="AO32" s="231">
        <f t="shared" si="3"/>
        <v>1.7493558938881622E-3</v>
      </c>
      <c r="AP32" s="50">
        <f t="shared" si="4"/>
        <v>10833.333333333334</v>
      </c>
      <c r="AS32" s="229" t="s">
        <v>1424</v>
      </c>
      <c r="AT32" s="89">
        <v>0</v>
      </c>
      <c r="AU32" s="89">
        <v>0</v>
      </c>
      <c r="AV32" s="89">
        <v>0</v>
      </c>
      <c r="AW32" s="89">
        <v>0</v>
      </c>
      <c r="AX32" s="89">
        <v>0</v>
      </c>
      <c r="AY32" s="89">
        <v>0</v>
      </c>
      <c r="AZ32" s="89">
        <v>0</v>
      </c>
      <c r="BA32" s="89">
        <v>0</v>
      </c>
      <c r="BB32" s="89">
        <v>0</v>
      </c>
      <c r="BC32" s="89">
        <v>0</v>
      </c>
      <c r="BD32" s="89">
        <v>0</v>
      </c>
      <c r="BE32" s="89">
        <v>0</v>
      </c>
      <c r="BF32" s="82">
        <f t="shared" si="5"/>
        <v>0</v>
      </c>
      <c r="BG32" s="454">
        <f t="shared" si="6"/>
        <v>0</v>
      </c>
    </row>
    <row r="33" spans="3:59 2063:2063" x14ac:dyDescent="0.15">
      <c r="C33"/>
      <c r="AA33" s="68" t="s">
        <v>1496</v>
      </c>
      <c r="AB33" s="184">
        <v>0</v>
      </c>
      <c r="AC33" s="184">
        <v>0</v>
      </c>
      <c r="AD33" s="184">
        <v>0</v>
      </c>
      <c r="AE33" s="184">
        <v>0</v>
      </c>
      <c r="AF33" s="184">
        <v>0</v>
      </c>
      <c r="AG33" s="184">
        <v>0</v>
      </c>
      <c r="AH33" s="184">
        <v>0</v>
      </c>
      <c r="AI33" s="184">
        <v>0</v>
      </c>
      <c r="AJ33" s="184">
        <v>0</v>
      </c>
      <c r="AK33" s="184">
        <v>0</v>
      </c>
      <c r="AL33" s="184">
        <v>0</v>
      </c>
      <c r="AM33" s="184">
        <v>0</v>
      </c>
      <c r="AN33" s="184">
        <f t="shared" si="2"/>
        <v>0</v>
      </c>
      <c r="AO33" s="231">
        <f t="shared" si="3"/>
        <v>0</v>
      </c>
      <c r="AP33" s="50">
        <f t="shared" si="4"/>
        <v>0</v>
      </c>
      <c r="AS33" s="155" t="s">
        <v>1539</v>
      </c>
      <c r="AT33" s="89">
        <v>0</v>
      </c>
      <c r="AU33" s="89">
        <v>0</v>
      </c>
      <c r="AV33" s="89">
        <v>258000</v>
      </c>
      <c r="AW33" s="89">
        <v>0</v>
      </c>
      <c r="AX33" s="89">
        <v>0</v>
      </c>
      <c r="AY33" s="89">
        <v>-21500</v>
      </c>
      <c r="AZ33" s="89">
        <v>0</v>
      </c>
      <c r="BA33" s="89">
        <v>0</v>
      </c>
      <c r="BB33" s="89">
        <v>0</v>
      </c>
      <c r="BC33" s="89">
        <v>0</v>
      </c>
      <c r="BD33" s="89">
        <v>780000</v>
      </c>
      <c r="BE33" s="89">
        <v>258000</v>
      </c>
      <c r="BF33" s="82">
        <f t="shared" si="5"/>
        <v>1274500</v>
      </c>
      <c r="BG33" s="454">
        <f t="shared" si="6"/>
        <v>1.750751071522845E-2</v>
      </c>
    </row>
    <row r="34" spans="3:59 2063:2063" ht="14.25" thickBot="1" x14ac:dyDescent="0.2">
      <c r="C34"/>
      <c r="AA34" s="21" t="s">
        <v>106</v>
      </c>
      <c r="AB34" s="184">
        <v>0</v>
      </c>
      <c r="AC34" s="184">
        <v>0</v>
      </c>
      <c r="AD34" s="184">
        <v>0</v>
      </c>
      <c r="AE34" s="184">
        <v>0</v>
      </c>
      <c r="AF34" s="184">
        <v>0</v>
      </c>
      <c r="AG34" s="184">
        <v>0</v>
      </c>
      <c r="AH34" s="184">
        <v>0</v>
      </c>
      <c r="AI34" s="184">
        <v>0</v>
      </c>
      <c r="AJ34" s="184">
        <v>0</v>
      </c>
      <c r="AK34" s="184">
        <v>0</v>
      </c>
      <c r="AL34" s="184">
        <v>0</v>
      </c>
      <c r="AM34" s="184">
        <v>0</v>
      </c>
      <c r="AN34" s="184">
        <f t="shared" si="2"/>
        <v>0</v>
      </c>
      <c r="AO34" s="231">
        <f t="shared" si="3"/>
        <v>0</v>
      </c>
      <c r="AP34" s="50">
        <f t="shared" si="4"/>
        <v>0</v>
      </c>
      <c r="AS34" s="448" t="s">
        <v>2445</v>
      </c>
      <c r="AT34" s="154">
        <v>0</v>
      </c>
      <c r="AU34" s="154">
        <v>0</v>
      </c>
      <c r="AV34" s="154">
        <v>250000</v>
      </c>
      <c r="AW34" s="154">
        <v>0</v>
      </c>
      <c r="AX34" s="154">
        <v>0</v>
      </c>
      <c r="AY34" s="154">
        <v>0</v>
      </c>
      <c r="AZ34" s="154">
        <v>0</v>
      </c>
      <c r="BA34" s="154">
        <v>0</v>
      </c>
      <c r="BB34" s="154">
        <v>0</v>
      </c>
      <c r="BC34" s="154">
        <v>0</v>
      </c>
      <c r="BD34" s="154">
        <v>0</v>
      </c>
      <c r="BE34" s="154">
        <v>0</v>
      </c>
      <c r="BF34" s="449">
        <f t="shared" si="5"/>
        <v>250000</v>
      </c>
      <c r="BG34" s="454">
        <f t="shared" si="6"/>
        <v>3.4341919802331204E-3</v>
      </c>
    </row>
    <row r="35" spans="3:59 2063:2063" x14ac:dyDescent="0.15">
      <c r="C35"/>
      <c r="AA35" s="21" t="s">
        <v>108</v>
      </c>
      <c r="AB35" s="184">
        <v>0</v>
      </c>
      <c r="AC35" s="184">
        <v>0</v>
      </c>
      <c r="AD35" s="184">
        <v>0</v>
      </c>
      <c r="AE35" s="184">
        <v>0</v>
      </c>
      <c r="AF35" s="184">
        <v>0</v>
      </c>
      <c r="AG35" s="184">
        <v>0</v>
      </c>
      <c r="AH35" s="184">
        <v>0</v>
      </c>
      <c r="AI35" s="184">
        <v>0</v>
      </c>
      <c r="AJ35" s="184">
        <v>0</v>
      </c>
      <c r="AK35" s="184">
        <v>0</v>
      </c>
      <c r="AL35" s="184">
        <v>0</v>
      </c>
      <c r="AM35" s="184">
        <v>0</v>
      </c>
      <c r="AN35" s="184">
        <f t="shared" si="2"/>
        <v>0</v>
      </c>
      <c r="AO35" s="231">
        <f t="shared" si="3"/>
        <v>0</v>
      </c>
      <c r="AP35" s="50">
        <f t="shared" si="4"/>
        <v>0</v>
      </c>
    </row>
    <row r="36" spans="3:59 2063:2063" x14ac:dyDescent="0.15">
      <c r="C36"/>
      <c r="AA36" s="21" t="s">
        <v>1349</v>
      </c>
      <c r="AB36" s="184">
        <v>0</v>
      </c>
      <c r="AC36" s="184">
        <v>0</v>
      </c>
      <c r="AD36" s="184">
        <v>0</v>
      </c>
      <c r="AE36" s="184">
        <v>0</v>
      </c>
      <c r="AF36" s="184">
        <v>0</v>
      </c>
      <c r="AG36" s="184">
        <v>0</v>
      </c>
      <c r="AH36" s="184">
        <v>0</v>
      </c>
      <c r="AI36" s="184">
        <v>0</v>
      </c>
      <c r="AJ36" s="184">
        <v>0</v>
      </c>
      <c r="AK36" s="184">
        <v>0</v>
      </c>
      <c r="AL36" s="184">
        <v>0</v>
      </c>
      <c r="AM36" s="184">
        <v>0</v>
      </c>
      <c r="AN36" s="184">
        <f t="shared" si="2"/>
        <v>0</v>
      </c>
      <c r="AO36" s="231">
        <f t="shared" si="3"/>
        <v>0</v>
      </c>
      <c r="AP36" s="50">
        <f t="shared" si="4"/>
        <v>0</v>
      </c>
    </row>
    <row r="37" spans="3:59 2063:2063" ht="14.25" thickBot="1" x14ac:dyDescent="0.2">
      <c r="C37"/>
      <c r="AA37" s="21" t="s">
        <v>112</v>
      </c>
      <c r="AB37" s="184">
        <v>0</v>
      </c>
      <c r="AC37" s="184">
        <v>0</v>
      </c>
      <c r="AD37" s="184">
        <v>0</v>
      </c>
      <c r="AE37" s="184">
        <v>0</v>
      </c>
      <c r="AF37" s="184">
        <v>0</v>
      </c>
      <c r="AG37" s="184">
        <v>0</v>
      </c>
      <c r="AH37" s="184">
        <v>0</v>
      </c>
      <c r="AI37" s="184">
        <v>0</v>
      </c>
      <c r="AJ37" s="184">
        <v>0</v>
      </c>
      <c r="AK37" s="184">
        <v>0</v>
      </c>
      <c r="AL37" s="184">
        <v>0</v>
      </c>
      <c r="AM37" s="184">
        <v>0</v>
      </c>
      <c r="AN37" s="184">
        <f t="shared" ref="AN37:AN68" si="7">SUM(AB37:AM37)</f>
        <v>0</v>
      </c>
      <c r="AO37" s="231">
        <f t="shared" ref="AO37:AO68" si="8">AN37/$AN$2</f>
        <v>0</v>
      </c>
      <c r="AP37" s="50">
        <f t="shared" si="4"/>
        <v>0</v>
      </c>
      <c r="BG37" s="1" t="s">
        <v>4412</v>
      </c>
    </row>
    <row r="38" spans="3:59 2063:2063" ht="14.25" thickBot="1" x14ac:dyDescent="0.2">
      <c r="C38"/>
      <c r="AA38" s="21" t="s">
        <v>114</v>
      </c>
      <c r="AB38" s="184">
        <v>0</v>
      </c>
      <c r="AC38" s="184">
        <v>0</v>
      </c>
      <c r="AD38" s="184">
        <v>0</v>
      </c>
      <c r="AE38" s="184">
        <v>0</v>
      </c>
      <c r="AF38" s="184">
        <v>0</v>
      </c>
      <c r="AG38" s="184">
        <v>0</v>
      </c>
      <c r="AH38" s="184">
        <v>0</v>
      </c>
      <c r="AI38" s="184">
        <v>0</v>
      </c>
      <c r="AJ38" s="184">
        <v>0</v>
      </c>
      <c r="AK38" s="184">
        <v>0</v>
      </c>
      <c r="AL38" s="184">
        <v>0</v>
      </c>
      <c r="AM38" s="184">
        <v>0</v>
      </c>
      <c r="AN38" s="184">
        <f t="shared" si="7"/>
        <v>0</v>
      </c>
      <c r="AO38" s="231">
        <f t="shared" si="8"/>
        <v>0</v>
      </c>
      <c r="AP38" s="50">
        <f t="shared" si="4"/>
        <v>0</v>
      </c>
      <c r="AS38" s="83" t="s">
        <v>1171</v>
      </c>
      <c r="AT38" s="84">
        <f>SUM(AT41:AT70)</f>
        <v>28</v>
      </c>
      <c r="AU38" s="84">
        <f t="shared" ref="AU38:BF38" si="9">SUM(AU41:AU70)</f>
        <v>28</v>
      </c>
      <c r="AV38" s="84">
        <f t="shared" si="9"/>
        <v>38</v>
      </c>
      <c r="AW38" s="84">
        <f t="shared" si="9"/>
        <v>24</v>
      </c>
      <c r="AX38" s="84">
        <f t="shared" si="9"/>
        <v>23</v>
      </c>
      <c r="AY38" s="84">
        <f t="shared" si="9"/>
        <v>52</v>
      </c>
      <c r="AZ38" s="84">
        <f t="shared" si="9"/>
        <v>39</v>
      </c>
      <c r="BA38" s="84">
        <f t="shared" si="9"/>
        <v>22</v>
      </c>
      <c r="BB38" s="84">
        <f t="shared" si="9"/>
        <v>42</v>
      </c>
      <c r="BC38" s="84">
        <f t="shared" si="9"/>
        <v>34</v>
      </c>
      <c r="BD38" s="84">
        <f t="shared" si="9"/>
        <v>39</v>
      </c>
      <c r="BE38" s="84">
        <f t="shared" si="9"/>
        <v>41</v>
      </c>
      <c r="BF38" s="84">
        <f t="shared" si="9"/>
        <v>410</v>
      </c>
      <c r="BG38" s="180">
        <f>$BF$38/12</f>
        <v>34.166666666666664</v>
      </c>
    </row>
    <row r="39" spans="3:59 2063:2063" ht="14.25" thickBot="1" x14ac:dyDescent="0.2">
      <c r="C39"/>
      <c r="AA39" s="21" t="s">
        <v>1350</v>
      </c>
      <c r="AB39" s="184">
        <v>0</v>
      </c>
      <c r="AC39" s="184">
        <v>0</v>
      </c>
      <c r="AD39" s="184">
        <v>0</v>
      </c>
      <c r="AE39" s="184">
        <v>0</v>
      </c>
      <c r="AF39" s="184">
        <v>0</v>
      </c>
      <c r="AG39" s="184">
        <v>0</v>
      </c>
      <c r="AH39" s="184">
        <v>0</v>
      </c>
      <c r="AI39" s="184">
        <v>0</v>
      </c>
      <c r="AJ39" s="184">
        <v>0</v>
      </c>
      <c r="AK39" s="184">
        <v>0</v>
      </c>
      <c r="AL39" s="184">
        <v>0</v>
      </c>
      <c r="AM39" s="184">
        <v>0</v>
      </c>
      <c r="AN39" s="184">
        <f t="shared" si="7"/>
        <v>0</v>
      </c>
      <c r="AO39" s="231">
        <f t="shared" si="8"/>
        <v>0</v>
      </c>
      <c r="AP39" s="50">
        <f t="shared" si="4"/>
        <v>0</v>
      </c>
    </row>
    <row r="40" spans="3:59 2063:2063" x14ac:dyDescent="0.15">
      <c r="C40"/>
      <c r="AA40" s="21" t="s">
        <v>118</v>
      </c>
      <c r="AB40" s="184">
        <v>0</v>
      </c>
      <c r="AC40" s="184">
        <v>0</v>
      </c>
      <c r="AD40" s="184">
        <v>0</v>
      </c>
      <c r="AE40" s="184">
        <v>0</v>
      </c>
      <c r="AF40" s="184">
        <v>0</v>
      </c>
      <c r="AG40" s="184">
        <v>0</v>
      </c>
      <c r="AH40" s="184">
        <v>0</v>
      </c>
      <c r="AI40" s="184">
        <v>0</v>
      </c>
      <c r="AJ40" s="184">
        <v>0</v>
      </c>
      <c r="AK40" s="184">
        <v>0</v>
      </c>
      <c r="AL40" s="184">
        <v>0</v>
      </c>
      <c r="AM40" s="184">
        <v>0</v>
      </c>
      <c r="AN40" s="184">
        <f t="shared" si="7"/>
        <v>0</v>
      </c>
      <c r="AO40" s="231">
        <f t="shared" si="8"/>
        <v>0</v>
      </c>
      <c r="AP40" s="50">
        <f t="shared" si="4"/>
        <v>0</v>
      </c>
      <c r="AS40" s="85" t="s">
        <v>1151</v>
      </c>
      <c r="AT40" s="86" t="s">
        <v>1152</v>
      </c>
      <c r="AU40" s="86" t="s">
        <v>316</v>
      </c>
      <c r="AV40" s="86" t="s">
        <v>317</v>
      </c>
      <c r="AW40" s="86" t="s">
        <v>318</v>
      </c>
      <c r="AX40" s="86" t="s">
        <v>319</v>
      </c>
      <c r="AY40" s="86" t="s">
        <v>320</v>
      </c>
      <c r="AZ40" s="86" t="s">
        <v>321</v>
      </c>
      <c r="BA40" s="86" t="s">
        <v>337</v>
      </c>
      <c r="BB40" s="86" t="s">
        <v>338</v>
      </c>
      <c r="BC40" s="86" t="s">
        <v>313</v>
      </c>
      <c r="BD40" s="86" t="s">
        <v>314</v>
      </c>
      <c r="BE40" s="86" t="s">
        <v>315</v>
      </c>
      <c r="BF40" s="443" t="s">
        <v>1170</v>
      </c>
      <c r="BG40" s="444" t="s">
        <v>1233</v>
      </c>
    </row>
    <row r="41" spans="3:59 2063:2063" x14ac:dyDescent="0.15">
      <c r="C41"/>
      <c r="AA41" s="21" t="s">
        <v>4648</v>
      </c>
      <c r="AB41" s="184">
        <v>0</v>
      </c>
      <c r="AC41" s="184">
        <v>0</v>
      </c>
      <c r="AD41" s="184">
        <v>0</v>
      </c>
      <c r="AE41" s="184">
        <v>0</v>
      </c>
      <c r="AF41" s="184">
        <v>0</v>
      </c>
      <c r="AG41" s="184">
        <v>0</v>
      </c>
      <c r="AH41" s="184">
        <v>0</v>
      </c>
      <c r="AI41" s="184">
        <v>213000</v>
      </c>
      <c r="AJ41" s="184">
        <v>0</v>
      </c>
      <c r="AK41" s="184">
        <v>0</v>
      </c>
      <c r="AL41" s="184">
        <v>0</v>
      </c>
      <c r="AM41" s="184">
        <v>0</v>
      </c>
      <c r="AN41" s="184">
        <f t="shared" si="7"/>
        <v>213000</v>
      </c>
      <c r="AO41" s="231">
        <f t="shared" si="8"/>
        <v>2.8662523492167581E-3</v>
      </c>
      <c r="AP41" s="50">
        <f t="shared" si="4"/>
        <v>17750</v>
      </c>
      <c r="AS41" s="87" t="s">
        <v>1403</v>
      </c>
      <c r="AT41" s="88">
        <v>1</v>
      </c>
      <c r="AU41" s="88">
        <v>2</v>
      </c>
      <c r="AV41" s="88">
        <v>3</v>
      </c>
      <c r="AW41" s="88">
        <v>0</v>
      </c>
      <c r="AX41" s="88">
        <v>0</v>
      </c>
      <c r="AY41" s="88">
        <v>7</v>
      </c>
      <c r="AZ41" s="88">
        <v>3</v>
      </c>
      <c r="BA41" s="88">
        <v>1</v>
      </c>
      <c r="BB41" s="88">
        <v>4</v>
      </c>
      <c r="BC41" s="88">
        <v>1</v>
      </c>
      <c r="BD41" s="88">
        <v>0</v>
      </c>
      <c r="BE41" s="88">
        <v>1</v>
      </c>
      <c r="BF41" s="88">
        <f>SUM(AT41:BE41)</f>
        <v>23</v>
      </c>
      <c r="BG41" s="157">
        <f>BF41/$BF$38</f>
        <v>5.6097560975609757E-2</v>
      </c>
      <c r="CAI41">
        <v>0</v>
      </c>
    </row>
    <row r="42" spans="3:59 2063:2063" x14ac:dyDescent="0.15">
      <c r="C42"/>
      <c r="AA42" s="21" t="s">
        <v>119</v>
      </c>
      <c r="AB42" s="184">
        <v>0</v>
      </c>
      <c r="AC42" s="184">
        <v>0</v>
      </c>
      <c r="AD42" s="184">
        <v>0</v>
      </c>
      <c r="AE42" s="184">
        <v>0</v>
      </c>
      <c r="AF42" s="184">
        <v>0</v>
      </c>
      <c r="AG42" s="184">
        <v>0</v>
      </c>
      <c r="AH42" s="184">
        <v>0</v>
      </c>
      <c r="AI42" s="184">
        <v>0</v>
      </c>
      <c r="AJ42" s="184">
        <v>0</v>
      </c>
      <c r="AK42" s="184">
        <v>0</v>
      </c>
      <c r="AL42" s="184">
        <v>0</v>
      </c>
      <c r="AM42" s="184">
        <v>0</v>
      </c>
      <c r="AN42" s="184">
        <f t="shared" si="7"/>
        <v>0</v>
      </c>
      <c r="AO42" s="231">
        <f t="shared" si="8"/>
        <v>0</v>
      </c>
      <c r="AP42" s="50">
        <f t="shared" si="4"/>
        <v>0</v>
      </c>
      <c r="AS42" s="87" t="s">
        <v>1153</v>
      </c>
      <c r="AT42" s="88">
        <v>1</v>
      </c>
      <c r="AU42" s="88">
        <v>2</v>
      </c>
      <c r="AV42" s="88">
        <v>1</v>
      </c>
      <c r="AW42" s="88">
        <v>1</v>
      </c>
      <c r="AX42" s="88">
        <v>1</v>
      </c>
      <c r="AY42" s="88">
        <v>3</v>
      </c>
      <c r="AZ42" s="88">
        <v>2</v>
      </c>
      <c r="BA42" s="88">
        <v>1</v>
      </c>
      <c r="BB42" s="88">
        <v>3</v>
      </c>
      <c r="BC42" s="88">
        <v>2</v>
      </c>
      <c r="BD42" s="88">
        <v>0</v>
      </c>
      <c r="BE42" s="88">
        <v>0</v>
      </c>
      <c r="BF42" s="88">
        <f t="shared" ref="BF42:BF57" si="10">SUM(AT42:BE42)</f>
        <v>17</v>
      </c>
      <c r="BG42" s="157">
        <f t="shared" ref="BG42:BG57" si="11">BF42/$BF$38</f>
        <v>4.1463414634146344E-2</v>
      </c>
      <c r="CAI42">
        <v>0</v>
      </c>
    </row>
    <row r="43" spans="3:59 2063:2063" x14ac:dyDescent="0.15">
      <c r="C43"/>
      <c r="AA43" s="21" t="s">
        <v>121</v>
      </c>
      <c r="AB43" s="184">
        <v>0</v>
      </c>
      <c r="AC43" s="184">
        <v>0</v>
      </c>
      <c r="AD43" s="184">
        <v>0</v>
      </c>
      <c r="AE43" s="184">
        <v>0</v>
      </c>
      <c r="AF43" s="184">
        <v>0</v>
      </c>
      <c r="AG43" s="184">
        <v>0</v>
      </c>
      <c r="AH43" s="184">
        <v>0</v>
      </c>
      <c r="AI43" s="184">
        <v>0</v>
      </c>
      <c r="AJ43" s="184">
        <v>0</v>
      </c>
      <c r="AK43" s="184">
        <v>0</v>
      </c>
      <c r="AL43" s="184">
        <v>0</v>
      </c>
      <c r="AM43" s="184">
        <v>0</v>
      </c>
      <c r="AN43" s="184">
        <f t="shared" si="7"/>
        <v>0</v>
      </c>
      <c r="AO43" s="231">
        <f t="shared" si="8"/>
        <v>0</v>
      </c>
      <c r="AP43" s="50">
        <f t="shared" si="4"/>
        <v>0</v>
      </c>
      <c r="AS43" s="87" t="s">
        <v>365</v>
      </c>
      <c r="AT43" s="88">
        <v>6</v>
      </c>
      <c r="AU43" s="88">
        <v>5</v>
      </c>
      <c r="AV43" s="88">
        <v>22</v>
      </c>
      <c r="AW43" s="88">
        <v>1</v>
      </c>
      <c r="AX43" s="88">
        <v>10</v>
      </c>
      <c r="AY43" s="88">
        <v>7</v>
      </c>
      <c r="AZ43" s="88">
        <v>14</v>
      </c>
      <c r="BA43" s="88">
        <v>10</v>
      </c>
      <c r="BB43" s="88">
        <v>11</v>
      </c>
      <c r="BC43" s="88">
        <v>9</v>
      </c>
      <c r="BD43" s="88">
        <v>12</v>
      </c>
      <c r="BE43" s="88">
        <v>7</v>
      </c>
      <c r="BF43" s="88">
        <f t="shared" si="10"/>
        <v>114</v>
      </c>
      <c r="BG43" s="157">
        <f t="shared" si="11"/>
        <v>0.2780487804878049</v>
      </c>
      <c r="CAI43">
        <v>0</v>
      </c>
    </row>
    <row r="44" spans="3:59 2063:2063" x14ac:dyDescent="0.15">
      <c r="C44"/>
      <c r="AA44" s="21" t="s">
        <v>122</v>
      </c>
      <c r="AB44" s="184">
        <v>0</v>
      </c>
      <c r="AC44" s="184">
        <v>0</v>
      </c>
      <c r="AD44" s="184">
        <v>0</v>
      </c>
      <c r="AE44" s="184">
        <v>0</v>
      </c>
      <c r="AF44" s="184">
        <v>0</v>
      </c>
      <c r="AG44" s="184">
        <v>0</v>
      </c>
      <c r="AH44" s="184">
        <v>0</v>
      </c>
      <c r="AI44" s="184">
        <v>0</v>
      </c>
      <c r="AJ44" s="184">
        <v>0</v>
      </c>
      <c r="AK44" s="184">
        <v>0</v>
      </c>
      <c r="AL44" s="184">
        <v>0</v>
      </c>
      <c r="AM44" s="184">
        <v>0</v>
      </c>
      <c r="AN44" s="184">
        <f t="shared" si="7"/>
        <v>0</v>
      </c>
      <c r="AO44" s="231">
        <f t="shared" si="8"/>
        <v>0</v>
      </c>
      <c r="AP44" s="50">
        <f t="shared" si="4"/>
        <v>0</v>
      </c>
      <c r="AS44" s="87" t="s">
        <v>1154</v>
      </c>
      <c r="AT44" s="88">
        <v>0</v>
      </c>
      <c r="AU44" s="88">
        <v>-1</v>
      </c>
      <c r="AV44" s="88">
        <v>0</v>
      </c>
      <c r="AW44" s="88">
        <v>0</v>
      </c>
      <c r="AX44" s="88">
        <v>0</v>
      </c>
      <c r="AY44" s="88">
        <v>0</v>
      </c>
      <c r="AZ44" s="88">
        <v>-1</v>
      </c>
      <c r="BA44" s="88">
        <v>0</v>
      </c>
      <c r="BB44" s="88">
        <v>0</v>
      </c>
      <c r="BC44" s="88">
        <v>0</v>
      </c>
      <c r="BD44" s="88">
        <v>0</v>
      </c>
      <c r="BE44" s="88">
        <v>0</v>
      </c>
      <c r="BF44" s="88">
        <f t="shared" si="10"/>
        <v>-2</v>
      </c>
      <c r="BG44" s="157">
        <f t="shared" si="11"/>
        <v>-4.8780487804878049E-3</v>
      </c>
      <c r="CAI44">
        <v>0</v>
      </c>
    </row>
    <row r="45" spans="3:59 2063:2063" x14ac:dyDescent="0.15">
      <c r="C45"/>
      <c r="AA45" s="21" t="s">
        <v>1334</v>
      </c>
      <c r="AB45" s="184">
        <v>0</v>
      </c>
      <c r="AC45" s="184">
        <v>0</v>
      </c>
      <c r="AD45" s="184">
        <v>0</v>
      </c>
      <c r="AE45" s="184">
        <v>0</v>
      </c>
      <c r="AF45" s="184">
        <v>0</v>
      </c>
      <c r="AG45" s="184">
        <v>0</v>
      </c>
      <c r="AH45" s="184">
        <v>0</v>
      </c>
      <c r="AI45" s="184">
        <v>0</v>
      </c>
      <c r="AJ45" s="184">
        <v>0</v>
      </c>
      <c r="AK45" s="184">
        <v>0</v>
      </c>
      <c r="AL45" s="184">
        <v>0</v>
      </c>
      <c r="AM45" s="184">
        <v>0</v>
      </c>
      <c r="AN45" s="184">
        <f t="shared" si="7"/>
        <v>0</v>
      </c>
      <c r="AO45" s="231">
        <f t="shared" si="8"/>
        <v>0</v>
      </c>
      <c r="AP45" s="50">
        <f t="shared" si="4"/>
        <v>0</v>
      </c>
      <c r="AS45" s="87" t="s">
        <v>1169</v>
      </c>
      <c r="AT45" s="88">
        <v>0</v>
      </c>
      <c r="AU45" s="88">
        <v>0</v>
      </c>
      <c r="AV45" s="88">
        <v>0</v>
      </c>
      <c r="AW45" s="88">
        <v>0</v>
      </c>
      <c r="AX45" s="88">
        <v>0</v>
      </c>
      <c r="AY45" s="88">
        <v>0</v>
      </c>
      <c r="AZ45" s="88">
        <v>0</v>
      </c>
      <c r="BA45" s="88">
        <v>0</v>
      </c>
      <c r="BB45" s="88">
        <v>0</v>
      </c>
      <c r="BC45" s="88">
        <v>0</v>
      </c>
      <c r="BD45" s="88">
        <v>0</v>
      </c>
      <c r="BE45" s="88">
        <v>0</v>
      </c>
      <c r="BF45" s="88">
        <f t="shared" si="10"/>
        <v>0</v>
      </c>
      <c r="BG45" s="157">
        <f t="shared" si="11"/>
        <v>0</v>
      </c>
      <c r="CAI45">
        <v>0</v>
      </c>
    </row>
    <row r="46" spans="3:59 2063:2063" x14ac:dyDescent="0.15">
      <c r="C46"/>
      <c r="AA46" s="21" t="s">
        <v>125</v>
      </c>
      <c r="AB46" s="184">
        <v>0</v>
      </c>
      <c r="AC46" s="184">
        <v>0</v>
      </c>
      <c r="AD46" s="184">
        <v>0</v>
      </c>
      <c r="AE46" s="184">
        <v>0</v>
      </c>
      <c r="AF46" s="184">
        <v>0</v>
      </c>
      <c r="AG46" s="184">
        <v>0</v>
      </c>
      <c r="AH46" s="184">
        <v>0</v>
      </c>
      <c r="AI46" s="184">
        <v>0</v>
      </c>
      <c r="AJ46" s="184">
        <v>0</v>
      </c>
      <c r="AK46" s="184">
        <v>0</v>
      </c>
      <c r="AL46" s="184">
        <v>0</v>
      </c>
      <c r="AM46" s="184">
        <v>0</v>
      </c>
      <c r="AN46" s="184">
        <f t="shared" si="7"/>
        <v>0</v>
      </c>
      <c r="AO46" s="231">
        <f t="shared" si="8"/>
        <v>0</v>
      </c>
      <c r="AP46" s="50">
        <f t="shared" si="4"/>
        <v>0</v>
      </c>
      <c r="AS46" s="87" t="s">
        <v>1212</v>
      </c>
      <c r="AT46" s="88">
        <v>0</v>
      </c>
      <c r="AU46" s="88">
        <v>0</v>
      </c>
      <c r="AV46" s="88">
        <v>0</v>
      </c>
      <c r="AW46" s="88">
        <v>0</v>
      </c>
      <c r="AX46" s="88">
        <v>0</v>
      </c>
      <c r="AY46" s="88">
        <v>0</v>
      </c>
      <c r="AZ46" s="88">
        <v>0</v>
      </c>
      <c r="BA46" s="88">
        <v>0</v>
      </c>
      <c r="BB46" s="88">
        <v>0</v>
      </c>
      <c r="BC46" s="88">
        <v>0</v>
      </c>
      <c r="BD46" s="88">
        <v>0</v>
      </c>
      <c r="BE46" s="88">
        <v>0</v>
      </c>
      <c r="BF46" s="88">
        <f t="shared" si="10"/>
        <v>0</v>
      </c>
      <c r="BG46" s="157">
        <f t="shared" si="11"/>
        <v>0</v>
      </c>
      <c r="CAI46">
        <v>0</v>
      </c>
    </row>
    <row r="47" spans="3:59 2063:2063" x14ac:dyDescent="0.15">
      <c r="C47"/>
      <c r="AA47" s="21" t="s">
        <v>126</v>
      </c>
      <c r="AB47" s="184">
        <v>0</v>
      </c>
      <c r="AC47" s="184">
        <v>0</v>
      </c>
      <c r="AD47" s="184">
        <v>0</v>
      </c>
      <c r="AE47" s="184">
        <v>0</v>
      </c>
      <c r="AF47" s="184">
        <v>0</v>
      </c>
      <c r="AG47" s="184">
        <v>0</v>
      </c>
      <c r="AH47" s="184">
        <v>0</v>
      </c>
      <c r="AI47" s="184">
        <v>0</v>
      </c>
      <c r="AJ47" s="184">
        <v>0</v>
      </c>
      <c r="AK47" s="184">
        <v>0</v>
      </c>
      <c r="AL47" s="184">
        <v>0</v>
      </c>
      <c r="AM47" s="184">
        <v>0</v>
      </c>
      <c r="AN47" s="184">
        <f t="shared" si="7"/>
        <v>0</v>
      </c>
      <c r="AO47" s="231">
        <f t="shared" si="8"/>
        <v>0</v>
      </c>
      <c r="AP47" s="50">
        <f t="shared" si="4"/>
        <v>0</v>
      </c>
      <c r="AS47" s="87" t="s">
        <v>1213</v>
      </c>
      <c r="AT47" s="88">
        <v>0</v>
      </c>
      <c r="AU47" s="88">
        <v>0</v>
      </c>
      <c r="AV47" s="88">
        <v>0</v>
      </c>
      <c r="AW47" s="88">
        <v>0</v>
      </c>
      <c r="AX47" s="88">
        <v>2</v>
      </c>
      <c r="AY47" s="88">
        <v>2</v>
      </c>
      <c r="AZ47" s="88">
        <v>1</v>
      </c>
      <c r="BA47" s="88">
        <v>0</v>
      </c>
      <c r="BB47" s="88">
        <v>0</v>
      </c>
      <c r="BC47" s="88">
        <v>0</v>
      </c>
      <c r="BD47" s="88">
        <v>0</v>
      </c>
      <c r="BE47" s="88">
        <v>0</v>
      </c>
      <c r="BF47" s="88">
        <f t="shared" si="10"/>
        <v>5</v>
      </c>
      <c r="BG47" s="157">
        <f t="shared" si="11"/>
        <v>1.2195121951219513E-2</v>
      </c>
      <c r="CAI47">
        <v>0</v>
      </c>
    </row>
    <row r="48" spans="3:59 2063:2063" x14ac:dyDescent="0.15">
      <c r="C48"/>
      <c r="AA48" s="21" t="s">
        <v>128</v>
      </c>
      <c r="AB48" s="184">
        <v>0</v>
      </c>
      <c r="AC48" s="184">
        <v>0</v>
      </c>
      <c r="AD48" s="184">
        <v>0</v>
      </c>
      <c r="AE48" s="184">
        <v>0</v>
      </c>
      <c r="AF48" s="184">
        <v>0</v>
      </c>
      <c r="AG48" s="184">
        <v>0</v>
      </c>
      <c r="AH48" s="184">
        <v>160550</v>
      </c>
      <c r="AI48" s="184">
        <v>0</v>
      </c>
      <c r="AJ48" s="184">
        <v>130000</v>
      </c>
      <c r="AK48" s="184">
        <v>0</v>
      </c>
      <c r="AL48" s="184">
        <v>0</v>
      </c>
      <c r="AM48" s="184">
        <v>0</v>
      </c>
      <c r="AN48" s="184">
        <f t="shared" si="7"/>
        <v>290550</v>
      </c>
      <c r="AO48" s="231">
        <f t="shared" si="8"/>
        <v>3.909810422840043E-3</v>
      </c>
      <c r="AP48" s="50">
        <f t="shared" si="4"/>
        <v>24212.5</v>
      </c>
      <c r="AQ48" s="166"/>
      <c r="AS48" s="87" t="s">
        <v>1214</v>
      </c>
      <c r="AT48" s="88">
        <v>1</v>
      </c>
      <c r="AU48" s="88">
        <v>3</v>
      </c>
      <c r="AV48" s="88">
        <v>0</v>
      </c>
      <c r="AW48" s="88">
        <v>6</v>
      </c>
      <c r="AX48" s="88">
        <v>0</v>
      </c>
      <c r="AY48" s="88">
        <v>0</v>
      </c>
      <c r="AZ48" s="88">
        <v>0</v>
      </c>
      <c r="BA48" s="88">
        <v>0</v>
      </c>
      <c r="BB48" s="88">
        <v>0</v>
      </c>
      <c r="BC48" s="88">
        <v>0</v>
      </c>
      <c r="BD48" s="88">
        <v>0</v>
      </c>
      <c r="BE48" s="88">
        <v>5</v>
      </c>
      <c r="BF48" s="88">
        <f t="shared" si="10"/>
        <v>15</v>
      </c>
      <c r="BG48" s="157">
        <f t="shared" si="11"/>
        <v>3.6585365853658534E-2</v>
      </c>
      <c r="CAI48">
        <v>0</v>
      </c>
    </row>
    <row r="49" spans="3:59 2063:2063" x14ac:dyDescent="0.15">
      <c r="C49"/>
      <c r="AA49" s="21" t="s">
        <v>130</v>
      </c>
      <c r="AB49" s="184">
        <v>0</v>
      </c>
      <c r="AC49" s="184">
        <v>0</v>
      </c>
      <c r="AD49" s="184">
        <v>16000</v>
      </c>
      <c r="AE49" s="184">
        <v>0</v>
      </c>
      <c r="AF49" s="184">
        <v>190800</v>
      </c>
      <c r="AG49" s="184">
        <v>0</v>
      </c>
      <c r="AH49" s="184">
        <v>0</v>
      </c>
      <c r="AI49" s="184">
        <v>0</v>
      </c>
      <c r="AJ49" s="184">
        <v>0</v>
      </c>
      <c r="AK49" s="184">
        <v>0</v>
      </c>
      <c r="AL49" s="184">
        <v>0</v>
      </c>
      <c r="AM49" s="184">
        <v>0</v>
      </c>
      <c r="AN49" s="184">
        <f t="shared" si="7"/>
        <v>206800</v>
      </c>
      <c r="AO49" s="231">
        <f t="shared" si="8"/>
        <v>2.782821529662092E-3</v>
      </c>
      <c r="AP49" s="50">
        <f t="shared" si="4"/>
        <v>17233.333333333332</v>
      </c>
      <c r="AQ49" s="166"/>
      <c r="AS49" s="87" t="s">
        <v>1424</v>
      </c>
      <c r="AT49" s="88">
        <v>0</v>
      </c>
      <c r="AU49" s="88">
        <v>0</v>
      </c>
      <c r="AV49" s="88">
        <v>0</v>
      </c>
      <c r="AW49" s="88">
        <v>0</v>
      </c>
      <c r="AX49" s="88">
        <v>0</v>
      </c>
      <c r="AY49" s="88">
        <v>0</v>
      </c>
      <c r="AZ49" s="88">
        <v>0</v>
      </c>
      <c r="BA49" s="88">
        <v>0</v>
      </c>
      <c r="BB49" s="88">
        <v>0</v>
      </c>
      <c r="BC49" s="88">
        <v>0</v>
      </c>
      <c r="BD49" s="88">
        <v>0</v>
      </c>
      <c r="BE49" s="88">
        <v>0</v>
      </c>
      <c r="BF49" s="88">
        <f t="shared" si="10"/>
        <v>0</v>
      </c>
      <c r="BG49" s="157">
        <f t="shared" si="11"/>
        <v>0</v>
      </c>
      <c r="CAI49">
        <v>0</v>
      </c>
    </row>
    <row r="50" spans="3:59 2063:2063" x14ac:dyDescent="0.15">
      <c r="C50"/>
      <c r="AA50" s="21" t="s">
        <v>1351</v>
      </c>
      <c r="AB50" s="184">
        <v>0</v>
      </c>
      <c r="AC50" s="184">
        <v>0</v>
      </c>
      <c r="AD50" s="184">
        <v>0</v>
      </c>
      <c r="AE50" s="184">
        <v>0</v>
      </c>
      <c r="AF50" s="184">
        <v>0</v>
      </c>
      <c r="AG50" s="184">
        <v>0</v>
      </c>
      <c r="AH50" s="184">
        <v>0</v>
      </c>
      <c r="AI50" s="184">
        <v>0</v>
      </c>
      <c r="AJ50" s="184">
        <v>0</v>
      </c>
      <c r="AK50" s="184">
        <v>0</v>
      </c>
      <c r="AL50" s="184">
        <v>0</v>
      </c>
      <c r="AM50" s="184">
        <v>0</v>
      </c>
      <c r="AN50" s="184">
        <f t="shared" si="7"/>
        <v>0</v>
      </c>
      <c r="AO50" s="231">
        <f t="shared" si="8"/>
        <v>0</v>
      </c>
      <c r="AP50" s="50">
        <f t="shared" si="4"/>
        <v>0</v>
      </c>
      <c r="AQ50" s="166"/>
      <c r="AS50" s="87" t="s">
        <v>538</v>
      </c>
      <c r="AT50" s="88">
        <v>2</v>
      </c>
      <c r="AU50" s="88">
        <v>4</v>
      </c>
      <c r="AV50" s="88">
        <v>2</v>
      </c>
      <c r="AW50" s="88">
        <v>4</v>
      </c>
      <c r="AX50" s="88">
        <v>2</v>
      </c>
      <c r="AY50" s="88">
        <v>0</v>
      </c>
      <c r="AZ50" s="88">
        <v>1</v>
      </c>
      <c r="BA50" s="88">
        <v>1</v>
      </c>
      <c r="BB50" s="88">
        <v>1</v>
      </c>
      <c r="BC50" s="88">
        <v>0</v>
      </c>
      <c r="BD50" s="88">
        <v>0</v>
      </c>
      <c r="BE50" s="88">
        <v>2</v>
      </c>
      <c r="BF50" s="88">
        <f t="shared" si="10"/>
        <v>19</v>
      </c>
      <c r="BG50" s="157">
        <f t="shared" si="11"/>
        <v>4.6341463414634146E-2</v>
      </c>
      <c r="CAI50">
        <v>0</v>
      </c>
    </row>
    <row r="51" spans="3:59 2063:2063" x14ac:dyDescent="0.15">
      <c r="C51"/>
      <c r="AA51" s="21" t="s">
        <v>1352</v>
      </c>
      <c r="AB51" s="184">
        <v>0</v>
      </c>
      <c r="AC51" s="184">
        <v>0</v>
      </c>
      <c r="AD51" s="184">
        <v>0</v>
      </c>
      <c r="AE51" s="184">
        <v>0</v>
      </c>
      <c r="AF51" s="184">
        <v>0</v>
      </c>
      <c r="AG51" s="184">
        <v>0</v>
      </c>
      <c r="AH51" s="184">
        <v>15000</v>
      </c>
      <c r="AI51" s="184">
        <v>0</v>
      </c>
      <c r="AJ51" s="184">
        <v>0</v>
      </c>
      <c r="AK51" s="184">
        <v>0</v>
      </c>
      <c r="AL51" s="184">
        <v>0</v>
      </c>
      <c r="AM51" s="184">
        <v>0</v>
      </c>
      <c r="AN51" s="184">
        <f t="shared" si="7"/>
        <v>15000</v>
      </c>
      <c r="AO51" s="231">
        <f t="shared" si="8"/>
        <v>2.0184875698709564E-4</v>
      </c>
      <c r="AP51" s="50">
        <f t="shared" si="4"/>
        <v>1250</v>
      </c>
      <c r="AQ51" s="166"/>
      <c r="AS51" s="87" t="s">
        <v>1155</v>
      </c>
      <c r="AT51" s="88">
        <v>1</v>
      </c>
      <c r="AU51" s="88">
        <v>1</v>
      </c>
      <c r="AV51" s="88">
        <v>0</v>
      </c>
      <c r="AW51" s="88">
        <v>2</v>
      </c>
      <c r="AX51" s="88">
        <v>1</v>
      </c>
      <c r="AY51" s="88">
        <v>1</v>
      </c>
      <c r="AZ51" s="88">
        <v>0</v>
      </c>
      <c r="BA51" s="88">
        <v>0</v>
      </c>
      <c r="BB51" s="88">
        <v>0</v>
      </c>
      <c r="BC51" s="88">
        <v>2</v>
      </c>
      <c r="BD51" s="88">
        <v>3</v>
      </c>
      <c r="BE51" s="88">
        <v>2</v>
      </c>
      <c r="BF51" s="88">
        <f t="shared" si="10"/>
        <v>13</v>
      </c>
      <c r="BG51" s="157">
        <f t="shared" si="11"/>
        <v>3.1707317073170732E-2</v>
      </c>
      <c r="CAI51">
        <v>0</v>
      </c>
    </row>
    <row r="52" spans="3:59 2063:2063" x14ac:dyDescent="0.15">
      <c r="C52"/>
      <c r="AA52" s="21" t="s">
        <v>136</v>
      </c>
      <c r="AB52" s="184">
        <v>0</v>
      </c>
      <c r="AC52" s="184">
        <v>0</v>
      </c>
      <c r="AD52" s="184">
        <v>0</v>
      </c>
      <c r="AE52" s="184">
        <v>0</v>
      </c>
      <c r="AF52" s="184">
        <v>0</v>
      </c>
      <c r="AG52" s="184">
        <v>0</v>
      </c>
      <c r="AH52" s="184">
        <v>0</v>
      </c>
      <c r="AI52" s="184">
        <v>0</v>
      </c>
      <c r="AJ52" s="184">
        <v>0</v>
      </c>
      <c r="AK52" s="184">
        <v>0</v>
      </c>
      <c r="AL52" s="184">
        <v>0</v>
      </c>
      <c r="AM52" s="184">
        <v>0</v>
      </c>
      <c r="AN52" s="184">
        <f t="shared" si="7"/>
        <v>0</v>
      </c>
      <c r="AO52" s="231">
        <f t="shared" si="8"/>
        <v>0</v>
      </c>
      <c r="AP52" s="50">
        <f t="shared" si="4"/>
        <v>0</v>
      </c>
      <c r="AQ52" s="166"/>
      <c r="AS52" s="87" t="s">
        <v>1156</v>
      </c>
      <c r="AT52" s="88">
        <v>0</v>
      </c>
      <c r="AU52" s="88">
        <v>0</v>
      </c>
      <c r="AV52" s="88">
        <v>0</v>
      </c>
      <c r="AW52" s="88">
        <v>0</v>
      </c>
      <c r="AX52" s="88">
        <v>0</v>
      </c>
      <c r="AY52" s="88">
        <v>0</v>
      </c>
      <c r="AZ52" s="88">
        <v>0</v>
      </c>
      <c r="BA52" s="88">
        <v>0</v>
      </c>
      <c r="BB52" s="88">
        <v>0</v>
      </c>
      <c r="BC52" s="88">
        <v>0</v>
      </c>
      <c r="BD52" s="88">
        <v>0</v>
      </c>
      <c r="BE52" s="88">
        <v>0</v>
      </c>
      <c r="BF52" s="88">
        <f t="shared" si="10"/>
        <v>0</v>
      </c>
      <c r="BG52" s="157">
        <f t="shared" si="11"/>
        <v>0</v>
      </c>
      <c r="CAI52">
        <v>0</v>
      </c>
    </row>
    <row r="53" spans="3:59 2063:2063" x14ac:dyDescent="0.15">
      <c r="C53"/>
      <c r="AA53" s="21" t="s">
        <v>1353</v>
      </c>
      <c r="AB53" s="184">
        <v>0</v>
      </c>
      <c r="AC53" s="184">
        <v>0</v>
      </c>
      <c r="AD53" s="184">
        <v>0</v>
      </c>
      <c r="AE53" s="184">
        <v>0</v>
      </c>
      <c r="AF53" s="184">
        <v>0</v>
      </c>
      <c r="AG53" s="184">
        <v>0</v>
      </c>
      <c r="AH53" s="184">
        <v>0</v>
      </c>
      <c r="AI53" s="184">
        <v>0</v>
      </c>
      <c r="AJ53" s="184">
        <v>0</v>
      </c>
      <c r="AK53" s="184">
        <v>0</v>
      </c>
      <c r="AL53" s="184">
        <v>0</v>
      </c>
      <c r="AM53" s="184">
        <v>0</v>
      </c>
      <c r="AN53" s="184">
        <f t="shared" si="7"/>
        <v>0</v>
      </c>
      <c r="AO53" s="231">
        <f t="shared" si="8"/>
        <v>0</v>
      </c>
      <c r="AP53" s="50">
        <f t="shared" si="4"/>
        <v>0</v>
      </c>
      <c r="AQ53" s="166"/>
      <c r="AS53" s="87" t="s">
        <v>1157</v>
      </c>
      <c r="AT53" s="88">
        <v>0</v>
      </c>
      <c r="AU53" s="88">
        <v>0</v>
      </c>
      <c r="AV53" s="88">
        <v>0</v>
      </c>
      <c r="AW53" s="88">
        <v>0</v>
      </c>
      <c r="AX53" s="88">
        <v>0</v>
      </c>
      <c r="AY53" s="88">
        <v>0</v>
      </c>
      <c r="AZ53" s="88">
        <v>0</v>
      </c>
      <c r="BA53" s="88">
        <v>0</v>
      </c>
      <c r="BB53" s="88">
        <v>0</v>
      </c>
      <c r="BC53" s="88">
        <v>0</v>
      </c>
      <c r="BD53" s="88">
        <v>0</v>
      </c>
      <c r="BE53" s="88">
        <v>0</v>
      </c>
      <c r="BF53" s="88">
        <f t="shared" si="10"/>
        <v>0</v>
      </c>
      <c r="BG53" s="157">
        <f t="shared" si="11"/>
        <v>0</v>
      </c>
      <c r="CAI53">
        <v>0</v>
      </c>
    </row>
    <row r="54" spans="3:59 2063:2063" x14ac:dyDescent="0.15">
      <c r="C54"/>
      <c r="AA54" s="21" t="s">
        <v>140</v>
      </c>
      <c r="AB54" s="184">
        <v>0</v>
      </c>
      <c r="AC54" s="184">
        <v>0</v>
      </c>
      <c r="AD54" s="184">
        <v>0</v>
      </c>
      <c r="AE54" s="184">
        <v>0</v>
      </c>
      <c r="AF54" s="184">
        <v>0</v>
      </c>
      <c r="AG54" s="184">
        <v>0</v>
      </c>
      <c r="AH54" s="184">
        <v>0</v>
      </c>
      <c r="AI54" s="184">
        <v>0</v>
      </c>
      <c r="AJ54" s="184">
        <v>0</v>
      </c>
      <c r="AK54" s="184">
        <v>0</v>
      </c>
      <c r="AL54" s="184">
        <v>0</v>
      </c>
      <c r="AM54" s="184">
        <v>0</v>
      </c>
      <c r="AN54" s="184">
        <f t="shared" si="7"/>
        <v>0</v>
      </c>
      <c r="AO54" s="231">
        <f t="shared" si="8"/>
        <v>0</v>
      </c>
      <c r="AP54" s="50">
        <f t="shared" si="4"/>
        <v>0</v>
      </c>
      <c r="AQ54" s="166"/>
      <c r="AS54" s="87" t="s">
        <v>1158</v>
      </c>
      <c r="AT54" s="88">
        <v>8</v>
      </c>
      <c r="AU54" s="88">
        <v>6</v>
      </c>
      <c r="AV54" s="88">
        <v>3</v>
      </c>
      <c r="AW54" s="88">
        <v>2</v>
      </c>
      <c r="AX54" s="88">
        <v>3</v>
      </c>
      <c r="AY54" s="88">
        <v>13</v>
      </c>
      <c r="AZ54" s="88">
        <v>7</v>
      </c>
      <c r="BA54" s="88">
        <v>8</v>
      </c>
      <c r="BB54" s="88">
        <v>8</v>
      </c>
      <c r="BC54" s="88">
        <v>8</v>
      </c>
      <c r="BD54" s="88">
        <v>13</v>
      </c>
      <c r="BE54" s="88">
        <v>12</v>
      </c>
      <c r="BF54" s="88">
        <f t="shared" si="10"/>
        <v>91</v>
      </c>
      <c r="BG54" s="157">
        <f t="shared" si="11"/>
        <v>0.22195121951219512</v>
      </c>
      <c r="CAI54">
        <v>0</v>
      </c>
    </row>
    <row r="55" spans="3:59 2063:2063" x14ac:dyDescent="0.15">
      <c r="C55"/>
      <c r="AA55" s="21" t="s">
        <v>330</v>
      </c>
      <c r="AB55" s="184">
        <v>10200</v>
      </c>
      <c r="AC55" s="184">
        <v>0</v>
      </c>
      <c r="AD55" s="184">
        <v>0</v>
      </c>
      <c r="AE55" s="184">
        <v>0</v>
      </c>
      <c r="AF55" s="184">
        <v>0</v>
      </c>
      <c r="AG55" s="184">
        <v>0</v>
      </c>
      <c r="AH55" s="184">
        <v>0</v>
      </c>
      <c r="AI55" s="184">
        <v>0</v>
      </c>
      <c r="AJ55" s="184">
        <v>0</v>
      </c>
      <c r="AK55" s="184">
        <v>0</v>
      </c>
      <c r="AL55" s="184">
        <v>24700</v>
      </c>
      <c r="AM55" s="184">
        <v>0</v>
      </c>
      <c r="AN55" s="184">
        <f t="shared" si="7"/>
        <v>34900</v>
      </c>
      <c r="AO55" s="231">
        <f t="shared" si="8"/>
        <v>4.696347745899759E-4</v>
      </c>
      <c r="AP55" s="50">
        <f t="shared" si="4"/>
        <v>2908.3333333333335</v>
      </c>
      <c r="AQ55" s="166"/>
      <c r="AS55" s="87" t="s">
        <v>1159</v>
      </c>
      <c r="AT55" s="88">
        <v>2</v>
      </c>
      <c r="AU55" s="88">
        <v>0</v>
      </c>
      <c r="AV55" s="88">
        <v>0</v>
      </c>
      <c r="AW55" s="88">
        <v>0</v>
      </c>
      <c r="AX55" s="88">
        <v>0</v>
      </c>
      <c r="AY55" s="88">
        <v>0</v>
      </c>
      <c r="AZ55" s="88">
        <v>0</v>
      </c>
      <c r="BA55" s="88">
        <v>0</v>
      </c>
      <c r="BB55" s="88">
        <v>1</v>
      </c>
      <c r="BC55" s="88">
        <v>0</v>
      </c>
      <c r="BD55" s="88">
        <v>0</v>
      </c>
      <c r="BE55" s="88">
        <v>3</v>
      </c>
      <c r="BF55" s="88">
        <f t="shared" si="10"/>
        <v>6</v>
      </c>
      <c r="BG55" s="157">
        <f t="shared" si="11"/>
        <v>1.4634146341463415E-2</v>
      </c>
      <c r="CAI55">
        <v>0</v>
      </c>
    </row>
    <row r="56" spans="3:59 2063:2063" x14ac:dyDescent="0.15">
      <c r="C56"/>
      <c r="AA56" s="21" t="s">
        <v>1354</v>
      </c>
      <c r="AB56" s="184">
        <v>0</v>
      </c>
      <c r="AC56" s="184">
        <v>0</v>
      </c>
      <c r="AD56" s="184">
        <v>0</v>
      </c>
      <c r="AE56" s="184">
        <v>0</v>
      </c>
      <c r="AF56" s="184">
        <v>0</v>
      </c>
      <c r="AG56" s="184">
        <v>0</v>
      </c>
      <c r="AH56" s="184">
        <v>0</v>
      </c>
      <c r="AI56" s="184">
        <v>0</v>
      </c>
      <c r="AJ56" s="184">
        <v>0</v>
      </c>
      <c r="AK56" s="184">
        <v>0</v>
      </c>
      <c r="AL56" s="184">
        <v>0</v>
      </c>
      <c r="AM56" s="184">
        <v>0</v>
      </c>
      <c r="AN56" s="184">
        <f t="shared" si="7"/>
        <v>0</v>
      </c>
      <c r="AO56" s="231">
        <f t="shared" si="8"/>
        <v>0</v>
      </c>
      <c r="AP56" s="50">
        <f t="shared" si="4"/>
        <v>0</v>
      </c>
      <c r="AQ56" s="166"/>
      <c r="AS56" s="87" t="s">
        <v>539</v>
      </c>
      <c r="AT56" s="88">
        <v>1</v>
      </c>
      <c r="AU56" s="88">
        <v>1</v>
      </c>
      <c r="AV56" s="88">
        <v>1</v>
      </c>
      <c r="AW56" s="88">
        <v>3</v>
      </c>
      <c r="AX56" s="88">
        <v>1</v>
      </c>
      <c r="AY56" s="88">
        <v>5</v>
      </c>
      <c r="AZ56" s="88">
        <v>3</v>
      </c>
      <c r="BA56" s="88">
        <v>0</v>
      </c>
      <c r="BB56" s="88">
        <v>1</v>
      </c>
      <c r="BC56" s="88">
        <v>1</v>
      </c>
      <c r="BD56" s="88">
        <v>2</v>
      </c>
      <c r="BE56" s="88">
        <v>2</v>
      </c>
      <c r="BF56" s="88">
        <f t="shared" si="10"/>
        <v>21</v>
      </c>
      <c r="BG56" s="157">
        <f t="shared" si="11"/>
        <v>5.1219512195121948E-2</v>
      </c>
      <c r="CAI56">
        <v>0</v>
      </c>
    </row>
    <row r="57" spans="3:59 2063:2063" x14ac:dyDescent="0.15">
      <c r="C57"/>
      <c r="AA57" s="21" t="s">
        <v>145</v>
      </c>
      <c r="AB57" s="184">
        <v>520000</v>
      </c>
      <c r="AC57" s="184">
        <v>504250</v>
      </c>
      <c r="AD57" s="184">
        <v>0</v>
      </c>
      <c r="AE57" s="184">
        <v>0</v>
      </c>
      <c r="AF57" s="184">
        <v>250000</v>
      </c>
      <c r="AG57" s="184">
        <v>0</v>
      </c>
      <c r="AH57" s="184">
        <v>829000</v>
      </c>
      <c r="AI57" s="184">
        <v>216000</v>
      </c>
      <c r="AJ57" s="184">
        <v>0</v>
      </c>
      <c r="AK57" s="184">
        <v>130000</v>
      </c>
      <c r="AL57" s="184">
        <v>132160</v>
      </c>
      <c r="AM57" s="184">
        <v>1099150</v>
      </c>
      <c r="AN57" s="184">
        <f t="shared" si="7"/>
        <v>3680560</v>
      </c>
      <c r="AO57" s="231">
        <f t="shared" si="8"/>
        <v>4.9527764067761652E-2</v>
      </c>
      <c r="AP57" s="50">
        <f t="shared" si="4"/>
        <v>306713.33333333331</v>
      </c>
      <c r="AQ57" s="166"/>
      <c r="AS57" s="87" t="s">
        <v>1160</v>
      </c>
      <c r="AT57" s="88">
        <v>2</v>
      </c>
      <c r="AU57" s="88">
        <v>2</v>
      </c>
      <c r="AV57" s="88">
        <v>3</v>
      </c>
      <c r="AW57" s="88">
        <v>4</v>
      </c>
      <c r="AX57" s="88">
        <v>1</v>
      </c>
      <c r="AY57" s="88">
        <v>6</v>
      </c>
      <c r="AZ57" s="88">
        <v>3</v>
      </c>
      <c r="BA57" s="88">
        <v>1</v>
      </c>
      <c r="BB57" s="88">
        <v>6</v>
      </c>
      <c r="BC57" s="88">
        <v>2</v>
      </c>
      <c r="BD57" s="88">
        <v>5</v>
      </c>
      <c r="BE57" s="88">
        <v>3</v>
      </c>
      <c r="BF57" s="88">
        <f t="shared" si="10"/>
        <v>38</v>
      </c>
      <c r="BG57" s="157">
        <f t="shared" si="11"/>
        <v>9.2682926829268292E-2</v>
      </c>
      <c r="CAI57">
        <v>0</v>
      </c>
    </row>
    <row r="58" spans="3:59 2063:2063" x14ac:dyDescent="0.15">
      <c r="C58"/>
      <c r="AA58" s="21" t="s">
        <v>147</v>
      </c>
      <c r="AB58" s="184">
        <v>0</v>
      </c>
      <c r="AC58" s="184">
        <v>0</v>
      </c>
      <c r="AD58" s="184">
        <v>0</v>
      </c>
      <c r="AE58" s="184">
        <v>0</v>
      </c>
      <c r="AF58" s="184">
        <v>0</v>
      </c>
      <c r="AG58" s="184">
        <v>216000</v>
      </c>
      <c r="AH58" s="184">
        <v>0</v>
      </c>
      <c r="AI58" s="184">
        <v>0</v>
      </c>
      <c r="AJ58" s="184">
        <v>0</v>
      </c>
      <c r="AK58" s="184">
        <v>0</v>
      </c>
      <c r="AL58" s="184">
        <v>0</v>
      </c>
      <c r="AM58" s="184">
        <v>0</v>
      </c>
      <c r="AN58" s="184">
        <f t="shared" si="7"/>
        <v>216000</v>
      </c>
      <c r="AO58" s="231">
        <f t="shared" si="8"/>
        <v>2.9066221006141773E-3</v>
      </c>
      <c r="AP58" s="50">
        <f t="shared" si="4"/>
        <v>18000</v>
      </c>
      <c r="AQ58" s="166"/>
      <c r="AS58" s="87" t="s">
        <v>363</v>
      </c>
      <c r="AT58" s="88">
        <v>1</v>
      </c>
      <c r="AU58" s="88">
        <v>1</v>
      </c>
      <c r="AV58" s="88">
        <v>1</v>
      </c>
      <c r="AW58" s="88">
        <v>0</v>
      </c>
      <c r="AX58" s="88">
        <v>1</v>
      </c>
      <c r="AY58" s="88">
        <v>2</v>
      </c>
      <c r="AZ58" s="88">
        <v>4</v>
      </c>
      <c r="BA58" s="88">
        <v>0</v>
      </c>
      <c r="BB58" s="88">
        <v>2</v>
      </c>
      <c r="BC58" s="88">
        <v>3</v>
      </c>
      <c r="BD58" s="88">
        <v>3</v>
      </c>
      <c r="BE58" s="88">
        <v>2</v>
      </c>
      <c r="BF58" s="88">
        <f t="shared" ref="BF58:BF63" si="12">SUM(AT58:BE58)</f>
        <v>20</v>
      </c>
      <c r="BG58" s="157">
        <f t="shared" ref="BG58:BG63" si="13">BF58/$BF$38</f>
        <v>4.878048780487805E-2</v>
      </c>
      <c r="CAI58">
        <v>0</v>
      </c>
    </row>
    <row r="59" spans="3:59 2063:2063" x14ac:dyDescent="0.15">
      <c r="C59"/>
      <c r="AA59" s="21" t="s">
        <v>148</v>
      </c>
      <c r="AB59" s="184">
        <v>0</v>
      </c>
      <c r="AC59" s="184">
        <v>0</v>
      </c>
      <c r="AD59" s="184">
        <v>0</v>
      </c>
      <c r="AE59" s="184">
        <v>0</v>
      </c>
      <c r="AF59" s="184">
        <v>0</v>
      </c>
      <c r="AG59" s="184">
        <v>0</v>
      </c>
      <c r="AH59" s="184">
        <v>0</v>
      </c>
      <c r="AI59" s="184">
        <v>0</v>
      </c>
      <c r="AJ59" s="184">
        <v>0</v>
      </c>
      <c r="AK59" s="184">
        <v>0</v>
      </c>
      <c r="AL59" s="184">
        <v>0</v>
      </c>
      <c r="AM59" s="184">
        <v>0</v>
      </c>
      <c r="AN59" s="184">
        <f t="shared" si="7"/>
        <v>0</v>
      </c>
      <c r="AO59" s="231">
        <f t="shared" si="8"/>
        <v>0</v>
      </c>
      <c r="AP59" s="50">
        <f t="shared" si="4"/>
        <v>0</v>
      </c>
      <c r="AQ59" s="166"/>
      <c r="AS59" s="87" t="s">
        <v>1161</v>
      </c>
      <c r="AT59" s="150">
        <v>1</v>
      </c>
      <c r="AU59" s="150">
        <v>0</v>
      </c>
      <c r="AV59" s="150">
        <v>0</v>
      </c>
      <c r="AW59" s="150">
        <v>1</v>
      </c>
      <c r="AX59" s="150">
        <v>1</v>
      </c>
      <c r="AY59" s="150">
        <v>6</v>
      </c>
      <c r="AZ59" s="150">
        <v>2</v>
      </c>
      <c r="BA59" s="150">
        <v>0</v>
      </c>
      <c r="BB59" s="150">
        <v>4</v>
      </c>
      <c r="BC59" s="150">
        <v>5</v>
      </c>
      <c r="BD59" s="150">
        <v>1</v>
      </c>
      <c r="BE59" s="150">
        <v>1</v>
      </c>
      <c r="BF59" s="88">
        <f t="shared" si="12"/>
        <v>22</v>
      </c>
      <c r="BG59" s="157">
        <f t="shared" si="13"/>
        <v>5.3658536585365853E-2</v>
      </c>
      <c r="CAI59">
        <v>0</v>
      </c>
    </row>
    <row r="60" spans="3:59 2063:2063" x14ac:dyDescent="0.15">
      <c r="C60"/>
      <c r="AA60" s="21" t="s">
        <v>4145</v>
      </c>
      <c r="AB60" s="184">
        <v>0</v>
      </c>
      <c r="AC60" s="184">
        <v>0</v>
      </c>
      <c r="AD60" s="184">
        <v>0</v>
      </c>
      <c r="AE60" s="184">
        <v>0</v>
      </c>
      <c r="AF60" s="184">
        <v>0</v>
      </c>
      <c r="AG60" s="184">
        <v>475000</v>
      </c>
      <c r="AH60" s="184">
        <v>305000</v>
      </c>
      <c r="AI60" s="184">
        <v>0</v>
      </c>
      <c r="AJ60" s="184">
        <v>0</v>
      </c>
      <c r="AK60" s="184">
        <v>0</v>
      </c>
      <c r="AL60" s="184">
        <v>0</v>
      </c>
      <c r="AM60" s="184">
        <v>0</v>
      </c>
      <c r="AN60" s="184">
        <f t="shared" si="7"/>
        <v>780000</v>
      </c>
      <c r="AO60" s="231">
        <f t="shared" si="8"/>
        <v>1.0496135363328973E-2</v>
      </c>
      <c r="AP60" s="50">
        <f t="shared" si="4"/>
        <v>65000</v>
      </c>
      <c r="AQ60" s="166"/>
      <c r="AS60" s="87" t="s">
        <v>1162</v>
      </c>
      <c r="AT60" s="150">
        <v>1</v>
      </c>
      <c r="AU60" s="150">
        <v>0</v>
      </c>
      <c r="AV60" s="150">
        <v>0</v>
      </c>
      <c r="AW60" s="150">
        <v>0</v>
      </c>
      <c r="AX60" s="150">
        <v>0</v>
      </c>
      <c r="AY60" s="150">
        <v>0</v>
      </c>
      <c r="AZ60" s="150">
        <v>0</v>
      </c>
      <c r="BA60" s="150">
        <v>0</v>
      </c>
      <c r="BB60" s="150">
        <v>1</v>
      </c>
      <c r="BC60" s="150">
        <v>1</v>
      </c>
      <c r="BD60" s="150">
        <v>0</v>
      </c>
      <c r="BE60" s="150">
        <v>1</v>
      </c>
      <c r="BF60" s="88">
        <f t="shared" si="12"/>
        <v>4</v>
      </c>
      <c r="BG60" s="157">
        <f t="shared" si="13"/>
        <v>9.7560975609756097E-3</v>
      </c>
      <c r="CAI60">
        <v>0</v>
      </c>
    </row>
    <row r="61" spans="3:59 2063:2063" x14ac:dyDescent="0.15">
      <c r="C61"/>
      <c r="AA61" s="21" t="s">
        <v>322</v>
      </c>
      <c r="AB61" s="184">
        <v>0</v>
      </c>
      <c r="AC61" s="184">
        <v>0</v>
      </c>
      <c r="AD61" s="184">
        <v>0</v>
      </c>
      <c r="AE61" s="184">
        <v>10000</v>
      </c>
      <c r="AF61" s="184">
        <v>10000</v>
      </c>
      <c r="AG61" s="184">
        <v>0</v>
      </c>
      <c r="AH61" s="184">
        <v>0</v>
      </c>
      <c r="AI61" s="184">
        <v>0</v>
      </c>
      <c r="AJ61" s="184">
        <v>0</v>
      </c>
      <c r="AK61" s="184">
        <v>0</v>
      </c>
      <c r="AL61" s="184">
        <v>0</v>
      </c>
      <c r="AM61" s="184">
        <v>0</v>
      </c>
      <c r="AN61" s="184">
        <f t="shared" si="7"/>
        <v>20000</v>
      </c>
      <c r="AO61" s="231">
        <f t="shared" si="8"/>
        <v>2.6913167598279419E-4</v>
      </c>
      <c r="AP61" s="50">
        <f t="shared" si="4"/>
        <v>1666.6666666666667</v>
      </c>
      <c r="AQ61" s="166"/>
      <c r="AS61" s="87" t="s">
        <v>1163</v>
      </c>
      <c r="AT61" s="88">
        <v>0</v>
      </c>
      <c r="AU61" s="88">
        <v>2</v>
      </c>
      <c r="AV61" s="88">
        <v>0</v>
      </c>
      <c r="AW61" s="88">
        <v>0</v>
      </c>
      <c r="AX61" s="88">
        <v>0</v>
      </c>
      <c r="AY61" s="88">
        <v>0</v>
      </c>
      <c r="AZ61" s="88">
        <v>0</v>
      </c>
      <c r="BA61" s="88">
        <v>0</v>
      </c>
      <c r="BB61" s="88">
        <v>0</v>
      </c>
      <c r="BC61" s="88">
        <v>0</v>
      </c>
      <c r="BD61" s="88">
        <v>0</v>
      </c>
      <c r="BE61" s="88">
        <v>0</v>
      </c>
      <c r="BF61" s="88">
        <f t="shared" si="12"/>
        <v>2</v>
      </c>
      <c r="BG61" s="157">
        <f t="shared" si="13"/>
        <v>4.8780487804878049E-3</v>
      </c>
      <c r="CAI61">
        <v>0</v>
      </c>
    </row>
    <row r="62" spans="3:59 2063:2063" x14ac:dyDescent="0.15">
      <c r="C62"/>
      <c r="AA62" s="21" t="s">
        <v>1355</v>
      </c>
      <c r="AB62" s="184">
        <v>0</v>
      </c>
      <c r="AC62" s="184">
        <v>0</v>
      </c>
      <c r="AD62" s="184">
        <v>0</v>
      </c>
      <c r="AE62" s="184">
        <v>0</v>
      </c>
      <c r="AF62" s="184">
        <v>0</v>
      </c>
      <c r="AG62" s="184">
        <v>0</v>
      </c>
      <c r="AH62" s="184">
        <v>0</v>
      </c>
      <c r="AI62" s="184">
        <v>0</v>
      </c>
      <c r="AJ62" s="184">
        <v>0</v>
      </c>
      <c r="AK62" s="184">
        <v>0</v>
      </c>
      <c r="AL62" s="184">
        <v>0</v>
      </c>
      <c r="AM62" s="184">
        <v>0</v>
      </c>
      <c r="AN62" s="184">
        <f t="shared" si="7"/>
        <v>0</v>
      </c>
      <c r="AO62" s="231">
        <f t="shared" si="8"/>
        <v>0</v>
      </c>
      <c r="AP62" s="50">
        <f t="shared" si="4"/>
        <v>0</v>
      </c>
      <c r="AQ62" s="166"/>
      <c r="AS62" s="87" t="s">
        <v>1164</v>
      </c>
      <c r="AT62" s="88">
        <v>0</v>
      </c>
      <c r="AU62" s="88">
        <v>0</v>
      </c>
      <c r="AV62" s="88">
        <v>0</v>
      </c>
      <c r="AW62" s="88">
        <v>0</v>
      </c>
      <c r="AX62" s="88">
        <v>0</v>
      </c>
      <c r="AY62" s="88">
        <v>0</v>
      </c>
      <c r="AZ62" s="88">
        <v>0</v>
      </c>
      <c r="BA62" s="88">
        <v>0</v>
      </c>
      <c r="BB62" s="88">
        <v>0</v>
      </c>
      <c r="BC62" s="88">
        <v>0</v>
      </c>
      <c r="BD62" s="88">
        <v>0</v>
      </c>
      <c r="BE62" s="88">
        <v>0</v>
      </c>
      <c r="BF62" s="88">
        <f t="shared" si="12"/>
        <v>0</v>
      </c>
      <c r="BG62" s="157">
        <f t="shared" si="13"/>
        <v>0</v>
      </c>
      <c r="CAI62">
        <v>0</v>
      </c>
    </row>
    <row r="63" spans="3:59 2063:2063" x14ac:dyDescent="0.15">
      <c r="C63"/>
      <c r="AA63" s="21" t="s">
        <v>155</v>
      </c>
      <c r="AB63" s="184">
        <v>0</v>
      </c>
      <c r="AC63" s="184">
        <v>0</v>
      </c>
      <c r="AD63" s="184">
        <v>0</v>
      </c>
      <c r="AE63" s="184">
        <v>0</v>
      </c>
      <c r="AF63" s="184">
        <v>0</v>
      </c>
      <c r="AG63" s="184">
        <v>0</v>
      </c>
      <c r="AH63" s="184">
        <v>0</v>
      </c>
      <c r="AI63" s="184">
        <v>0</v>
      </c>
      <c r="AJ63" s="184">
        <v>0</v>
      </c>
      <c r="AK63" s="184">
        <v>0</v>
      </c>
      <c r="AL63" s="184">
        <v>0</v>
      </c>
      <c r="AM63" s="184">
        <v>0</v>
      </c>
      <c r="AN63" s="184">
        <f t="shared" si="7"/>
        <v>0</v>
      </c>
      <c r="AO63" s="231">
        <f t="shared" si="8"/>
        <v>0</v>
      </c>
      <c r="AP63" s="50">
        <f t="shared" si="4"/>
        <v>0</v>
      </c>
      <c r="AQ63" s="166"/>
      <c r="AS63" s="416" t="s">
        <v>1539</v>
      </c>
      <c r="AT63" s="88">
        <v>0</v>
      </c>
      <c r="AU63" s="88">
        <v>0</v>
      </c>
      <c r="AV63" s="88">
        <v>1</v>
      </c>
      <c r="AW63" s="88">
        <v>0</v>
      </c>
      <c r="AX63" s="88">
        <v>0</v>
      </c>
      <c r="AY63" s="88">
        <v>0</v>
      </c>
      <c r="AZ63" s="88">
        <v>0</v>
      </c>
      <c r="BA63" s="88">
        <v>0</v>
      </c>
      <c r="BB63" s="88">
        <v>0</v>
      </c>
      <c r="BC63" s="88">
        <v>0</v>
      </c>
      <c r="BD63" s="88">
        <v>0</v>
      </c>
      <c r="BE63" s="88">
        <v>0</v>
      </c>
      <c r="BF63" s="88">
        <f t="shared" si="12"/>
        <v>1</v>
      </c>
      <c r="BG63" s="157">
        <f t="shared" si="13"/>
        <v>2.4390243902439024E-3</v>
      </c>
      <c r="CAI63">
        <v>0</v>
      </c>
    </row>
    <row r="64" spans="3:59 2063:2063" ht="14.25" thickBot="1" x14ac:dyDescent="0.2">
      <c r="C64"/>
      <c r="AA64" s="21" t="s">
        <v>156</v>
      </c>
      <c r="AB64" s="184">
        <v>0</v>
      </c>
      <c r="AC64" s="184">
        <v>0</v>
      </c>
      <c r="AD64" s="184">
        <v>0</v>
      </c>
      <c r="AE64" s="184">
        <v>0</v>
      </c>
      <c r="AF64" s="184">
        <v>0</v>
      </c>
      <c r="AG64" s="184">
        <v>0</v>
      </c>
      <c r="AH64" s="184">
        <v>0</v>
      </c>
      <c r="AI64" s="184">
        <v>0</v>
      </c>
      <c r="AJ64" s="184">
        <v>0</v>
      </c>
      <c r="AK64" s="184">
        <v>0</v>
      </c>
      <c r="AL64" s="184">
        <v>0</v>
      </c>
      <c r="AM64" s="184">
        <v>0</v>
      </c>
      <c r="AN64" s="184">
        <f t="shared" si="7"/>
        <v>0</v>
      </c>
      <c r="AO64" s="231">
        <f t="shared" si="8"/>
        <v>0</v>
      </c>
      <c r="AP64" s="50">
        <f t="shared" si="4"/>
        <v>0</v>
      </c>
      <c r="AQ64" s="166"/>
      <c r="AS64" s="412" t="s">
        <v>2445</v>
      </c>
      <c r="AT64" s="151">
        <v>0</v>
      </c>
      <c r="AU64" s="151">
        <v>0</v>
      </c>
      <c r="AV64" s="151">
        <v>1</v>
      </c>
      <c r="AW64" s="151">
        <v>0</v>
      </c>
      <c r="AX64" s="151">
        <v>0</v>
      </c>
      <c r="AY64" s="151">
        <v>0</v>
      </c>
      <c r="AZ64" s="151">
        <v>0</v>
      </c>
      <c r="BA64" s="151">
        <v>0</v>
      </c>
      <c r="BB64" s="151">
        <v>0</v>
      </c>
      <c r="BC64" s="151">
        <v>0</v>
      </c>
      <c r="BD64" s="151">
        <v>0</v>
      </c>
      <c r="BE64" s="151">
        <v>0</v>
      </c>
      <c r="BF64" s="151">
        <f t="shared" ref="BF64" si="14">SUM(AT64:BE64)</f>
        <v>1</v>
      </c>
      <c r="BG64" s="445">
        <f t="shared" ref="BG64" si="15">BF64/$BF$38</f>
        <v>2.4390243902439024E-3</v>
      </c>
      <c r="CAI64">
        <v>0</v>
      </c>
    </row>
    <row r="65" spans="3:43" x14ac:dyDescent="0.15">
      <c r="C65"/>
      <c r="AA65" s="21" t="s">
        <v>1112</v>
      </c>
      <c r="AB65" s="184">
        <v>0</v>
      </c>
      <c r="AC65" s="184">
        <v>0</v>
      </c>
      <c r="AD65" s="184">
        <v>0</v>
      </c>
      <c r="AE65" s="184">
        <v>0</v>
      </c>
      <c r="AF65" s="184">
        <v>0</v>
      </c>
      <c r="AG65" s="184">
        <v>0</v>
      </c>
      <c r="AH65" s="184">
        <v>0</v>
      </c>
      <c r="AI65" s="184">
        <v>0</v>
      </c>
      <c r="AJ65" s="184">
        <v>0</v>
      </c>
      <c r="AK65" s="184">
        <v>0</v>
      </c>
      <c r="AL65" s="184">
        <v>0</v>
      </c>
      <c r="AM65" s="184">
        <v>0</v>
      </c>
      <c r="AN65" s="184">
        <f t="shared" si="7"/>
        <v>0</v>
      </c>
      <c r="AO65" s="231">
        <f t="shared" si="8"/>
        <v>0</v>
      </c>
      <c r="AP65" s="50">
        <f t="shared" si="4"/>
        <v>0</v>
      </c>
      <c r="AQ65" s="166"/>
    </row>
    <row r="66" spans="3:43" x14ac:dyDescent="0.15">
      <c r="C66"/>
      <c r="AA66" s="67" t="s">
        <v>1321</v>
      </c>
      <c r="AB66" s="184">
        <v>0</v>
      </c>
      <c r="AC66" s="184">
        <v>0</v>
      </c>
      <c r="AD66" s="184">
        <v>-28200</v>
      </c>
      <c r="AE66" s="184">
        <v>-34515</v>
      </c>
      <c r="AF66" s="184">
        <v>0</v>
      </c>
      <c r="AG66" s="184">
        <v>-14650</v>
      </c>
      <c r="AH66" s="184">
        <v>-41087</v>
      </c>
      <c r="AI66" s="184">
        <v>-51997</v>
      </c>
      <c r="AJ66" s="184">
        <v>0</v>
      </c>
      <c r="AK66" s="184">
        <v>0</v>
      </c>
      <c r="AL66" s="184">
        <v>0</v>
      </c>
      <c r="AM66" s="184">
        <v>0</v>
      </c>
      <c r="AN66" s="184">
        <f t="shared" si="7"/>
        <v>-170449</v>
      </c>
      <c r="AO66" s="231">
        <f t="shared" si="8"/>
        <v>-2.2936612519795646E-3</v>
      </c>
      <c r="AP66" s="50">
        <f t="shared" si="4"/>
        <v>-14204.083333333334</v>
      </c>
      <c r="AQ66" s="166"/>
    </row>
    <row r="67" spans="3:43" x14ac:dyDescent="0.15">
      <c r="C67"/>
      <c r="AA67" s="67" t="s">
        <v>344</v>
      </c>
      <c r="AB67" s="184">
        <v>71666</v>
      </c>
      <c r="AC67" s="184">
        <v>111000</v>
      </c>
      <c r="AD67" s="184">
        <v>1100</v>
      </c>
      <c r="AE67" s="184">
        <v>239000</v>
      </c>
      <c r="AF67" s="184">
        <v>111820</v>
      </c>
      <c r="AG67" s="184">
        <v>205140</v>
      </c>
      <c r="AH67" s="184">
        <v>7080</v>
      </c>
      <c r="AI67" s="184">
        <v>3000</v>
      </c>
      <c r="AJ67" s="184">
        <v>64800</v>
      </c>
      <c r="AK67" s="184">
        <v>307110</v>
      </c>
      <c r="AL67" s="184">
        <v>617350</v>
      </c>
      <c r="AM67" s="184">
        <v>363600</v>
      </c>
      <c r="AN67" s="184">
        <f t="shared" si="7"/>
        <v>2102666</v>
      </c>
      <c r="AO67" s="231">
        <f t="shared" si="8"/>
        <v>2.8294701230601897E-2</v>
      </c>
      <c r="AP67" s="50">
        <f t="shared" si="4"/>
        <v>175222.16666666666</v>
      </c>
      <c r="AQ67" s="166"/>
    </row>
    <row r="68" spans="3:43" x14ac:dyDescent="0.15">
      <c r="C68"/>
      <c r="AA68" s="21" t="s">
        <v>349</v>
      </c>
      <c r="AB68" s="184">
        <v>0</v>
      </c>
      <c r="AC68" s="184">
        <v>0</v>
      </c>
      <c r="AD68" s="184">
        <v>0</v>
      </c>
      <c r="AE68" s="184">
        <v>0</v>
      </c>
      <c r="AF68" s="184">
        <v>0</v>
      </c>
      <c r="AG68" s="184">
        <v>0</v>
      </c>
      <c r="AH68" s="184">
        <v>0</v>
      </c>
      <c r="AI68" s="184">
        <v>0</v>
      </c>
      <c r="AJ68" s="184">
        <v>0</v>
      </c>
      <c r="AK68" s="184">
        <v>0</v>
      </c>
      <c r="AL68" s="184">
        <v>0</v>
      </c>
      <c r="AM68" s="184">
        <v>0</v>
      </c>
      <c r="AN68" s="184">
        <f t="shared" si="7"/>
        <v>0</v>
      </c>
      <c r="AO68" s="231">
        <f t="shared" si="8"/>
        <v>0</v>
      </c>
      <c r="AP68" s="50">
        <f t="shared" si="4"/>
        <v>0</v>
      </c>
      <c r="AQ68" s="166"/>
    </row>
    <row r="69" spans="3:43" x14ac:dyDescent="0.15">
      <c r="C69"/>
      <c r="AA69" s="67" t="s">
        <v>759</v>
      </c>
      <c r="AB69" s="184">
        <v>0</v>
      </c>
      <c r="AC69" s="184">
        <v>0</v>
      </c>
      <c r="AD69" s="184">
        <v>0</v>
      </c>
      <c r="AE69" s="184">
        <v>0</v>
      </c>
      <c r="AF69" s="184">
        <v>0</v>
      </c>
      <c r="AG69" s="184">
        <v>0</v>
      </c>
      <c r="AH69" s="184">
        <v>0</v>
      </c>
      <c r="AI69" s="184">
        <v>0</v>
      </c>
      <c r="AJ69" s="184">
        <v>0</v>
      </c>
      <c r="AK69" s="184">
        <v>0</v>
      </c>
      <c r="AL69" s="184">
        <v>0</v>
      </c>
      <c r="AM69" s="184">
        <v>0</v>
      </c>
      <c r="AN69" s="184">
        <f t="shared" ref="AN69:AN74" si="16">SUM(AB69:AM69)</f>
        <v>0</v>
      </c>
      <c r="AO69" s="231">
        <f t="shared" ref="AO69:AO78" si="17">AN69/$AN$2</f>
        <v>0</v>
      </c>
      <c r="AP69" s="50">
        <f t="shared" si="4"/>
        <v>0</v>
      </c>
      <c r="AQ69" s="166"/>
    </row>
    <row r="70" spans="3:43" x14ac:dyDescent="0.15">
      <c r="C70"/>
      <c r="AA70" s="67" t="s">
        <v>768</v>
      </c>
      <c r="AB70" s="184">
        <v>0</v>
      </c>
      <c r="AC70" s="184">
        <v>0</v>
      </c>
      <c r="AD70" s="184">
        <v>0</v>
      </c>
      <c r="AE70" s="184">
        <v>0</v>
      </c>
      <c r="AF70" s="184">
        <v>0</v>
      </c>
      <c r="AG70" s="184">
        <v>0</v>
      </c>
      <c r="AH70" s="184">
        <v>0</v>
      </c>
      <c r="AI70" s="184">
        <v>0</v>
      </c>
      <c r="AJ70" s="184">
        <v>0</v>
      </c>
      <c r="AK70" s="184">
        <v>0</v>
      </c>
      <c r="AL70" s="184">
        <v>0</v>
      </c>
      <c r="AM70" s="184">
        <v>0</v>
      </c>
      <c r="AN70" s="184">
        <f t="shared" si="16"/>
        <v>0</v>
      </c>
      <c r="AO70" s="231">
        <f t="shared" si="17"/>
        <v>0</v>
      </c>
      <c r="AP70" s="50">
        <f t="shared" ref="AP70:AP93" si="18">AN70/12</f>
        <v>0</v>
      </c>
    </row>
    <row r="71" spans="3:43" x14ac:dyDescent="0.15">
      <c r="C71"/>
      <c r="AA71" s="67" t="s">
        <v>807</v>
      </c>
      <c r="AB71" s="184">
        <v>0</v>
      </c>
      <c r="AC71" s="184">
        <v>0</v>
      </c>
      <c r="AD71" s="184">
        <v>0</v>
      </c>
      <c r="AE71" s="184">
        <v>0</v>
      </c>
      <c r="AF71" s="184">
        <v>0</v>
      </c>
      <c r="AG71" s="184">
        <v>0</v>
      </c>
      <c r="AH71" s="184">
        <v>0</v>
      </c>
      <c r="AI71" s="184">
        <v>0</v>
      </c>
      <c r="AJ71" s="184">
        <v>0</v>
      </c>
      <c r="AK71" s="184">
        <v>0</v>
      </c>
      <c r="AL71" s="184">
        <v>0</v>
      </c>
      <c r="AM71" s="184">
        <v>0</v>
      </c>
      <c r="AN71" s="184">
        <f t="shared" si="16"/>
        <v>0</v>
      </c>
      <c r="AO71" s="231">
        <f t="shared" si="17"/>
        <v>0</v>
      </c>
      <c r="AP71" s="50">
        <f t="shared" si="18"/>
        <v>0</v>
      </c>
    </row>
    <row r="72" spans="3:43" x14ac:dyDescent="0.15">
      <c r="C72"/>
      <c r="AA72" s="76" t="s">
        <v>809</v>
      </c>
      <c r="AB72" s="184">
        <v>0</v>
      </c>
      <c r="AC72" s="184">
        <v>0</v>
      </c>
      <c r="AD72" s="184">
        <v>0</v>
      </c>
      <c r="AE72" s="184">
        <v>0</v>
      </c>
      <c r="AF72" s="184">
        <v>0</v>
      </c>
      <c r="AG72" s="184">
        <v>0</v>
      </c>
      <c r="AH72" s="184">
        <v>0</v>
      </c>
      <c r="AI72" s="184">
        <v>0</v>
      </c>
      <c r="AJ72" s="184">
        <v>0</v>
      </c>
      <c r="AK72" s="184">
        <v>0</v>
      </c>
      <c r="AL72" s="184">
        <v>0</v>
      </c>
      <c r="AM72" s="184">
        <v>0</v>
      </c>
      <c r="AN72" s="184">
        <f t="shared" si="16"/>
        <v>0</v>
      </c>
      <c r="AO72" s="231">
        <f t="shared" si="17"/>
        <v>0</v>
      </c>
      <c r="AP72" s="50">
        <f t="shared" si="18"/>
        <v>0</v>
      </c>
    </row>
    <row r="73" spans="3:43" x14ac:dyDescent="0.15">
      <c r="C73"/>
      <c r="AA73" s="67" t="s">
        <v>896</v>
      </c>
      <c r="AB73" s="184">
        <v>0</v>
      </c>
      <c r="AC73" s="184">
        <v>0</v>
      </c>
      <c r="AD73" s="184">
        <v>0</v>
      </c>
      <c r="AE73" s="184">
        <v>0</v>
      </c>
      <c r="AF73" s="184">
        <v>0</v>
      </c>
      <c r="AG73" s="184">
        <v>0</v>
      </c>
      <c r="AH73" s="184">
        <v>0</v>
      </c>
      <c r="AI73" s="184">
        <v>0</v>
      </c>
      <c r="AJ73" s="184">
        <v>0</v>
      </c>
      <c r="AK73" s="184">
        <v>0</v>
      </c>
      <c r="AL73" s="184">
        <v>0</v>
      </c>
      <c r="AM73" s="184">
        <v>0</v>
      </c>
      <c r="AN73" s="184">
        <f t="shared" si="16"/>
        <v>0</v>
      </c>
      <c r="AO73" s="231">
        <f t="shared" si="17"/>
        <v>0</v>
      </c>
      <c r="AP73" s="50">
        <f t="shared" si="18"/>
        <v>0</v>
      </c>
    </row>
    <row r="74" spans="3:43" x14ac:dyDescent="0.15">
      <c r="C74"/>
      <c r="AA74" s="67" t="s">
        <v>898</v>
      </c>
      <c r="AB74" s="184">
        <v>0</v>
      </c>
      <c r="AC74" s="184">
        <v>0</v>
      </c>
      <c r="AD74" s="184">
        <v>0</v>
      </c>
      <c r="AE74" s="184">
        <v>0</v>
      </c>
      <c r="AF74" s="184">
        <v>186000</v>
      </c>
      <c r="AG74" s="184">
        <v>0</v>
      </c>
      <c r="AH74" s="184">
        <v>0</v>
      </c>
      <c r="AI74" s="184">
        <v>0</v>
      </c>
      <c r="AJ74" s="184">
        <v>0</v>
      </c>
      <c r="AK74" s="184">
        <v>0</v>
      </c>
      <c r="AL74" s="184">
        <v>0</v>
      </c>
      <c r="AM74" s="184">
        <v>0</v>
      </c>
      <c r="AN74" s="184">
        <f t="shared" si="16"/>
        <v>186000</v>
      </c>
      <c r="AO74" s="231">
        <f t="shared" si="17"/>
        <v>2.5029245866399858E-3</v>
      </c>
      <c r="AP74" s="50">
        <f t="shared" si="18"/>
        <v>15500</v>
      </c>
    </row>
    <row r="75" spans="3:43" x14ac:dyDescent="0.15">
      <c r="AA75" s="76" t="s">
        <v>1356</v>
      </c>
      <c r="AB75" s="184">
        <v>0</v>
      </c>
      <c r="AC75" s="184">
        <v>0</v>
      </c>
      <c r="AD75" s="184">
        <v>0</v>
      </c>
      <c r="AE75" s="184">
        <v>0</v>
      </c>
      <c r="AF75" s="184">
        <v>0</v>
      </c>
      <c r="AG75" s="184">
        <v>0</v>
      </c>
      <c r="AH75" s="184">
        <v>0</v>
      </c>
      <c r="AI75" s="184">
        <v>0</v>
      </c>
      <c r="AJ75" s="184">
        <v>0</v>
      </c>
      <c r="AK75" s="184">
        <v>0</v>
      </c>
      <c r="AL75" s="184">
        <v>0</v>
      </c>
      <c r="AM75" s="184">
        <v>0</v>
      </c>
      <c r="AN75" s="184">
        <f t="shared" ref="AN75:AN93" si="19">SUM(AB75:AM75)</f>
        <v>0</v>
      </c>
      <c r="AO75" s="231">
        <f t="shared" si="17"/>
        <v>0</v>
      </c>
      <c r="AP75" s="50">
        <f t="shared" si="18"/>
        <v>0</v>
      </c>
    </row>
    <row r="76" spans="3:43" x14ac:dyDescent="0.15">
      <c r="AA76" s="67" t="s">
        <v>1097</v>
      </c>
      <c r="AB76" s="184">
        <v>0</v>
      </c>
      <c r="AC76" s="184">
        <v>0</v>
      </c>
      <c r="AD76" s="184">
        <v>0</v>
      </c>
      <c r="AE76" s="184">
        <v>0</v>
      </c>
      <c r="AF76" s="184">
        <v>0</v>
      </c>
      <c r="AG76" s="184">
        <v>51650</v>
      </c>
      <c r="AH76" s="184">
        <v>0</v>
      </c>
      <c r="AI76" s="184">
        <v>0</v>
      </c>
      <c r="AJ76" s="184">
        <v>0</v>
      </c>
      <c r="AK76" s="184">
        <v>0</v>
      </c>
      <c r="AL76" s="184">
        <v>0</v>
      </c>
      <c r="AM76" s="184">
        <v>0</v>
      </c>
      <c r="AN76" s="184">
        <f t="shared" si="19"/>
        <v>51650</v>
      </c>
      <c r="AO76" s="231">
        <f t="shared" si="17"/>
        <v>6.9503255322556599E-4</v>
      </c>
      <c r="AP76" s="50">
        <f t="shared" si="18"/>
        <v>4304.166666666667</v>
      </c>
    </row>
    <row r="77" spans="3:43" x14ac:dyDescent="0.15">
      <c r="AA77" s="67" t="s">
        <v>1227</v>
      </c>
      <c r="AB77" s="184">
        <v>0</v>
      </c>
      <c r="AC77" s="184">
        <v>0</v>
      </c>
      <c r="AD77" s="184">
        <v>0</v>
      </c>
      <c r="AE77" s="184">
        <v>0</v>
      </c>
      <c r="AF77" s="184">
        <v>0</v>
      </c>
      <c r="AG77" s="184">
        <v>0</v>
      </c>
      <c r="AH77" s="184">
        <v>0</v>
      </c>
      <c r="AI77" s="184">
        <v>0</v>
      </c>
      <c r="AJ77" s="184">
        <v>0</v>
      </c>
      <c r="AK77" s="184">
        <v>0</v>
      </c>
      <c r="AL77" s="184">
        <v>0</v>
      </c>
      <c r="AM77" s="184">
        <v>0</v>
      </c>
      <c r="AN77" s="184">
        <f t="shared" si="19"/>
        <v>0</v>
      </c>
      <c r="AO77" s="231">
        <f t="shared" si="17"/>
        <v>0</v>
      </c>
      <c r="AP77" s="50">
        <f t="shared" si="18"/>
        <v>0</v>
      </c>
    </row>
    <row r="78" spans="3:43" x14ac:dyDescent="0.15">
      <c r="AA78" s="67" t="s">
        <v>1286</v>
      </c>
      <c r="AB78" s="184">
        <v>0</v>
      </c>
      <c r="AC78" s="184">
        <v>0</v>
      </c>
      <c r="AD78" s="184">
        <v>0</v>
      </c>
      <c r="AE78" s="184">
        <v>0</v>
      </c>
      <c r="AF78" s="184">
        <v>0</v>
      </c>
      <c r="AG78" s="184">
        <v>0</v>
      </c>
      <c r="AH78" s="184">
        <v>0</v>
      </c>
      <c r="AI78" s="184">
        <v>0</v>
      </c>
      <c r="AJ78" s="184">
        <v>0</v>
      </c>
      <c r="AK78" s="184">
        <v>0</v>
      </c>
      <c r="AL78" s="184">
        <v>0</v>
      </c>
      <c r="AM78" s="184">
        <v>0</v>
      </c>
      <c r="AN78" s="184">
        <f t="shared" si="19"/>
        <v>0</v>
      </c>
      <c r="AO78" s="231">
        <f t="shared" si="17"/>
        <v>0</v>
      </c>
      <c r="AP78" s="50">
        <f t="shared" si="18"/>
        <v>0</v>
      </c>
    </row>
    <row r="79" spans="3:43" x14ac:dyDescent="0.15">
      <c r="AA79" s="67" t="s">
        <v>1289</v>
      </c>
      <c r="AB79" s="184">
        <v>0</v>
      </c>
      <c r="AC79" s="184">
        <v>0</v>
      </c>
      <c r="AD79" s="184">
        <v>0</v>
      </c>
      <c r="AE79" s="184">
        <v>0</v>
      </c>
      <c r="AF79" s="184">
        <v>0</v>
      </c>
      <c r="AG79" s="184">
        <v>0</v>
      </c>
      <c r="AH79" s="184">
        <v>0</v>
      </c>
      <c r="AI79" s="184">
        <v>0</v>
      </c>
      <c r="AJ79" s="184">
        <v>0</v>
      </c>
      <c r="AK79" s="184">
        <v>0</v>
      </c>
      <c r="AL79" s="184">
        <v>0</v>
      </c>
      <c r="AM79" s="184">
        <v>0</v>
      </c>
      <c r="AN79" s="184">
        <f t="shared" si="19"/>
        <v>0</v>
      </c>
      <c r="AO79" s="231">
        <f t="shared" ref="AO79:AO93" si="20">AN79/$AN$2</f>
        <v>0</v>
      </c>
      <c r="AP79" s="50">
        <f t="shared" si="18"/>
        <v>0</v>
      </c>
    </row>
    <row r="80" spans="3:43" x14ac:dyDescent="0.15">
      <c r="AA80" s="67" t="s">
        <v>1308</v>
      </c>
      <c r="AB80" s="184">
        <v>0</v>
      </c>
      <c r="AC80" s="184">
        <v>0</v>
      </c>
      <c r="AD80" s="184">
        <v>0</v>
      </c>
      <c r="AE80" s="184">
        <v>0</v>
      </c>
      <c r="AF80" s="184">
        <v>0</v>
      </c>
      <c r="AG80" s="184">
        <v>0</v>
      </c>
      <c r="AH80" s="184">
        <v>0</v>
      </c>
      <c r="AI80" s="184">
        <v>0</v>
      </c>
      <c r="AJ80" s="184">
        <v>0</v>
      </c>
      <c r="AK80" s="184">
        <v>0</v>
      </c>
      <c r="AL80" s="184">
        <v>0</v>
      </c>
      <c r="AM80" s="184">
        <v>0</v>
      </c>
      <c r="AN80" s="184">
        <f t="shared" si="19"/>
        <v>0</v>
      </c>
      <c r="AO80" s="231">
        <f t="shared" si="20"/>
        <v>0</v>
      </c>
      <c r="AP80" s="50">
        <f t="shared" si="18"/>
        <v>0</v>
      </c>
    </row>
    <row r="81" spans="27:59" x14ac:dyDescent="0.15">
      <c r="AA81" s="67" t="s">
        <v>1311</v>
      </c>
      <c r="AB81" s="184">
        <v>0</v>
      </c>
      <c r="AC81" s="184">
        <v>0</v>
      </c>
      <c r="AD81" s="184">
        <v>0</v>
      </c>
      <c r="AE81" s="184">
        <v>0</v>
      </c>
      <c r="AF81" s="184">
        <v>0</v>
      </c>
      <c r="AG81" s="184">
        <v>0</v>
      </c>
      <c r="AH81" s="184">
        <v>0</v>
      </c>
      <c r="AI81" s="184">
        <v>0</v>
      </c>
      <c r="AJ81" s="184">
        <v>0</v>
      </c>
      <c r="AK81" s="184">
        <v>0</v>
      </c>
      <c r="AL81" s="184">
        <v>0</v>
      </c>
      <c r="AM81" s="184">
        <v>0</v>
      </c>
      <c r="AN81" s="184">
        <f t="shared" si="19"/>
        <v>0</v>
      </c>
      <c r="AO81" s="231">
        <f t="shared" si="20"/>
        <v>0</v>
      </c>
      <c r="AP81" s="50">
        <f t="shared" si="18"/>
        <v>0</v>
      </c>
    </row>
    <row r="82" spans="27:59" x14ac:dyDescent="0.15">
      <c r="AA82" s="67" t="s">
        <v>1322</v>
      </c>
      <c r="AB82" s="184">
        <v>0</v>
      </c>
      <c r="AC82" s="370">
        <v>0</v>
      </c>
      <c r="AD82" s="184">
        <v>0</v>
      </c>
      <c r="AE82" s="184">
        <v>0</v>
      </c>
      <c r="AF82" s="184">
        <v>0</v>
      </c>
      <c r="AG82" s="184">
        <v>0</v>
      </c>
      <c r="AH82" s="184">
        <v>0</v>
      </c>
      <c r="AI82" s="184">
        <v>0</v>
      </c>
      <c r="AJ82" s="184">
        <v>0</v>
      </c>
      <c r="AK82" s="184">
        <v>0</v>
      </c>
      <c r="AL82" s="184">
        <v>0</v>
      </c>
      <c r="AM82" s="184">
        <v>0</v>
      </c>
      <c r="AN82" s="184">
        <f t="shared" si="19"/>
        <v>0</v>
      </c>
      <c r="AO82" s="231">
        <f t="shared" si="20"/>
        <v>0</v>
      </c>
      <c r="AP82" s="50">
        <f t="shared" si="18"/>
        <v>0</v>
      </c>
    </row>
    <row r="83" spans="27:59" x14ac:dyDescent="0.15">
      <c r="AA83" s="21" t="s">
        <v>1340</v>
      </c>
      <c r="AB83" s="184">
        <v>0</v>
      </c>
      <c r="AC83" s="184">
        <v>0</v>
      </c>
      <c r="AD83" s="184">
        <v>0</v>
      </c>
      <c r="AE83" s="184">
        <v>0</v>
      </c>
      <c r="AF83" s="184">
        <v>0</v>
      </c>
      <c r="AG83" s="184">
        <v>0</v>
      </c>
      <c r="AH83" s="184">
        <v>0</v>
      </c>
      <c r="AI83" s="184">
        <v>0</v>
      </c>
      <c r="AJ83" s="184">
        <v>0</v>
      </c>
      <c r="AK83" s="184">
        <v>0</v>
      </c>
      <c r="AL83" s="184">
        <v>0</v>
      </c>
      <c r="AM83" s="184">
        <v>0</v>
      </c>
      <c r="AN83" s="184">
        <f t="shared" si="19"/>
        <v>0</v>
      </c>
      <c r="AO83" s="231">
        <f t="shared" si="20"/>
        <v>0</v>
      </c>
      <c r="AP83" s="50">
        <f t="shared" si="18"/>
        <v>0</v>
      </c>
    </row>
    <row r="84" spans="27:59" x14ac:dyDescent="0.15">
      <c r="AA84" s="21" t="s">
        <v>1330</v>
      </c>
      <c r="AB84" s="184">
        <v>0</v>
      </c>
      <c r="AC84" s="184">
        <v>0</v>
      </c>
      <c r="AD84" s="184">
        <v>0</v>
      </c>
      <c r="AE84" s="184">
        <v>0</v>
      </c>
      <c r="AF84" s="184">
        <v>0</v>
      </c>
      <c r="AG84" s="184">
        <v>0</v>
      </c>
      <c r="AH84" s="184">
        <v>0</v>
      </c>
      <c r="AI84" s="184">
        <v>0</v>
      </c>
      <c r="AJ84" s="184">
        <v>0</v>
      </c>
      <c r="AK84" s="184">
        <v>0</v>
      </c>
      <c r="AL84" s="184">
        <v>0</v>
      </c>
      <c r="AM84" s="184">
        <v>0</v>
      </c>
      <c r="AN84" s="184">
        <f t="shared" si="19"/>
        <v>0</v>
      </c>
      <c r="AO84" s="231">
        <f t="shared" si="20"/>
        <v>0</v>
      </c>
      <c r="AP84" s="50">
        <f t="shared" si="18"/>
        <v>0</v>
      </c>
    </row>
    <row r="85" spans="27:59" x14ac:dyDescent="0.15">
      <c r="AA85" s="67" t="s">
        <v>1359</v>
      </c>
      <c r="AB85" s="184">
        <v>0</v>
      </c>
      <c r="AC85" s="184">
        <v>0</v>
      </c>
      <c r="AD85" s="184">
        <v>0</v>
      </c>
      <c r="AE85" s="184">
        <v>0</v>
      </c>
      <c r="AF85" s="184">
        <v>0</v>
      </c>
      <c r="AG85" s="184">
        <v>0</v>
      </c>
      <c r="AH85" s="184">
        <v>0</v>
      </c>
      <c r="AI85" s="184">
        <v>0</v>
      </c>
      <c r="AJ85" s="184">
        <v>0</v>
      </c>
      <c r="AK85" s="184">
        <v>0</v>
      </c>
      <c r="AL85" s="184">
        <v>0</v>
      </c>
      <c r="AM85" s="184">
        <v>0</v>
      </c>
      <c r="AN85" s="184">
        <f t="shared" si="19"/>
        <v>0</v>
      </c>
      <c r="AO85" s="231">
        <f t="shared" si="20"/>
        <v>0</v>
      </c>
      <c r="AP85" s="50">
        <f t="shared" si="18"/>
        <v>0</v>
      </c>
    </row>
    <row r="86" spans="27:59" x14ac:dyDescent="0.15">
      <c r="AA86" s="67" t="s">
        <v>1518</v>
      </c>
      <c r="AB86" s="184">
        <v>0</v>
      </c>
      <c r="AC86" s="184">
        <v>0</v>
      </c>
      <c r="AD86" s="184">
        <v>0</v>
      </c>
      <c r="AE86" s="184">
        <v>0</v>
      </c>
      <c r="AF86" s="184">
        <v>0</v>
      </c>
      <c r="AG86" s="184">
        <v>0</v>
      </c>
      <c r="AH86" s="184">
        <v>0</v>
      </c>
      <c r="AI86" s="184">
        <v>0</v>
      </c>
      <c r="AJ86" s="184">
        <v>0</v>
      </c>
      <c r="AK86" s="184">
        <v>0</v>
      </c>
      <c r="AL86" s="184">
        <v>0</v>
      </c>
      <c r="AM86" s="184">
        <v>0</v>
      </c>
      <c r="AN86" s="184">
        <f t="shared" si="19"/>
        <v>0</v>
      </c>
      <c r="AO86" s="231">
        <f t="shared" si="20"/>
        <v>0</v>
      </c>
      <c r="AP86" s="50">
        <f t="shared" si="18"/>
        <v>0</v>
      </c>
    </row>
    <row r="87" spans="27:59" x14ac:dyDescent="0.15">
      <c r="AA87" s="67" t="s">
        <v>2060</v>
      </c>
      <c r="AB87" s="184">
        <v>0</v>
      </c>
      <c r="AC87" s="184">
        <v>0</v>
      </c>
      <c r="AD87" s="184">
        <v>0</v>
      </c>
      <c r="AE87" s="184">
        <v>0</v>
      </c>
      <c r="AF87" s="184">
        <v>0</v>
      </c>
      <c r="AG87" s="184">
        <v>0</v>
      </c>
      <c r="AH87" s="184">
        <v>0</v>
      </c>
      <c r="AI87" s="184">
        <v>0</v>
      </c>
      <c r="AJ87" s="184">
        <v>0</v>
      </c>
      <c r="AK87" s="184">
        <v>0</v>
      </c>
      <c r="AL87" s="184">
        <v>0</v>
      </c>
      <c r="AM87" s="184">
        <v>0</v>
      </c>
      <c r="AN87" s="184">
        <f t="shared" si="19"/>
        <v>0</v>
      </c>
      <c r="AO87" s="231">
        <f t="shared" si="20"/>
        <v>0</v>
      </c>
      <c r="AP87" s="50">
        <f t="shared" si="18"/>
        <v>0</v>
      </c>
    </row>
    <row r="88" spans="27:59" x14ac:dyDescent="0.15">
      <c r="AA88" s="76" t="s">
        <v>4657</v>
      </c>
      <c r="AB88" s="184">
        <v>0</v>
      </c>
      <c r="AC88" s="184">
        <v>0</v>
      </c>
      <c r="AD88" s="184">
        <v>0</v>
      </c>
      <c r="AE88" s="184">
        <v>0</v>
      </c>
      <c r="AF88" s="184">
        <v>0</v>
      </c>
      <c r="AG88" s="184">
        <v>0</v>
      </c>
      <c r="AH88" s="184">
        <v>0</v>
      </c>
      <c r="AI88" s="184">
        <v>0</v>
      </c>
      <c r="AJ88" s="184">
        <v>11950</v>
      </c>
      <c r="AK88" s="184">
        <v>0</v>
      </c>
      <c r="AL88" s="184">
        <v>0</v>
      </c>
      <c r="AM88" s="184">
        <v>0</v>
      </c>
      <c r="AN88" s="184"/>
      <c r="AO88" s="231">
        <f t="shared" si="20"/>
        <v>0</v>
      </c>
      <c r="AP88" s="50">
        <f t="shared" si="18"/>
        <v>0</v>
      </c>
    </row>
    <row r="89" spans="27:59" x14ac:dyDescent="0.15">
      <c r="AA89" s="67" t="s">
        <v>2769</v>
      </c>
      <c r="AB89" s="184">
        <v>0</v>
      </c>
      <c r="AC89" s="184">
        <v>0</v>
      </c>
      <c r="AD89" s="184">
        <v>432000</v>
      </c>
      <c r="AE89" s="184">
        <v>887974</v>
      </c>
      <c r="AF89" s="184">
        <v>0</v>
      </c>
      <c r="AG89" s="184">
        <v>130000</v>
      </c>
      <c r="AH89" s="184">
        <v>180000</v>
      </c>
      <c r="AI89" s="184">
        <v>0</v>
      </c>
      <c r="AJ89" s="184">
        <v>0</v>
      </c>
      <c r="AK89" s="184">
        <v>0</v>
      </c>
      <c r="AL89" s="184">
        <v>0</v>
      </c>
      <c r="AM89" s="184">
        <v>0</v>
      </c>
      <c r="AN89" s="184">
        <f t="shared" si="19"/>
        <v>1629974</v>
      </c>
      <c r="AO89" s="231">
        <f t="shared" si="20"/>
        <v>2.1933881721418948E-2</v>
      </c>
      <c r="AP89" s="50">
        <f t="shared" si="18"/>
        <v>135831.16666666666</v>
      </c>
    </row>
    <row r="90" spans="27:59" x14ac:dyDescent="0.15">
      <c r="AA90" s="76" t="s">
        <v>2835</v>
      </c>
      <c r="AB90" s="184">
        <v>11825</v>
      </c>
      <c r="AC90" s="184">
        <v>21450</v>
      </c>
      <c r="AD90" s="184">
        <v>32070</v>
      </c>
      <c r="AE90" s="184">
        <v>32750</v>
      </c>
      <c r="AF90" s="184">
        <v>10000</v>
      </c>
      <c r="AG90" s="184">
        <v>22600</v>
      </c>
      <c r="AH90" s="184">
        <v>5000</v>
      </c>
      <c r="AI90" s="184">
        <v>42925</v>
      </c>
      <c r="AJ90" s="184">
        <v>181150</v>
      </c>
      <c r="AK90" s="184">
        <v>280000</v>
      </c>
      <c r="AL90" s="184">
        <v>11375</v>
      </c>
      <c r="AM90" s="184">
        <v>0</v>
      </c>
      <c r="AN90" s="184">
        <f t="shared" si="19"/>
        <v>651145</v>
      </c>
      <c r="AO90" s="231">
        <f t="shared" si="20"/>
        <v>8.7621872578908262E-3</v>
      </c>
      <c r="AP90" s="50">
        <f t="shared" si="18"/>
        <v>54262.083333333336</v>
      </c>
    </row>
    <row r="91" spans="27:59" x14ac:dyDescent="0.15">
      <c r="AA91" s="67" t="s">
        <v>2839</v>
      </c>
      <c r="AB91" s="184">
        <v>0</v>
      </c>
      <c r="AC91" s="184">
        <v>0</v>
      </c>
      <c r="AD91" s="184">
        <v>0</v>
      </c>
      <c r="AE91" s="184">
        <v>0</v>
      </c>
      <c r="AF91" s="184">
        <v>0</v>
      </c>
      <c r="AG91" s="184">
        <v>0</v>
      </c>
      <c r="AH91" s="184">
        <v>0</v>
      </c>
      <c r="AI91" s="184">
        <v>0</v>
      </c>
      <c r="AJ91" s="184">
        <v>0</v>
      </c>
      <c r="AK91" s="184">
        <v>0</v>
      </c>
      <c r="AL91" s="184">
        <v>0</v>
      </c>
      <c r="AM91" s="184">
        <v>0</v>
      </c>
      <c r="AN91" s="184">
        <f t="shared" si="19"/>
        <v>0</v>
      </c>
      <c r="AO91" s="231">
        <f t="shared" si="20"/>
        <v>0</v>
      </c>
      <c r="AP91" s="50">
        <f t="shared" si="18"/>
        <v>0</v>
      </c>
    </row>
    <row r="92" spans="27:59" x14ac:dyDescent="0.15">
      <c r="AA92" s="67" t="s">
        <v>3622</v>
      </c>
      <c r="AB92" s="184">
        <v>0</v>
      </c>
      <c r="AC92" s="184">
        <v>0</v>
      </c>
      <c r="AD92" s="184">
        <v>13500</v>
      </c>
      <c r="AE92" s="184">
        <v>38000</v>
      </c>
      <c r="AF92" s="184">
        <v>0</v>
      </c>
      <c r="AG92" s="184">
        <v>0</v>
      </c>
      <c r="AH92" s="184">
        <v>0</v>
      </c>
      <c r="AI92" s="184">
        <v>0</v>
      </c>
      <c r="AJ92" s="184">
        <v>0</v>
      </c>
      <c r="AK92" s="184">
        <v>0</v>
      </c>
      <c r="AL92" s="184">
        <v>0</v>
      </c>
      <c r="AM92" s="184">
        <v>0</v>
      </c>
      <c r="AN92" s="184">
        <f t="shared" si="19"/>
        <v>51500</v>
      </c>
      <c r="AO92" s="231">
        <f t="shared" si="20"/>
        <v>6.9301406565569501E-4</v>
      </c>
      <c r="AP92" s="50">
        <f t="shared" si="18"/>
        <v>4291.666666666667</v>
      </c>
    </row>
    <row r="93" spans="27:59" ht="14.25" thickBot="1" x14ac:dyDescent="0.2">
      <c r="AA93" s="69" t="s">
        <v>4084</v>
      </c>
      <c r="AB93" s="371">
        <v>0</v>
      </c>
      <c r="AC93" s="371">
        <v>0</v>
      </c>
      <c r="AD93" s="371">
        <v>0</v>
      </c>
      <c r="AE93" s="371">
        <v>0</v>
      </c>
      <c r="AF93" s="371">
        <v>0</v>
      </c>
      <c r="AG93" s="371">
        <v>162000</v>
      </c>
      <c r="AH93" s="371">
        <v>0</v>
      </c>
      <c r="AI93" s="371">
        <v>0</v>
      </c>
      <c r="AJ93" s="371">
        <v>0</v>
      </c>
      <c r="AK93" s="371">
        <v>0</v>
      </c>
      <c r="AL93" s="371">
        <v>0</v>
      </c>
      <c r="AM93" s="371">
        <v>0</v>
      </c>
      <c r="AN93" s="371">
        <f t="shared" si="19"/>
        <v>162000</v>
      </c>
      <c r="AO93" s="441">
        <f t="shared" si="20"/>
        <v>2.1799665754606329E-3</v>
      </c>
      <c r="AP93" s="442">
        <f t="shared" si="18"/>
        <v>13500</v>
      </c>
    </row>
    <row r="94" spans="27:59" x14ac:dyDescent="0.15">
      <c r="AS94" s="1" t="s">
        <v>4472</v>
      </c>
    </row>
    <row r="95" spans="27:59" ht="14.25" thickBot="1" x14ac:dyDescent="0.2"/>
    <row r="96" spans="27:59" ht="14.25" thickBot="1" x14ac:dyDescent="0.2">
      <c r="AA96" s="380" t="s">
        <v>4304</v>
      </c>
      <c r="AB96" s="381" t="s">
        <v>4308</v>
      </c>
      <c r="AC96" s="381" t="s">
        <v>316</v>
      </c>
      <c r="AD96" s="381" t="s">
        <v>317</v>
      </c>
      <c r="AE96" s="381" t="s">
        <v>318</v>
      </c>
      <c r="AF96" s="381" t="s">
        <v>319</v>
      </c>
      <c r="AG96" s="381" t="s">
        <v>320</v>
      </c>
      <c r="AH96" s="456" t="s">
        <v>4620</v>
      </c>
      <c r="AI96" s="381" t="s">
        <v>337</v>
      </c>
      <c r="AJ96" s="381" t="s">
        <v>338</v>
      </c>
      <c r="AK96" s="382" t="s">
        <v>313</v>
      </c>
      <c r="AL96" s="381" t="s">
        <v>314</v>
      </c>
      <c r="AM96" s="381" t="s">
        <v>315</v>
      </c>
      <c r="AN96" s="382" t="s">
        <v>324</v>
      </c>
      <c r="AO96" s="383" t="s">
        <v>4312</v>
      </c>
      <c r="AS96" s="432" t="s">
        <v>4304</v>
      </c>
      <c r="AT96" s="433" t="s">
        <v>766</v>
      </c>
      <c r="AU96" s="433" t="s">
        <v>316</v>
      </c>
      <c r="AV96" s="433" t="s">
        <v>317</v>
      </c>
      <c r="AW96" s="433" t="s">
        <v>318</v>
      </c>
      <c r="AX96" s="433" t="s">
        <v>319</v>
      </c>
      <c r="AY96" s="433" t="s">
        <v>320</v>
      </c>
      <c r="AZ96" s="433" t="s">
        <v>321</v>
      </c>
      <c r="BA96" s="433" t="s">
        <v>337</v>
      </c>
      <c r="BB96" s="433" t="s">
        <v>338</v>
      </c>
      <c r="BC96" s="434" t="s">
        <v>313</v>
      </c>
      <c r="BD96" s="433" t="s">
        <v>314</v>
      </c>
      <c r="BE96" s="433" t="s">
        <v>315</v>
      </c>
      <c r="BF96" s="434" t="s">
        <v>324</v>
      </c>
      <c r="BG96" s="435" t="s">
        <v>4312</v>
      </c>
    </row>
    <row r="97" spans="24:59" ht="15" thickBot="1" x14ac:dyDescent="0.2">
      <c r="X97" s="384"/>
      <c r="Y97" s="385" t="s">
        <v>4305</v>
      </c>
      <c r="AA97" s="386" t="s">
        <v>4306</v>
      </c>
      <c r="AB97" s="387">
        <f>AB2</f>
        <v>4931461</v>
      </c>
      <c r="AC97" s="387">
        <f t="shared" ref="AC97:AL97" si="21">AC2</f>
        <v>4846879</v>
      </c>
      <c r="AD97" s="387">
        <f t="shared" si="21"/>
        <v>6772070</v>
      </c>
      <c r="AE97" s="387">
        <f t="shared" si="21"/>
        <v>4554507</v>
      </c>
      <c r="AF97" s="387">
        <f t="shared" si="21"/>
        <v>4863220</v>
      </c>
      <c r="AG97" s="387">
        <f t="shared" si="21"/>
        <v>9338380</v>
      </c>
      <c r="AH97" s="387">
        <f t="shared" si="21"/>
        <v>6948618</v>
      </c>
      <c r="AI97" s="387">
        <f t="shared" si="21"/>
        <v>4305193</v>
      </c>
      <c r="AJ97" s="387">
        <f t="shared" si="21"/>
        <v>7645166</v>
      </c>
      <c r="AK97" s="387">
        <f t="shared" si="21"/>
        <v>5820953</v>
      </c>
      <c r="AL97" s="387">
        <f t="shared" si="21"/>
        <v>7283429</v>
      </c>
      <c r="AM97" s="387">
        <f>AM2</f>
        <v>7015140</v>
      </c>
      <c r="AN97" s="393">
        <f>SUM(AB97:AM97)</f>
        <v>74325016</v>
      </c>
      <c r="AO97" s="394">
        <f>$AN$97/12</f>
        <v>6193751.333333333</v>
      </c>
      <c r="AP97" s="372"/>
      <c r="AS97" s="436" t="s">
        <v>4406</v>
      </c>
      <c r="AT97" s="88">
        <f t="shared" ref="AT97:BE97" si="22">SUM(AT41:AT49)</f>
        <v>9</v>
      </c>
      <c r="AU97" s="88">
        <f t="shared" si="22"/>
        <v>11</v>
      </c>
      <c r="AV97" s="88">
        <f t="shared" si="22"/>
        <v>26</v>
      </c>
      <c r="AW97" s="88">
        <f t="shared" si="22"/>
        <v>8</v>
      </c>
      <c r="AX97" s="88">
        <f t="shared" si="22"/>
        <v>13</v>
      </c>
      <c r="AY97" s="88">
        <f t="shared" si="22"/>
        <v>19</v>
      </c>
      <c r="AZ97" s="88">
        <f t="shared" si="22"/>
        <v>19</v>
      </c>
      <c r="BA97" s="88">
        <f t="shared" si="22"/>
        <v>12</v>
      </c>
      <c r="BB97" s="88">
        <f t="shared" si="22"/>
        <v>18</v>
      </c>
      <c r="BC97" s="88">
        <f t="shared" si="22"/>
        <v>12</v>
      </c>
      <c r="BD97" s="88">
        <f t="shared" si="22"/>
        <v>12</v>
      </c>
      <c r="BE97" s="88">
        <f t="shared" si="22"/>
        <v>13</v>
      </c>
      <c r="BF97" s="88">
        <f>SUM(AT97:BE97)</f>
        <v>172</v>
      </c>
      <c r="BG97" s="457">
        <f>$BF$97/12</f>
        <v>14.333333333333334</v>
      </c>
    </row>
    <row r="98" spans="24:59" ht="15" thickTop="1" x14ac:dyDescent="0.15">
      <c r="X98" s="388" t="s">
        <v>4309</v>
      </c>
      <c r="Y98" s="389">
        <v>2000000</v>
      </c>
      <c r="AA98" s="390" t="s">
        <v>1226</v>
      </c>
      <c r="AB98" s="392">
        <v>1889991</v>
      </c>
      <c r="AC98" s="391">
        <v>2784075</v>
      </c>
      <c r="AD98" s="392">
        <v>1625970</v>
      </c>
      <c r="AE98" s="392">
        <v>1893024</v>
      </c>
      <c r="AF98" s="391">
        <v>2496920</v>
      </c>
      <c r="AG98" s="391">
        <v>4324290</v>
      </c>
      <c r="AH98" s="391">
        <v>2395075</v>
      </c>
      <c r="AI98" s="391">
        <v>2568990</v>
      </c>
      <c r="AJ98" s="391">
        <v>3469600</v>
      </c>
      <c r="AK98" s="391">
        <v>2751010</v>
      </c>
      <c r="AL98" s="391">
        <v>2357785</v>
      </c>
      <c r="AM98" s="391">
        <v>3009200</v>
      </c>
      <c r="AN98" s="393">
        <f>SUM(AB98:AM98)</f>
        <v>31565930</v>
      </c>
      <c r="AO98" s="394">
        <f>$AN$98/12</f>
        <v>2630494.1666666665</v>
      </c>
      <c r="AS98" s="436" t="s">
        <v>4407</v>
      </c>
      <c r="AT98" s="88">
        <f t="shared" ref="AT98:BE98" si="23">SUM(AT50:AT64)</f>
        <v>19</v>
      </c>
      <c r="AU98" s="88">
        <f t="shared" si="23"/>
        <v>17</v>
      </c>
      <c r="AV98" s="88">
        <f t="shared" si="23"/>
        <v>12</v>
      </c>
      <c r="AW98" s="88">
        <f t="shared" si="23"/>
        <v>16</v>
      </c>
      <c r="AX98" s="88">
        <f t="shared" si="23"/>
        <v>10</v>
      </c>
      <c r="AY98" s="88">
        <f t="shared" si="23"/>
        <v>33</v>
      </c>
      <c r="AZ98" s="88">
        <f t="shared" si="23"/>
        <v>20</v>
      </c>
      <c r="BA98" s="88">
        <f t="shared" si="23"/>
        <v>10</v>
      </c>
      <c r="BB98" s="88">
        <f t="shared" si="23"/>
        <v>24</v>
      </c>
      <c r="BC98" s="88">
        <f t="shared" si="23"/>
        <v>22</v>
      </c>
      <c r="BD98" s="88">
        <f t="shared" si="23"/>
        <v>27</v>
      </c>
      <c r="BE98" s="88">
        <f t="shared" si="23"/>
        <v>28</v>
      </c>
      <c r="BF98" s="88">
        <f>SUM(AT98:BE98)</f>
        <v>238</v>
      </c>
      <c r="BG98" s="457">
        <f>$BF$98/12</f>
        <v>19.833333333333332</v>
      </c>
    </row>
    <row r="99" spans="24:59" ht="14.25" x14ac:dyDescent="0.15">
      <c r="X99" s="388" t="s">
        <v>4310</v>
      </c>
      <c r="Y99" s="389">
        <v>5000000</v>
      </c>
      <c r="AA99" s="395" t="s">
        <v>1279</v>
      </c>
      <c r="AB99" s="396">
        <v>3100770</v>
      </c>
      <c r="AC99" s="417">
        <v>2062804</v>
      </c>
      <c r="AD99" s="397">
        <v>5145650</v>
      </c>
      <c r="AE99" s="396">
        <v>2660953</v>
      </c>
      <c r="AF99" s="417">
        <v>2340700</v>
      </c>
      <c r="AG99" s="396">
        <v>4993490</v>
      </c>
      <c r="AH99" s="396">
        <v>4553543</v>
      </c>
      <c r="AI99" s="417">
        <v>1736203</v>
      </c>
      <c r="AJ99" s="396">
        <v>4175566</v>
      </c>
      <c r="AK99" s="396">
        <v>3069943</v>
      </c>
      <c r="AL99" s="396">
        <v>4924944</v>
      </c>
      <c r="AM99" s="396">
        <v>4024140</v>
      </c>
      <c r="AN99" s="393">
        <f>SUM(AB99:AM99)</f>
        <v>42788706</v>
      </c>
      <c r="AO99" s="394">
        <f>$AN$99/12</f>
        <v>3565725.5</v>
      </c>
      <c r="AQ99" s="1" t="s">
        <v>4307</v>
      </c>
      <c r="AS99" s="437" t="s">
        <v>4408</v>
      </c>
      <c r="AT99" s="446">
        <f>AT97/(AT97+AT98)</f>
        <v>0.32142857142857145</v>
      </c>
      <c r="AU99" s="446">
        <f t="shared" ref="AU99:BF99" si="24">AU97/(AU97+AU98)</f>
        <v>0.39285714285714285</v>
      </c>
      <c r="AV99" s="446">
        <f t="shared" si="24"/>
        <v>0.68421052631578949</v>
      </c>
      <c r="AW99" s="446">
        <f t="shared" si="24"/>
        <v>0.33333333333333331</v>
      </c>
      <c r="AX99" s="446">
        <f t="shared" si="24"/>
        <v>0.56521739130434778</v>
      </c>
      <c r="AY99" s="446">
        <f t="shared" si="24"/>
        <v>0.36538461538461536</v>
      </c>
      <c r="AZ99" s="446">
        <f t="shared" si="24"/>
        <v>0.48717948717948717</v>
      </c>
      <c r="BA99" s="446">
        <f t="shared" si="24"/>
        <v>0.54545454545454541</v>
      </c>
      <c r="BB99" s="446">
        <f t="shared" si="24"/>
        <v>0.42857142857142855</v>
      </c>
      <c r="BC99" s="446">
        <f t="shared" si="24"/>
        <v>0.35294117647058826</v>
      </c>
      <c r="BD99" s="446">
        <f t="shared" si="24"/>
        <v>0.30769230769230771</v>
      </c>
      <c r="BE99" s="446">
        <f t="shared" si="24"/>
        <v>0.31707317073170732</v>
      </c>
      <c r="BF99" s="446">
        <f t="shared" si="24"/>
        <v>0.4195121951219512</v>
      </c>
      <c r="BG99" s="410"/>
    </row>
    <row r="100" spans="24:59" ht="15" thickBot="1" x14ac:dyDescent="0.2">
      <c r="X100" s="400" t="s">
        <v>4311</v>
      </c>
      <c r="Y100" s="401"/>
      <c r="AA100" s="395" t="s">
        <v>1280</v>
      </c>
      <c r="AB100" s="397">
        <v>0</v>
      </c>
      <c r="AC100" s="397">
        <v>0</v>
      </c>
      <c r="AD100" s="397">
        <v>0</v>
      </c>
      <c r="AE100" s="397">
        <v>0</v>
      </c>
      <c r="AF100" s="397">
        <v>0</v>
      </c>
      <c r="AG100" s="397">
        <v>0</v>
      </c>
      <c r="AH100" s="397">
        <v>0</v>
      </c>
      <c r="AI100" s="397">
        <v>0</v>
      </c>
      <c r="AJ100" s="397">
        <v>0</v>
      </c>
      <c r="AK100" s="397">
        <v>0</v>
      </c>
      <c r="AL100" s="397">
        <v>0</v>
      </c>
      <c r="AM100" s="397">
        <v>0</v>
      </c>
      <c r="AN100" s="398"/>
      <c r="AO100" s="399"/>
      <c r="AS100" s="438" t="s">
        <v>4409</v>
      </c>
      <c r="AT100" s="447">
        <f>AT98/(AT97+AT98)</f>
        <v>0.6785714285714286</v>
      </c>
      <c r="AU100" s="447">
        <f t="shared" ref="AU100:BF100" si="25">AU98/(AU97+AU98)</f>
        <v>0.6071428571428571</v>
      </c>
      <c r="AV100" s="447">
        <f t="shared" si="25"/>
        <v>0.31578947368421051</v>
      </c>
      <c r="AW100" s="447">
        <f t="shared" si="25"/>
        <v>0.66666666666666663</v>
      </c>
      <c r="AX100" s="447">
        <f t="shared" si="25"/>
        <v>0.43478260869565216</v>
      </c>
      <c r="AY100" s="447">
        <f t="shared" si="25"/>
        <v>0.63461538461538458</v>
      </c>
      <c r="AZ100" s="447">
        <f t="shared" si="25"/>
        <v>0.51282051282051277</v>
      </c>
      <c r="BA100" s="447">
        <f t="shared" si="25"/>
        <v>0.45454545454545453</v>
      </c>
      <c r="BB100" s="447">
        <f t="shared" si="25"/>
        <v>0.5714285714285714</v>
      </c>
      <c r="BC100" s="447">
        <f t="shared" si="25"/>
        <v>0.6470588235294118</v>
      </c>
      <c r="BD100" s="447">
        <f t="shared" si="25"/>
        <v>0.69230769230769229</v>
      </c>
      <c r="BE100" s="447">
        <f t="shared" si="25"/>
        <v>0.68292682926829273</v>
      </c>
      <c r="BF100" s="447">
        <f t="shared" si="25"/>
        <v>0.58048780487804874</v>
      </c>
      <c r="BG100" s="413"/>
    </row>
    <row r="101" spans="24:59" ht="15" thickBot="1" x14ac:dyDescent="0.2">
      <c r="AA101" s="402" t="s">
        <v>4146</v>
      </c>
      <c r="AB101" s="403">
        <v>700</v>
      </c>
      <c r="AC101" s="403">
        <v>0</v>
      </c>
      <c r="AD101" s="403">
        <v>450</v>
      </c>
      <c r="AE101" s="403">
        <v>530</v>
      </c>
      <c r="AF101" s="403">
        <v>25600</v>
      </c>
      <c r="AG101" s="403">
        <v>600</v>
      </c>
      <c r="AH101" s="403">
        <v>0</v>
      </c>
      <c r="AI101" s="403">
        <v>0</v>
      </c>
      <c r="AJ101" s="403">
        <v>0</v>
      </c>
      <c r="AK101" s="403">
        <v>0</v>
      </c>
      <c r="AL101" s="403">
        <v>700</v>
      </c>
      <c r="AM101" s="403">
        <v>0</v>
      </c>
      <c r="AN101" s="404"/>
      <c r="AO101" s="405"/>
    </row>
    <row r="102" spans="24:59" ht="4.1500000000000004" customHeight="1" thickBot="1" x14ac:dyDescent="0.2">
      <c r="AD102" s="372"/>
      <c r="AG102" s="56"/>
      <c r="AI102" s="56"/>
      <c r="AJ102" s="56"/>
      <c r="AK102" s="453"/>
      <c r="AL102" s="56"/>
      <c r="AM102" s="56"/>
    </row>
    <row r="103" spans="24:59" ht="15" thickBot="1" x14ac:dyDescent="0.2">
      <c r="X103" s="421">
        <f>日計表!$AG$2</f>
        <v>178052</v>
      </c>
      <c r="Y103" s="422">
        <f>ROUND($Y$98/$X$103,0)</f>
        <v>11</v>
      </c>
      <c r="AA103" s="414" t="s">
        <v>4399</v>
      </c>
      <c r="AB103" s="425">
        <v>11</v>
      </c>
      <c r="AC103" s="425">
        <v>17</v>
      </c>
      <c r="AD103" s="429">
        <v>9</v>
      </c>
      <c r="AE103" s="429">
        <v>10</v>
      </c>
      <c r="AF103" s="425">
        <v>13</v>
      </c>
      <c r="AG103" s="425">
        <v>27</v>
      </c>
      <c r="AH103" s="425">
        <v>14</v>
      </c>
      <c r="AI103" s="425">
        <v>14</v>
      </c>
      <c r="AJ103" s="425">
        <v>19</v>
      </c>
      <c r="AK103" s="425">
        <v>16</v>
      </c>
      <c r="AL103" s="425">
        <v>13</v>
      </c>
      <c r="AM103" s="425">
        <v>18</v>
      </c>
      <c r="AN103" s="512">
        <f>SUM(AB103:AM103)</f>
        <v>181</v>
      </c>
      <c r="AO103" s="513">
        <f>$AN$103/12</f>
        <v>15.083333333333334</v>
      </c>
    </row>
    <row r="104" spans="24:59" ht="15" thickBot="1" x14ac:dyDescent="0.2">
      <c r="X104" s="423"/>
      <c r="Y104" s="424">
        <f>ROUND($Y$99/$X$103,0)</f>
        <v>28</v>
      </c>
      <c r="AA104" s="415" t="s">
        <v>4400</v>
      </c>
      <c r="AB104" s="426">
        <v>17</v>
      </c>
      <c r="AC104" s="431">
        <v>11</v>
      </c>
      <c r="AD104" s="428">
        <v>29</v>
      </c>
      <c r="AE104" s="471">
        <v>14</v>
      </c>
      <c r="AF104" s="431">
        <v>10</v>
      </c>
      <c r="AG104" s="426">
        <v>25</v>
      </c>
      <c r="AH104" s="426">
        <v>25</v>
      </c>
      <c r="AI104" s="431">
        <v>8</v>
      </c>
      <c r="AJ104" s="426">
        <v>23</v>
      </c>
      <c r="AK104" s="471">
        <v>18</v>
      </c>
      <c r="AL104" s="426">
        <v>26</v>
      </c>
      <c r="AM104" s="426">
        <v>23</v>
      </c>
      <c r="AN104" s="512">
        <f t="shared" ref="AN104:AN105" si="26">SUM(AB104:AM104)</f>
        <v>229</v>
      </c>
      <c r="AO104" s="513">
        <f>$AN$104/12</f>
        <v>19.083333333333332</v>
      </c>
    </row>
    <row r="105" spans="24:59" ht="15" thickBot="1" x14ac:dyDescent="0.2">
      <c r="AA105" s="402" t="s">
        <v>1280</v>
      </c>
      <c r="AB105" s="427">
        <v>0</v>
      </c>
      <c r="AC105" s="427">
        <v>0</v>
      </c>
      <c r="AD105" s="427">
        <v>0</v>
      </c>
      <c r="AE105" s="430">
        <v>0</v>
      </c>
      <c r="AF105" s="427">
        <v>0</v>
      </c>
      <c r="AG105" s="427">
        <v>0</v>
      </c>
      <c r="AH105" s="427">
        <v>0</v>
      </c>
      <c r="AI105" s="427">
        <v>0</v>
      </c>
      <c r="AJ105" s="427">
        <v>0</v>
      </c>
      <c r="AK105" s="430">
        <v>0</v>
      </c>
      <c r="AL105" s="427">
        <v>0</v>
      </c>
      <c r="AM105" s="427">
        <v>0</v>
      </c>
      <c r="AN105" s="512">
        <f t="shared" si="26"/>
        <v>0</v>
      </c>
      <c r="AO105" s="513">
        <f>$AN$105/12</f>
        <v>0</v>
      </c>
    </row>
    <row r="112" spans="24:59" x14ac:dyDescent="0.15">
      <c r="AE112"/>
      <c r="AF112" s="2"/>
      <c r="AK112"/>
      <c r="AL112" s="2"/>
    </row>
  </sheetData>
  <phoneticPr fontId="2"/>
  <pageMargins left="0.7" right="0.7" top="0.75" bottom="0.75" header="0.3" footer="0.3"/>
  <pageSetup paperSize="9" scale="36" fitToWidth="0" orientation="landscape" horizontalDpi="180" verticalDpi="180" r:id="rId1"/>
  <drawing r:id="rId2"/>
  <legacyDrawing r:id="rId3"/>
  <controls>
    <mc:AlternateContent xmlns:mc="http://schemas.openxmlformats.org/markup-compatibility/2006">
      <mc:Choice Requires="x14">
        <control shapeId="7171" r:id="rId4" name="CommandButton3">
          <controlPr defaultSize="0" autoLine="0" autoPict="0" r:id="rId5">
            <anchor moveWithCells="1">
              <from>
                <xdr:col>42</xdr:col>
                <xdr:colOff>361950</xdr:colOff>
                <xdr:row>39</xdr:row>
                <xdr:rowOff>9525</xdr:rowOff>
              </from>
              <to>
                <xdr:col>43</xdr:col>
                <xdr:colOff>504825</xdr:colOff>
                <xdr:row>41</xdr:row>
                <xdr:rowOff>47625</xdr:rowOff>
              </to>
            </anchor>
          </controlPr>
        </control>
      </mc:Choice>
      <mc:Fallback>
        <control shapeId="7171" r:id="rId4" name="CommandButton3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42</xdr:col>
                <xdr:colOff>400050</xdr:colOff>
                <xdr:row>11</xdr:row>
                <xdr:rowOff>0</xdr:rowOff>
              </from>
              <to>
                <xdr:col>43</xdr:col>
                <xdr:colOff>466725</xdr:colOff>
                <xdr:row>13</xdr:row>
                <xdr:rowOff>57150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2" r:id="rId8" name="CommandButton4">
          <controlPr defaultSize="0" autoLine="0" r:id="rId9">
            <anchor moveWithCells="1">
              <from>
                <xdr:col>42</xdr:col>
                <xdr:colOff>66675</xdr:colOff>
                <xdr:row>4</xdr:row>
                <xdr:rowOff>57150</xdr:rowOff>
              </from>
              <to>
                <xdr:col>42</xdr:col>
                <xdr:colOff>1362075</xdr:colOff>
                <xdr:row>6</xdr:row>
                <xdr:rowOff>28575</xdr:rowOff>
              </to>
            </anchor>
          </controlPr>
        </control>
      </mc:Choice>
      <mc:Fallback>
        <control shapeId="7172" r:id="rId8" name="CommandButton4"/>
      </mc:Fallback>
    </mc:AlternateContent>
    <mc:AlternateContent xmlns:mc="http://schemas.openxmlformats.org/markup-compatibility/2006">
      <mc:Choice Requires="x14">
        <control shapeId="7174" r:id="rId10" name="CommandButton6">
          <controlPr defaultSize="0" autoLine="0" autoPict="0" r:id="rId11">
            <anchor moveWithCells="1">
              <from>
                <xdr:col>42</xdr:col>
                <xdr:colOff>57150</xdr:colOff>
                <xdr:row>0</xdr:row>
                <xdr:rowOff>123825</xdr:rowOff>
              </from>
              <to>
                <xdr:col>42</xdr:col>
                <xdr:colOff>1247775</xdr:colOff>
                <xdr:row>2</xdr:row>
                <xdr:rowOff>47625</xdr:rowOff>
              </to>
            </anchor>
          </controlPr>
        </control>
      </mc:Choice>
      <mc:Fallback>
        <control shapeId="7174" r:id="rId10" name="CommandButton6"/>
      </mc:Fallback>
    </mc:AlternateContent>
    <mc:AlternateContent xmlns:mc="http://schemas.openxmlformats.org/markup-compatibility/2006">
      <mc:Choice Requires="x14">
        <control shapeId="7175" r:id="rId12" name="CommandButton1">
          <controlPr defaultSize="0" autoLine="0" r:id="rId13">
            <anchor moveWithCells="1">
              <from>
                <xdr:col>41</xdr:col>
                <xdr:colOff>666750</xdr:colOff>
                <xdr:row>95</xdr:row>
                <xdr:rowOff>19050</xdr:rowOff>
              </from>
              <to>
                <xdr:col>42</xdr:col>
                <xdr:colOff>1457325</xdr:colOff>
                <xdr:row>96</xdr:row>
                <xdr:rowOff>161925</xdr:rowOff>
              </to>
            </anchor>
          </controlPr>
        </control>
      </mc:Choice>
      <mc:Fallback>
        <control shapeId="7175" r:id="rId12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3:C27"/>
  <sheetViews>
    <sheetView zoomScale="115" zoomScaleNormal="115" workbookViewId="0">
      <selection activeCell="B23" sqref="B23"/>
    </sheetView>
  </sheetViews>
  <sheetFormatPr defaultRowHeight="13.5" x14ac:dyDescent="0.15"/>
  <cols>
    <col min="2" max="2" width="26.375" customWidth="1"/>
    <col min="3" max="3" width="10.5" customWidth="1"/>
  </cols>
  <sheetData>
    <row r="3" spans="2:3" ht="14.25" thickBot="1" x14ac:dyDescent="0.2"/>
    <row r="4" spans="2:3" x14ac:dyDescent="0.15">
      <c r="B4" s="26" t="s">
        <v>1</v>
      </c>
      <c r="C4" s="143" t="s">
        <v>5490</v>
      </c>
    </row>
    <row r="5" spans="2:3" x14ac:dyDescent="0.15">
      <c r="B5" s="61" t="s">
        <v>50</v>
      </c>
      <c r="C5" s="50">
        <v>1314454</v>
      </c>
    </row>
    <row r="6" spans="2:3" x14ac:dyDescent="0.15">
      <c r="B6" s="68" t="s">
        <v>371</v>
      </c>
      <c r="C6" s="50">
        <v>22100</v>
      </c>
    </row>
    <row r="7" spans="2:3" x14ac:dyDescent="0.15">
      <c r="B7" s="21" t="s">
        <v>364</v>
      </c>
      <c r="C7" s="50">
        <v>175000</v>
      </c>
    </row>
    <row r="8" spans="2:3" x14ac:dyDescent="0.15">
      <c r="B8" s="21" t="s">
        <v>362</v>
      </c>
      <c r="C8" s="50">
        <v>2365625</v>
      </c>
    </row>
    <row r="9" spans="2:3" x14ac:dyDescent="0.15">
      <c r="B9" s="21" t="s">
        <v>1110</v>
      </c>
      <c r="C9" s="50">
        <v>218000</v>
      </c>
    </row>
    <row r="10" spans="2:3" x14ac:dyDescent="0.15">
      <c r="B10" s="68" t="s">
        <v>374</v>
      </c>
      <c r="C10" s="50">
        <v>115000</v>
      </c>
    </row>
    <row r="11" spans="2:3" x14ac:dyDescent="0.15">
      <c r="B11" s="21" t="s">
        <v>370</v>
      </c>
      <c r="C11" s="50">
        <v>504250</v>
      </c>
    </row>
    <row r="12" spans="2:3" x14ac:dyDescent="0.15">
      <c r="B12" s="21" t="s">
        <v>2375</v>
      </c>
      <c r="C12" s="50">
        <v>111000</v>
      </c>
    </row>
    <row r="13" spans="2:3" x14ac:dyDescent="0.15">
      <c r="B13" s="21" t="s">
        <v>3559</v>
      </c>
      <c r="C13" s="50">
        <v>21450</v>
      </c>
    </row>
    <row r="14" spans="2:3" x14ac:dyDescent="0.15">
      <c r="B14" s="21"/>
      <c r="C14" s="50"/>
    </row>
    <row r="15" spans="2:3" x14ac:dyDescent="0.15">
      <c r="B15" s="67"/>
      <c r="C15" s="50"/>
    </row>
    <row r="16" spans="2:3" x14ac:dyDescent="0.15">
      <c r="B16" s="67"/>
      <c r="C16" s="22"/>
    </row>
    <row r="17" spans="2:3" x14ac:dyDescent="0.15">
      <c r="B17" s="67"/>
      <c r="C17" s="22"/>
    </row>
    <row r="18" spans="2:3" x14ac:dyDescent="0.15">
      <c r="B18" s="21"/>
      <c r="C18" s="22"/>
    </row>
    <row r="19" spans="2:3" x14ac:dyDescent="0.15">
      <c r="B19" s="21"/>
      <c r="C19" s="22"/>
    </row>
    <row r="20" spans="2:3" x14ac:dyDescent="0.15">
      <c r="B20" s="21"/>
      <c r="C20" s="22"/>
    </row>
    <row r="21" spans="2:3" x14ac:dyDescent="0.15">
      <c r="B21" s="21"/>
      <c r="C21" s="22"/>
    </row>
    <row r="22" spans="2:3" x14ac:dyDescent="0.15">
      <c r="B22" s="21"/>
      <c r="C22" s="22"/>
    </row>
    <row r="23" spans="2:3" x14ac:dyDescent="0.15">
      <c r="B23" s="21"/>
      <c r="C23" s="22"/>
    </row>
    <row r="24" spans="2:3" x14ac:dyDescent="0.15">
      <c r="B24" s="21"/>
      <c r="C24" s="22"/>
    </row>
    <row r="25" spans="2:3" x14ac:dyDescent="0.15">
      <c r="B25" s="21"/>
      <c r="C25" s="22"/>
    </row>
    <row r="26" spans="2:3" x14ac:dyDescent="0.15">
      <c r="B26" s="21"/>
      <c r="C26" s="22"/>
    </row>
    <row r="27" spans="2:3" ht="14.25" thickBot="1" x14ac:dyDescent="0.2">
      <c r="B27" s="23"/>
      <c r="C27" s="24"/>
    </row>
  </sheetData>
  <phoneticPr fontId="2"/>
  <pageMargins left="0.7" right="0.7" top="0.75" bottom="0.75" header="0.3" footer="0.3"/>
  <pageSetup paperSize="9" scale="95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autoLine="0" autoPict="0" r:id="rId5">
            <anchor moveWithCells="1">
              <from>
                <xdr:col>1</xdr:col>
                <xdr:colOff>323850</xdr:colOff>
                <xdr:row>32</xdr:row>
                <xdr:rowOff>38100</xdr:rowOff>
              </from>
              <to>
                <xdr:col>1</xdr:col>
                <xdr:colOff>1371600</xdr:colOff>
                <xdr:row>34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autoLine="0" autoPict="0" r:id="rId7">
            <anchor moveWithCells="1">
              <from>
                <xdr:col>1</xdr:col>
                <xdr:colOff>333375</xdr:colOff>
                <xdr:row>36</xdr:row>
                <xdr:rowOff>38100</xdr:rowOff>
              </from>
              <to>
                <xdr:col>1</xdr:col>
                <xdr:colOff>1343025</xdr:colOff>
                <xdr:row>38</xdr:row>
                <xdr:rowOff>38100</xdr:rowOff>
              </to>
            </anchor>
          </controlPr>
        </control>
      </mc:Choice>
      <mc:Fallback>
        <control shapeId="27650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B3:C37"/>
  <sheetViews>
    <sheetView workbookViewId="0">
      <selection activeCell="C51" sqref="C51"/>
    </sheetView>
  </sheetViews>
  <sheetFormatPr defaultRowHeight="13.5" x14ac:dyDescent="0.15"/>
  <cols>
    <col min="2" max="2" width="26.5" customWidth="1"/>
    <col min="3" max="3" width="9.5" customWidth="1"/>
    <col min="4" max="4" width="11" customWidth="1"/>
  </cols>
  <sheetData>
    <row r="3" spans="2:3" ht="14.25" thickBot="1" x14ac:dyDescent="0.2"/>
    <row r="4" spans="2:3" x14ac:dyDescent="0.15">
      <c r="B4" s="26" t="s">
        <v>1</v>
      </c>
      <c r="C4" s="65" t="s">
        <v>324</v>
      </c>
    </row>
    <row r="5" spans="2:3" x14ac:dyDescent="0.15">
      <c r="B5" s="61" t="s">
        <v>50</v>
      </c>
      <c r="C5" s="66">
        <v>13758</v>
      </c>
    </row>
    <row r="6" spans="2:3" x14ac:dyDescent="0.15">
      <c r="B6" s="21" t="s">
        <v>371</v>
      </c>
      <c r="C6" s="66">
        <v>1213</v>
      </c>
    </row>
    <row r="7" spans="2:3" x14ac:dyDescent="0.15">
      <c r="B7" s="67" t="s">
        <v>364</v>
      </c>
      <c r="C7" s="66">
        <v>23724</v>
      </c>
    </row>
    <row r="8" spans="2:3" x14ac:dyDescent="0.15">
      <c r="B8" s="68" t="s">
        <v>362</v>
      </c>
      <c r="C8" s="66">
        <v>16575</v>
      </c>
    </row>
    <row r="9" spans="2:3" x14ac:dyDescent="0.15">
      <c r="B9" s="21" t="s">
        <v>368</v>
      </c>
      <c r="C9" s="66">
        <v>2959</v>
      </c>
    </row>
    <row r="10" spans="2:3" x14ac:dyDescent="0.15">
      <c r="B10" s="21" t="s">
        <v>1110</v>
      </c>
      <c r="C10" s="66">
        <v>3517</v>
      </c>
    </row>
    <row r="11" spans="2:3" x14ac:dyDescent="0.15">
      <c r="B11" s="21" t="s">
        <v>1111</v>
      </c>
      <c r="C11" s="66">
        <v>27</v>
      </c>
    </row>
    <row r="12" spans="2:3" x14ac:dyDescent="0.15">
      <c r="B12" s="68" t="s">
        <v>4296</v>
      </c>
      <c r="C12" s="66">
        <v>258</v>
      </c>
    </row>
    <row r="13" spans="2:3" x14ac:dyDescent="0.15">
      <c r="B13" s="21" t="s">
        <v>367</v>
      </c>
      <c r="C13" s="66">
        <v>21</v>
      </c>
    </row>
    <row r="14" spans="2:3" x14ac:dyDescent="0.15">
      <c r="B14" s="21" t="s">
        <v>3649</v>
      </c>
      <c r="C14" s="66">
        <v>27</v>
      </c>
    </row>
    <row r="15" spans="2:3" x14ac:dyDescent="0.15">
      <c r="B15" s="21" t="s">
        <v>1421</v>
      </c>
      <c r="C15" s="66">
        <v>1463</v>
      </c>
    </row>
    <row r="16" spans="2:3" x14ac:dyDescent="0.15">
      <c r="B16" s="21" t="s">
        <v>3972</v>
      </c>
      <c r="C16" s="66">
        <v>156</v>
      </c>
    </row>
    <row r="17" spans="2:3" x14ac:dyDescent="0.15">
      <c r="B17" s="21" t="s">
        <v>374</v>
      </c>
      <c r="C17" s="66">
        <v>360</v>
      </c>
    </row>
    <row r="18" spans="2:3" x14ac:dyDescent="0.15">
      <c r="B18" s="21" t="s">
        <v>1467</v>
      </c>
      <c r="C18" s="66">
        <v>130</v>
      </c>
    </row>
    <row r="19" spans="2:3" x14ac:dyDescent="0.15">
      <c r="B19" s="21" t="s">
        <v>4647</v>
      </c>
      <c r="C19" s="66">
        <v>213</v>
      </c>
    </row>
    <row r="20" spans="2:3" x14ac:dyDescent="0.15">
      <c r="B20" s="21" t="s">
        <v>377</v>
      </c>
      <c r="C20" s="66">
        <v>290</v>
      </c>
    </row>
    <row r="21" spans="2:3" x14ac:dyDescent="0.15">
      <c r="B21" s="21" t="s">
        <v>372</v>
      </c>
      <c r="C21" s="66">
        <v>206</v>
      </c>
    </row>
    <row r="22" spans="2:3" x14ac:dyDescent="0.15">
      <c r="B22" s="21" t="s">
        <v>1352</v>
      </c>
      <c r="C22" s="66">
        <v>15</v>
      </c>
    </row>
    <row r="23" spans="2:3" x14ac:dyDescent="0.15">
      <c r="B23" s="21" t="s">
        <v>2315</v>
      </c>
      <c r="C23" s="66">
        <v>34</v>
      </c>
    </row>
    <row r="24" spans="2:3" x14ac:dyDescent="0.15">
      <c r="B24" s="21" t="s">
        <v>370</v>
      </c>
      <c r="C24" s="66">
        <v>3680</v>
      </c>
    </row>
    <row r="25" spans="2:3" x14ac:dyDescent="0.15">
      <c r="B25" s="21" t="s">
        <v>366</v>
      </c>
      <c r="C25" s="66">
        <v>216</v>
      </c>
    </row>
    <row r="26" spans="2:3" x14ac:dyDescent="0.15">
      <c r="B26" s="21" t="s">
        <v>4045</v>
      </c>
      <c r="C26" s="66">
        <v>780</v>
      </c>
    </row>
    <row r="27" spans="2:3" x14ac:dyDescent="0.15">
      <c r="B27" s="21" t="s">
        <v>322</v>
      </c>
      <c r="C27" s="66">
        <v>20</v>
      </c>
    </row>
    <row r="28" spans="2:3" x14ac:dyDescent="0.15">
      <c r="B28" s="21" t="s">
        <v>2375</v>
      </c>
      <c r="C28" s="66">
        <v>2102</v>
      </c>
    </row>
    <row r="29" spans="2:3" x14ac:dyDescent="0.15">
      <c r="B29" s="21" t="s">
        <v>3931</v>
      </c>
      <c r="C29" s="66">
        <v>186</v>
      </c>
    </row>
    <row r="30" spans="2:3" x14ac:dyDescent="0.15">
      <c r="B30" s="21" t="s">
        <v>1113</v>
      </c>
      <c r="C30" s="66">
        <v>51</v>
      </c>
    </row>
    <row r="31" spans="2:3" x14ac:dyDescent="0.15">
      <c r="B31" s="21" t="s">
        <v>3415</v>
      </c>
      <c r="C31" s="66">
        <v>1629</v>
      </c>
    </row>
    <row r="32" spans="2:3" x14ac:dyDescent="0.15">
      <c r="B32" s="67" t="s">
        <v>3559</v>
      </c>
      <c r="C32" s="66">
        <v>651</v>
      </c>
    </row>
    <row r="33" spans="2:3" x14ac:dyDescent="0.15">
      <c r="B33" s="67" t="s">
        <v>3645</v>
      </c>
      <c r="C33" s="66">
        <v>51</v>
      </c>
    </row>
    <row r="34" spans="2:3" x14ac:dyDescent="0.15">
      <c r="B34" s="67" t="s">
        <v>4090</v>
      </c>
      <c r="C34" s="66">
        <v>162</v>
      </c>
    </row>
    <row r="35" spans="2:3" x14ac:dyDescent="0.15">
      <c r="B35" s="67"/>
      <c r="C35" s="66"/>
    </row>
    <row r="36" spans="2:3" x14ac:dyDescent="0.15">
      <c r="B36" s="67"/>
      <c r="C36" s="66"/>
    </row>
    <row r="37" spans="2:3" ht="14.25" thickBot="1" x14ac:dyDescent="0.2">
      <c r="B37" s="69"/>
      <c r="C37" s="70"/>
    </row>
  </sheetData>
  <phoneticPr fontId="2"/>
  <pageMargins left="0.7" right="0.7" top="0.75" bottom="0.75" header="0.3" footer="0.3"/>
  <pageSetup paperSize="9" scale="43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r:id="rId5">
            <anchor moveWithCells="1">
              <from>
                <xdr:col>1</xdr:col>
                <xdr:colOff>180975</xdr:colOff>
                <xdr:row>42</xdr:row>
                <xdr:rowOff>0</xdr:rowOff>
              </from>
              <to>
                <xdr:col>1</xdr:col>
                <xdr:colOff>1133475</xdr:colOff>
                <xdr:row>43</xdr:row>
                <xdr:rowOff>104775</xdr:rowOff>
              </to>
            </anchor>
          </controlPr>
        </control>
      </mc:Choice>
      <mc:Fallback>
        <control shapeId="28673" r:id="rId4" name="CommandButton1"/>
      </mc:Fallback>
    </mc:AlternateContent>
    <mc:AlternateContent xmlns:mc="http://schemas.openxmlformats.org/markup-compatibility/2006">
      <mc:Choice Requires="x14">
        <control shapeId="28674" r:id="rId6" name="CommandButton2">
          <controlPr autoLine="0" autoPict="0" r:id="rId7">
            <anchor moveWithCells="1">
              <from>
                <xdr:col>1</xdr:col>
                <xdr:colOff>209550</xdr:colOff>
                <xdr:row>44</xdr:row>
                <xdr:rowOff>171450</xdr:rowOff>
              </from>
              <to>
                <xdr:col>1</xdr:col>
                <xdr:colOff>1314450</xdr:colOff>
                <xdr:row>46</xdr:row>
                <xdr:rowOff>123825</xdr:rowOff>
              </to>
            </anchor>
          </controlPr>
        </control>
      </mc:Choice>
      <mc:Fallback>
        <control shapeId="28674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T30"/>
  <sheetViews>
    <sheetView workbookViewId="0">
      <selection activeCell="C21" sqref="C21"/>
    </sheetView>
  </sheetViews>
  <sheetFormatPr defaultRowHeight="13.5" x14ac:dyDescent="0.15"/>
  <cols>
    <col min="1" max="1" width="3" customWidth="1"/>
    <col min="3" max="3" width="10.375" customWidth="1"/>
    <col min="4" max="4" width="10.875" style="2" customWidth="1"/>
    <col min="5" max="5" width="10.5" customWidth="1"/>
    <col min="6" max="6" width="2.125" customWidth="1"/>
    <col min="16" max="16" width="9.625" customWidth="1"/>
    <col min="17" max="17" width="9.5" customWidth="1"/>
    <col min="18" max="18" width="11.125" customWidth="1"/>
    <col min="19" max="19" width="10.125" customWidth="1"/>
    <col min="20" max="20" width="6" customWidth="1"/>
  </cols>
  <sheetData>
    <row r="2" spans="2:20" ht="24" x14ac:dyDescent="0.25">
      <c r="B2" s="175" t="s">
        <v>5524</v>
      </c>
      <c r="Q2" s="171"/>
    </row>
    <row r="4" spans="2:20" x14ac:dyDescent="0.15">
      <c r="B4" s="167" t="s">
        <v>1275</v>
      </c>
      <c r="C4" s="178" t="s">
        <v>1226</v>
      </c>
      <c r="D4" s="172" t="s">
        <v>1279</v>
      </c>
      <c r="E4" s="178" t="s">
        <v>1280</v>
      </c>
      <c r="Q4" s="167"/>
      <c r="R4" s="167"/>
      <c r="S4" s="168"/>
      <c r="T4" s="167"/>
    </row>
    <row r="5" spans="2:20" x14ac:dyDescent="0.15">
      <c r="B5" s="16" t="s">
        <v>1276</v>
      </c>
      <c r="C5" s="2">
        <v>2000000</v>
      </c>
      <c r="D5" s="2">
        <v>5000000</v>
      </c>
      <c r="E5" s="179"/>
      <c r="Q5" s="16"/>
      <c r="R5" s="2"/>
      <c r="S5" s="2"/>
      <c r="T5" s="170"/>
    </row>
    <row r="6" spans="2:20" x14ac:dyDescent="0.15">
      <c r="B6" s="16" t="s">
        <v>1277</v>
      </c>
      <c r="C6" s="2">
        <v>2784075</v>
      </c>
      <c r="D6" s="2">
        <v>2062804</v>
      </c>
      <c r="E6" s="179">
        <v>0</v>
      </c>
      <c r="Q6" s="16"/>
      <c r="R6" s="2"/>
      <c r="S6" s="2"/>
      <c r="T6" s="170"/>
    </row>
    <row r="7" spans="2:20" x14ac:dyDescent="0.15">
      <c r="B7" s="16" t="s">
        <v>1278</v>
      </c>
      <c r="C7" s="169">
        <f>IF(C6="","",C6/C5)</f>
        <v>1.3920375</v>
      </c>
      <c r="D7" s="169">
        <f>IF(D6="","",D6/D5)</f>
        <v>0.41256080000000001</v>
      </c>
      <c r="E7" s="169" t="e">
        <f>IF(E6="","",E6/E5)</f>
        <v>#DIV/0!</v>
      </c>
      <c r="Q7" s="16"/>
      <c r="R7" s="2"/>
      <c r="T7" s="170"/>
    </row>
    <row r="25" spans="2:2" ht="21" x14ac:dyDescent="0.2">
      <c r="B25" s="174"/>
    </row>
    <row r="27" spans="2:2" ht="17.25" x14ac:dyDescent="0.2">
      <c r="B27" s="5"/>
    </row>
    <row r="28" spans="2:2" ht="17.25" x14ac:dyDescent="0.2">
      <c r="B28" s="5"/>
    </row>
    <row r="29" spans="2:2" ht="17.25" x14ac:dyDescent="0.2">
      <c r="B29" s="173"/>
    </row>
    <row r="30" spans="2:2" ht="17.25" x14ac:dyDescent="0.2">
      <c r="B30" s="5"/>
    </row>
  </sheetData>
  <phoneticPr fontId="2"/>
  <pageMargins left="0.7" right="0.7" top="0.75" bottom="0.75" header="0.3" footer="0.3"/>
  <pageSetup paperSize="9" scale="95" orientation="landscape" horizontalDpi="180" verticalDpi="180" r:id="rId1"/>
  <drawing r:id="rId2"/>
  <legacyDrawing r:id="rId3"/>
  <controls>
    <mc:AlternateContent xmlns:mc="http://schemas.openxmlformats.org/markup-compatibility/2006">
      <mc:Choice Requires="x14">
        <control shapeId="30728" r:id="rId4" name="CommandButton3">
          <controlPr defaultSize="0" autoLine="0" r:id="rId5">
            <anchor moveWithCells="1">
              <from>
                <xdr:col>1</xdr:col>
                <xdr:colOff>9525</xdr:colOff>
                <xdr:row>22</xdr:row>
                <xdr:rowOff>28575</xdr:rowOff>
              </from>
              <to>
                <xdr:col>2</xdr:col>
                <xdr:colOff>714375</xdr:colOff>
                <xdr:row>24</xdr:row>
                <xdr:rowOff>0</xdr:rowOff>
              </to>
            </anchor>
          </controlPr>
        </control>
      </mc:Choice>
      <mc:Fallback>
        <control shapeId="30728" r:id="rId4" name="CommandButton3"/>
      </mc:Fallback>
    </mc:AlternateContent>
    <mc:AlternateContent xmlns:mc="http://schemas.openxmlformats.org/markup-compatibility/2006">
      <mc:Choice Requires="x14">
        <control shapeId="30727" r:id="rId6" name="CommandButton7">
          <controlPr defaultSize="0" autoLine="0" r:id="rId7">
            <anchor moveWithCells="1">
              <from>
                <xdr:col>70</xdr:col>
                <xdr:colOff>0</xdr:colOff>
                <xdr:row>1</xdr:row>
                <xdr:rowOff>66675</xdr:rowOff>
              </from>
              <to>
                <xdr:col>71</xdr:col>
                <xdr:colOff>523875</xdr:colOff>
                <xdr:row>2</xdr:row>
                <xdr:rowOff>85725</xdr:rowOff>
              </to>
            </anchor>
          </controlPr>
        </control>
      </mc:Choice>
      <mc:Fallback>
        <control shapeId="30727" r:id="rId6" name="CommandButton7"/>
      </mc:Fallback>
    </mc:AlternateContent>
    <mc:AlternateContent xmlns:mc="http://schemas.openxmlformats.org/markup-compatibility/2006">
      <mc:Choice Requires="x14">
        <control shapeId="30721" r:id="rId8" name="CommandButton1">
          <controlPr defaultSize="0" autoLine="0" r:id="rId9">
            <anchor moveWithCells="1">
              <from>
                <xdr:col>1</xdr:col>
                <xdr:colOff>0</xdr:colOff>
                <xdr:row>18</xdr:row>
                <xdr:rowOff>66675</xdr:rowOff>
              </from>
              <to>
                <xdr:col>2</xdr:col>
                <xdr:colOff>752475</xdr:colOff>
                <xdr:row>20</xdr:row>
                <xdr:rowOff>76200</xdr:rowOff>
              </to>
            </anchor>
          </controlPr>
        </control>
      </mc:Choice>
      <mc:Fallback>
        <control shapeId="30721" r:id="rId8" name="CommandButton1"/>
      </mc:Fallback>
    </mc:AlternateContent>
    <mc:AlternateContent xmlns:mc="http://schemas.openxmlformats.org/markup-compatibility/2006">
      <mc:Choice Requires="x14">
        <control shapeId="30722" r:id="rId10" name="CommandButton2">
          <controlPr defaultSize="0" autoLine="0" r:id="rId11">
            <anchor moveWithCells="1">
              <from>
                <xdr:col>1</xdr:col>
                <xdr:colOff>28575</xdr:colOff>
                <xdr:row>14</xdr:row>
                <xdr:rowOff>47625</xdr:rowOff>
              </from>
              <to>
                <xdr:col>2</xdr:col>
                <xdr:colOff>771525</xdr:colOff>
                <xdr:row>16</xdr:row>
                <xdr:rowOff>66675</xdr:rowOff>
              </to>
            </anchor>
          </controlPr>
        </control>
      </mc:Choice>
      <mc:Fallback>
        <control shapeId="30722" r:id="rId10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B2:E33"/>
  <sheetViews>
    <sheetView workbookViewId="0">
      <selection activeCell="C33" sqref="C33"/>
    </sheetView>
  </sheetViews>
  <sheetFormatPr defaultRowHeight="13.5" x14ac:dyDescent="0.15"/>
  <cols>
    <col min="1" max="1" width="2.5" customWidth="1"/>
    <col min="3" max="3" width="11.5" customWidth="1"/>
    <col min="4" max="4" width="10" style="2" customWidth="1"/>
    <col min="5" max="5" width="9.875" customWidth="1"/>
    <col min="6" max="6" width="2.875" customWidth="1"/>
  </cols>
  <sheetData>
    <row r="2" spans="2:5" ht="24" x14ac:dyDescent="0.25">
      <c r="B2" s="175" t="s">
        <v>5491</v>
      </c>
    </row>
    <row r="4" spans="2:5" x14ac:dyDescent="0.15">
      <c r="B4" s="178" t="s">
        <v>1275</v>
      </c>
      <c r="C4" s="185" t="s">
        <v>1320</v>
      </c>
      <c r="D4" s="185" t="s">
        <v>329</v>
      </c>
      <c r="E4" s="178" t="s">
        <v>1280</v>
      </c>
    </row>
    <row r="5" spans="2:5" x14ac:dyDescent="0.15">
      <c r="B5" s="16" t="s">
        <v>1276</v>
      </c>
      <c r="C5" s="2">
        <v>24000000</v>
      </c>
      <c r="D5" s="2">
        <v>60000000</v>
      </c>
      <c r="E5" s="179"/>
    </row>
    <row r="6" spans="2:5" x14ac:dyDescent="0.15">
      <c r="B6" s="16" t="s">
        <v>1277</v>
      </c>
      <c r="C6" s="183">
        <v>31564830</v>
      </c>
      <c r="D6" s="183">
        <v>43279706</v>
      </c>
      <c r="E6">
        <v>0</v>
      </c>
    </row>
    <row r="7" spans="2:5" x14ac:dyDescent="0.15">
      <c r="B7" s="16" t="s">
        <v>1278</v>
      </c>
      <c r="C7" s="169">
        <f>IF(C6="","",C6/C5)</f>
        <v>1.3152012500000001</v>
      </c>
      <c r="D7" s="169">
        <f>IF(D6="","",D6/D5)</f>
        <v>0.7213284333333333</v>
      </c>
      <c r="E7" s="169" t="e">
        <f>IF(E6="","",E6/E5)</f>
        <v>#DIV/0!</v>
      </c>
    </row>
    <row r="28" spans="2:2" ht="21" x14ac:dyDescent="0.2">
      <c r="B28" s="171"/>
    </row>
    <row r="30" spans="2:2" ht="17.25" x14ac:dyDescent="0.2">
      <c r="B30" s="5"/>
    </row>
    <row r="31" spans="2:2" ht="17.25" x14ac:dyDescent="0.2">
      <c r="B31" s="5"/>
    </row>
    <row r="32" spans="2:2" ht="17.25" x14ac:dyDescent="0.2">
      <c r="B32" s="173"/>
    </row>
    <row r="33" spans="2:2" ht="17.25" x14ac:dyDescent="0.2">
      <c r="B33" s="5"/>
    </row>
  </sheetData>
  <phoneticPr fontId="2"/>
  <pageMargins left="0.7" right="0.7" top="0.75" bottom="0.75" header="0.3" footer="0.3"/>
  <pageSetup paperSize="9" scale="76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39939" r:id="rId4" name="CommandButton3">
          <controlPr defaultSize="0" autoLine="0" autoPict="0" r:id="rId5">
            <anchor moveWithCells="1">
              <from>
                <xdr:col>1</xdr:col>
                <xdr:colOff>38100</xdr:colOff>
                <xdr:row>22</xdr:row>
                <xdr:rowOff>9525</xdr:rowOff>
              </from>
              <to>
                <xdr:col>2</xdr:col>
                <xdr:colOff>476250</xdr:colOff>
                <xdr:row>24</xdr:row>
                <xdr:rowOff>9525</xdr:rowOff>
              </to>
            </anchor>
          </controlPr>
        </control>
      </mc:Choice>
      <mc:Fallback>
        <control shapeId="39939" r:id="rId4" name="CommandButton3"/>
      </mc:Fallback>
    </mc:AlternateContent>
    <mc:AlternateContent xmlns:mc="http://schemas.openxmlformats.org/markup-compatibility/2006">
      <mc:Choice Requires="x14">
        <control shapeId="39938" r:id="rId6" name="CommandButton2">
          <controlPr defaultSize="0" autoLine="0" autoPict="0" r:id="rId7">
            <anchor moveWithCells="1">
              <from>
                <xdr:col>0</xdr:col>
                <xdr:colOff>142875</xdr:colOff>
                <xdr:row>14</xdr:row>
                <xdr:rowOff>19050</xdr:rowOff>
              </from>
              <to>
                <xdr:col>2</xdr:col>
                <xdr:colOff>476250</xdr:colOff>
                <xdr:row>16</xdr:row>
                <xdr:rowOff>0</xdr:rowOff>
              </to>
            </anchor>
          </controlPr>
        </control>
      </mc:Choice>
      <mc:Fallback>
        <control shapeId="39938" r:id="rId6" name="CommandButton2"/>
      </mc:Fallback>
    </mc:AlternateContent>
    <mc:AlternateContent xmlns:mc="http://schemas.openxmlformats.org/markup-compatibility/2006">
      <mc:Choice Requires="x14">
        <control shapeId="39937" r:id="rId8" name="CommandButton1">
          <controlPr defaultSize="0" autoLine="0" autoPict="0" r:id="rId9">
            <anchor moveWithCells="1">
              <from>
                <xdr:col>1</xdr:col>
                <xdr:colOff>19050</xdr:colOff>
                <xdr:row>18</xdr:row>
                <xdr:rowOff>19050</xdr:rowOff>
              </from>
              <to>
                <xdr:col>2</xdr:col>
                <xdr:colOff>457200</xdr:colOff>
                <xdr:row>20</xdr:row>
                <xdr:rowOff>47625</xdr:rowOff>
              </to>
            </anchor>
          </controlPr>
        </control>
      </mc:Choice>
      <mc:Fallback>
        <control shapeId="39937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2:E7"/>
  <sheetViews>
    <sheetView workbookViewId="0">
      <selection activeCell="Q66" sqref="Q66"/>
    </sheetView>
  </sheetViews>
  <sheetFormatPr defaultRowHeight="13.5" x14ac:dyDescent="0.15"/>
  <cols>
    <col min="1" max="1" width="3.375" customWidth="1"/>
    <col min="2" max="2" width="7.5" customWidth="1"/>
    <col min="3" max="3" width="10.375" customWidth="1"/>
    <col min="4" max="4" width="11.125" customWidth="1"/>
  </cols>
  <sheetData>
    <row r="2" spans="2:5" ht="24" x14ac:dyDescent="0.25">
      <c r="B2" s="175" t="s">
        <v>1281</v>
      </c>
      <c r="D2" s="2"/>
    </row>
    <row r="3" spans="2:5" x14ac:dyDescent="0.15">
      <c r="D3" s="2"/>
    </row>
    <row r="4" spans="2:5" x14ac:dyDescent="0.15">
      <c r="B4" s="177" t="s">
        <v>1275</v>
      </c>
      <c r="C4" s="176" t="s">
        <v>1276</v>
      </c>
      <c r="D4" s="172" t="s">
        <v>1277</v>
      </c>
      <c r="E4" t="s">
        <v>1282</v>
      </c>
    </row>
    <row r="5" spans="2:5" x14ac:dyDescent="0.15">
      <c r="B5" s="177" t="s">
        <v>1226</v>
      </c>
      <c r="C5" s="2">
        <v>2000000</v>
      </c>
      <c r="D5" s="2">
        <v>1215045</v>
      </c>
      <c r="E5" s="170">
        <f>D5/C5</f>
        <v>0.60752249999999997</v>
      </c>
    </row>
    <row r="6" spans="2:5" x14ac:dyDescent="0.15">
      <c r="B6" s="177" t="s">
        <v>1279</v>
      </c>
      <c r="C6" s="2">
        <v>4000000</v>
      </c>
      <c r="D6" s="2">
        <v>2340600</v>
      </c>
      <c r="E6" s="170">
        <f>D6/C6</f>
        <v>0.58514999999999995</v>
      </c>
    </row>
    <row r="7" spans="2:5" x14ac:dyDescent="0.15">
      <c r="B7" s="177" t="s">
        <v>1280</v>
      </c>
      <c r="C7" s="2">
        <v>2000000</v>
      </c>
      <c r="D7" s="2">
        <v>1500000</v>
      </c>
      <c r="E7" s="170">
        <f>D7/C7</f>
        <v>0.75</v>
      </c>
    </row>
  </sheetData>
  <phoneticPr fontId="2"/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44033" r:id="rId4" name="CommandButton1">
          <controlPr defaultSize="0" autoLine="0" autoPict="0" r:id="rId5">
            <anchor moveWithCells="1">
              <from>
                <xdr:col>1</xdr:col>
                <xdr:colOff>200025</xdr:colOff>
                <xdr:row>15</xdr:row>
                <xdr:rowOff>123825</xdr:rowOff>
              </from>
              <to>
                <xdr:col>3</xdr:col>
                <xdr:colOff>276225</xdr:colOff>
                <xdr:row>18</xdr:row>
                <xdr:rowOff>38100</xdr:rowOff>
              </to>
            </anchor>
          </controlPr>
        </control>
      </mc:Choice>
      <mc:Fallback>
        <control shapeId="44033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autoPageBreaks="0" fitToPage="1"/>
  </sheetPr>
  <dimension ref="B1:S141"/>
  <sheetViews>
    <sheetView workbookViewId="0">
      <pane xSplit="1" ySplit="4" topLeftCell="B56" activePane="bottomRight" state="frozen"/>
      <selection pane="topRight" activeCell="B1" sqref="B1"/>
      <selection pane="bottomLeft" activeCell="A5" sqref="A5"/>
      <selection pane="bottomRight" activeCell="C116" sqref="C116"/>
    </sheetView>
  </sheetViews>
  <sheetFormatPr defaultRowHeight="13.5" x14ac:dyDescent="0.15"/>
  <cols>
    <col min="1" max="1" width="2.875" customWidth="1"/>
    <col min="2" max="2" width="6.125" customWidth="1"/>
    <col min="3" max="3" width="28.625" customWidth="1"/>
    <col min="4" max="15" width="10.875" style="2" customWidth="1"/>
    <col min="16" max="16" width="0.625" customWidth="1"/>
    <col min="17" max="17" width="11.375" customWidth="1"/>
    <col min="18" max="18" width="12.625" customWidth="1"/>
  </cols>
  <sheetData>
    <row r="1" spans="2:19" ht="20.45" customHeight="1" thickBot="1" x14ac:dyDescent="0.2">
      <c r="D1"/>
      <c r="E1"/>
      <c r="F1"/>
      <c r="G1"/>
      <c r="H1"/>
      <c r="I1"/>
      <c r="J1"/>
      <c r="K1"/>
      <c r="L1"/>
      <c r="M1"/>
      <c r="N1"/>
      <c r="O1"/>
      <c r="P1" s="75">
        <f>SUM(D1:O1)</f>
        <v>0</v>
      </c>
      <c r="Q1" s="365" t="s">
        <v>2833</v>
      </c>
      <c r="R1" s="367" t="s">
        <v>4096</v>
      </c>
    </row>
    <row r="2" spans="2:19" ht="21.6" customHeight="1" thickBot="1" x14ac:dyDescent="0.2">
      <c r="C2" s="302" t="s">
        <v>2831</v>
      </c>
      <c r="D2" s="303">
        <f>SUM(D5:D136)</f>
        <v>2099000</v>
      </c>
      <c r="E2" s="303">
        <f t="shared" ref="E2:O2" si="0">SUM(E5:E136)</f>
        <v>189255</v>
      </c>
      <c r="F2" s="303">
        <f t="shared" si="0"/>
        <v>4885850</v>
      </c>
      <c r="G2" s="303">
        <f t="shared" si="0"/>
        <v>1794323</v>
      </c>
      <c r="H2" s="303">
        <f t="shared" si="0"/>
        <v>390250</v>
      </c>
      <c r="I2" s="303">
        <f t="shared" si="0"/>
        <v>3149650</v>
      </c>
      <c r="J2" s="303">
        <f t="shared" si="0"/>
        <v>1935975</v>
      </c>
      <c r="K2" s="303">
        <f t="shared" si="0"/>
        <v>150600</v>
      </c>
      <c r="L2" s="303">
        <f t="shared" si="0"/>
        <v>3225966</v>
      </c>
      <c r="M2" s="303">
        <f t="shared" si="0"/>
        <v>2025050</v>
      </c>
      <c r="N2" s="303">
        <f t="shared" si="0"/>
        <v>1191000</v>
      </c>
      <c r="O2" s="304">
        <f t="shared" si="0"/>
        <v>1671505</v>
      </c>
      <c r="Q2" s="366">
        <f>SUM(D2:O2)</f>
        <v>22708424</v>
      </c>
      <c r="R2" s="368">
        <f>Q2/12</f>
        <v>1892368.6666666667</v>
      </c>
    </row>
    <row r="3" spans="2:19" ht="14.25" thickBot="1" x14ac:dyDescent="0.2"/>
    <row r="4" spans="2:19" ht="18.399999999999999" customHeight="1" x14ac:dyDescent="0.15">
      <c r="B4" s="316" t="s">
        <v>16</v>
      </c>
      <c r="C4" s="317" t="s">
        <v>14</v>
      </c>
      <c r="D4" s="318" t="s">
        <v>2819</v>
      </c>
      <c r="E4" s="318" t="s">
        <v>2820</v>
      </c>
      <c r="F4" s="318" t="s">
        <v>2821</v>
      </c>
      <c r="G4" s="318" t="s">
        <v>2822</v>
      </c>
      <c r="H4" s="318" t="s">
        <v>2823</v>
      </c>
      <c r="I4" s="318" t="s">
        <v>2824</v>
      </c>
      <c r="J4" s="318" t="s">
        <v>2825</v>
      </c>
      <c r="K4" s="318" t="s">
        <v>2826</v>
      </c>
      <c r="L4" s="318" t="s">
        <v>2827</v>
      </c>
      <c r="M4" s="318" t="s">
        <v>2828</v>
      </c>
      <c r="N4" s="318" t="s">
        <v>2829</v>
      </c>
      <c r="O4" s="319" t="s">
        <v>2830</v>
      </c>
      <c r="P4" s="315"/>
      <c r="Q4" s="359" t="s">
        <v>2832</v>
      </c>
      <c r="R4" s="360" t="s">
        <v>3620</v>
      </c>
      <c r="S4" s="361" t="s">
        <v>4095</v>
      </c>
    </row>
    <row r="5" spans="2:19" x14ac:dyDescent="0.15">
      <c r="B5" s="131" t="s">
        <v>593</v>
      </c>
      <c r="C5" s="134" t="s">
        <v>15</v>
      </c>
      <c r="D5" s="300">
        <v>0</v>
      </c>
      <c r="E5" s="300">
        <v>0</v>
      </c>
      <c r="F5" s="300">
        <v>0</v>
      </c>
      <c r="G5" s="300">
        <v>0</v>
      </c>
      <c r="H5" s="300">
        <v>0</v>
      </c>
      <c r="I5" s="300">
        <v>0</v>
      </c>
      <c r="J5" s="300">
        <v>0</v>
      </c>
      <c r="K5" s="300">
        <v>0</v>
      </c>
      <c r="L5" s="300">
        <v>0</v>
      </c>
      <c r="M5" s="300">
        <v>0</v>
      </c>
      <c r="N5" s="300"/>
      <c r="O5" s="301"/>
      <c r="Q5" s="362">
        <f>SUM(D5:O5)</f>
        <v>0</v>
      </c>
      <c r="R5" s="363">
        <f>IF($Q$2="","",Q5/$Q$2)</f>
        <v>0</v>
      </c>
      <c r="S5" s="364">
        <f>Q5/12</f>
        <v>0</v>
      </c>
    </row>
    <row r="6" spans="2:19" x14ac:dyDescent="0.15">
      <c r="B6" s="131" t="s">
        <v>408</v>
      </c>
      <c r="C6" s="95" t="s">
        <v>215</v>
      </c>
      <c r="D6" s="300">
        <v>0</v>
      </c>
      <c r="E6" s="300">
        <v>0</v>
      </c>
      <c r="F6" s="300">
        <v>0</v>
      </c>
      <c r="G6" s="300">
        <v>0</v>
      </c>
      <c r="H6" s="300">
        <v>0</v>
      </c>
      <c r="I6" s="300">
        <v>0</v>
      </c>
      <c r="J6" s="300">
        <v>0</v>
      </c>
      <c r="K6" s="300">
        <v>0</v>
      </c>
      <c r="L6" s="300">
        <v>0</v>
      </c>
      <c r="M6" s="300">
        <v>0</v>
      </c>
      <c r="N6" s="300"/>
      <c r="O6" s="301"/>
      <c r="Q6" s="362">
        <f t="shared" ref="Q6:Q68" si="1">SUM(D6:O6)</f>
        <v>0</v>
      </c>
      <c r="R6" s="363">
        <f t="shared" ref="R6:R69" si="2">IF($Q$2="","",Q6/$Q$2)</f>
        <v>0</v>
      </c>
      <c r="S6" s="364">
        <f t="shared" ref="S6:S69" si="3">Q6/12</f>
        <v>0</v>
      </c>
    </row>
    <row r="7" spans="2:19" x14ac:dyDescent="0.15">
      <c r="B7" s="131" t="s">
        <v>409</v>
      </c>
      <c r="C7" s="95" t="s">
        <v>43</v>
      </c>
      <c r="D7" s="300">
        <v>0</v>
      </c>
      <c r="E7" s="300">
        <v>0</v>
      </c>
      <c r="F7" s="300">
        <v>0</v>
      </c>
      <c r="G7" s="300">
        <v>162500</v>
      </c>
      <c r="H7" s="300">
        <v>0</v>
      </c>
      <c r="I7" s="300">
        <v>169000</v>
      </c>
      <c r="J7" s="300">
        <v>0</v>
      </c>
      <c r="K7" s="300">
        <v>0</v>
      </c>
      <c r="L7" s="300">
        <v>0</v>
      </c>
      <c r="M7" s="300">
        <v>0</v>
      </c>
      <c r="N7" s="300"/>
      <c r="O7" s="301"/>
      <c r="Q7" s="362">
        <f t="shared" si="1"/>
        <v>331500</v>
      </c>
      <c r="R7" s="363">
        <f t="shared" si="2"/>
        <v>1.4598106852329339E-2</v>
      </c>
      <c r="S7" s="364">
        <f t="shared" si="3"/>
        <v>27625</v>
      </c>
    </row>
    <row r="8" spans="2:19" x14ac:dyDescent="0.15">
      <c r="B8" s="131" t="s">
        <v>410</v>
      </c>
      <c r="C8" s="95" t="s">
        <v>216</v>
      </c>
      <c r="D8" s="300">
        <v>0</v>
      </c>
      <c r="E8" s="300">
        <v>0</v>
      </c>
      <c r="F8" s="300">
        <v>0</v>
      </c>
      <c r="G8" s="300">
        <v>0</v>
      </c>
      <c r="H8" s="300">
        <v>0</v>
      </c>
      <c r="I8" s="300">
        <v>0</v>
      </c>
      <c r="J8" s="300">
        <v>0</v>
      </c>
      <c r="K8" s="300">
        <v>0</v>
      </c>
      <c r="L8" s="300">
        <v>0</v>
      </c>
      <c r="M8" s="300">
        <v>0</v>
      </c>
      <c r="N8" s="300"/>
      <c r="O8" s="301"/>
      <c r="Q8" s="362">
        <f t="shared" si="1"/>
        <v>0</v>
      </c>
      <c r="R8" s="363">
        <f t="shared" si="2"/>
        <v>0</v>
      </c>
      <c r="S8" s="364">
        <f t="shared" si="3"/>
        <v>0</v>
      </c>
    </row>
    <row r="9" spans="2:19" x14ac:dyDescent="0.15">
      <c r="B9" s="131" t="s">
        <v>411</v>
      </c>
      <c r="C9" s="133" t="s">
        <v>2616</v>
      </c>
      <c r="D9" s="300">
        <v>0</v>
      </c>
      <c r="E9" s="300">
        <v>0</v>
      </c>
      <c r="F9" s="300">
        <v>0</v>
      </c>
      <c r="G9" s="300">
        <v>0</v>
      </c>
      <c r="H9" s="300">
        <v>0</v>
      </c>
      <c r="I9" s="300">
        <v>0</v>
      </c>
      <c r="J9" s="300">
        <v>0</v>
      </c>
      <c r="K9" s="300">
        <v>10000</v>
      </c>
      <c r="L9" s="300">
        <v>0</v>
      </c>
      <c r="M9" s="300">
        <v>0</v>
      </c>
      <c r="N9" s="300"/>
      <c r="O9" s="301"/>
      <c r="Q9" s="362">
        <f t="shared" si="1"/>
        <v>10000</v>
      </c>
      <c r="R9" s="363">
        <f t="shared" si="2"/>
        <v>4.4036521424824552E-4</v>
      </c>
      <c r="S9" s="364">
        <f t="shared" si="3"/>
        <v>833.33333333333337</v>
      </c>
    </row>
    <row r="10" spans="2:19" x14ac:dyDescent="0.15">
      <c r="B10" s="131" t="s">
        <v>412</v>
      </c>
      <c r="C10" s="95" t="s">
        <v>217</v>
      </c>
      <c r="D10" s="300">
        <v>0</v>
      </c>
      <c r="E10" s="300">
        <v>0</v>
      </c>
      <c r="F10" s="300">
        <v>0</v>
      </c>
      <c r="G10" s="300">
        <v>0</v>
      </c>
      <c r="H10" s="300">
        <v>0</v>
      </c>
      <c r="I10" s="300">
        <v>0</v>
      </c>
      <c r="J10" s="300">
        <v>0</v>
      </c>
      <c r="K10" s="300">
        <v>0</v>
      </c>
      <c r="L10" s="300">
        <v>0</v>
      </c>
      <c r="M10" s="300">
        <v>0</v>
      </c>
      <c r="N10" s="300"/>
      <c r="O10" s="301"/>
      <c r="Q10" s="362">
        <f t="shared" si="1"/>
        <v>0</v>
      </c>
      <c r="R10" s="363">
        <f t="shared" si="2"/>
        <v>0</v>
      </c>
      <c r="S10" s="364">
        <f t="shared" si="3"/>
        <v>0</v>
      </c>
    </row>
    <row r="11" spans="2:19" x14ac:dyDescent="0.15">
      <c r="B11" s="131" t="s">
        <v>413</v>
      </c>
      <c r="C11" s="95" t="s">
        <v>218</v>
      </c>
      <c r="D11" s="300">
        <v>225000</v>
      </c>
      <c r="E11" s="300">
        <v>0</v>
      </c>
      <c r="F11" s="300">
        <v>0</v>
      </c>
      <c r="G11" s="300">
        <v>0</v>
      </c>
      <c r="H11" s="300">
        <v>0</v>
      </c>
      <c r="I11" s="300">
        <v>0</v>
      </c>
      <c r="J11" s="300">
        <v>0</v>
      </c>
      <c r="K11" s="300">
        <v>0</v>
      </c>
      <c r="L11" s="300">
        <v>0</v>
      </c>
      <c r="M11" s="300">
        <v>0</v>
      </c>
      <c r="N11" s="300"/>
      <c r="O11" s="301"/>
      <c r="Q11" s="362">
        <f t="shared" si="1"/>
        <v>225000</v>
      </c>
      <c r="R11" s="363">
        <f t="shared" si="2"/>
        <v>9.9082173205855238E-3</v>
      </c>
      <c r="S11" s="364">
        <f t="shared" si="3"/>
        <v>18750</v>
      </c>
    </row>
    <row r="12" spans="2:19" x14ac:dyDescent="0.15">
      <c r="B12" s="131" t="s">
        <v>414</v>
      </c>
      <c r="C12" s="95" t="s">
        <v>219</v>
      </c>
      <c r="D12" s="300">
        <v>0</v>
      </c>
      <c r="E12" s="300">
        <v>0</v>
      </c>
      <c r="F12" s="300">
        <v>0</v>
      </c>
      <c r="G12" s="300">
        <v>0</v>
      </c>
      <c r="H12" s="300">
        <v>0</v>
      </c>
      <c r="I12" s="300">
        <v>0</v>
      </c>
      <c r="J12" s="300">
        <v>0</v>
      </c>
      <c r="K12" s="300">
        <v>0</v>
      </c>
      <c r="L12" s="300">
        <v>0</v>
      </c>
      <c r="M12" s="300">
        <v>0</v>
      </c>
      <c r="N12" s="300"/>
      <c r="O12" s="301"/>
      <c r="Q12" s="362">
        <f t="shared" si="1"/>
        <v>0</v>
      </c>
      <c r="R12" s="363">
        <f t="shared" si="2"/>
        <v>0</v>
      </c>
      <c r="S12" s="364">
        <f t="shared" si="3"/>
        <v>0</v>
      </c>
    </row>
    <row r="13" spans="2:19" x14ac:dyDescent="0.15">
      <c r="B13" s="131" t="s">
        <v>415</v>
      </c>
      <c r="C13" s="95" t="s">
        <v>220</v>
      </c>
      <c r="D13" s="300">
        <v>0</v>
      </c>
      <c r="E13" s="300">
        <v>0</v>
      </c>
      <c r="F13" s="300">
        <v>0</v>
      </c>
      <c r="G13" s="300">
        <v>0</v>
      </c>
      <c r="H13" s="300">
        <v>0</v>
      </c>
      <c r="I13" s="300">
        <v>0</v>
      </c>
      <c r="J13" s="300">
        <v>0</v>
      </c>
      <c r="K13" s="300">
        <v>0</v>
      </c>
      <c r="L13" s="300">
        <v>0</v>
      </c>
      <c r="M13" s="300">
        <v>0</v>
      </c>
      <c r="N13" s="300"/>
      <c r="O13" s="301"/>
      <c r="Q13" s="362">
        <f t="shared" si="1"/>
        <v>0</v>
      </c>
      <c r="R13" s="363">
        <f t="shared" si="2"/>
        <v>0</v>
      </c>
      <c r="S13" s="364">
        <f t="shared" si="3"/>
        <v>0</v>
      </c>
    </row>
    <row r="14" spans="2:19" x14ac:dyDescent="0.15">
      <c r="B14" s="131" t="s">
        <v>416</v>
      </c>
      <c r="C14" s="95" t="s">
        <v>221</v>
      </c>
      <c r="D14" s="300">
        <v>0</v>
      </c>
      <c r="E14" s="300">
        <v>0</v>
      </c>
      <c r="F14" s="300">
        <v>0</v>
      </c>
      <c r="G14" s="300">
        <v>0</v>
      </c>
      <c r="H14" s="300">
        <v>10000</v>
      </c>
      <c r="I14" s="300">
        <v>0</v>
      </c>
      <c r="J14" s="300">
        <v>0</v>
      </c>
      <c r="K14" s="300">
        <v>0</v>
      </c>
      <c r="L14" s="300">
        <v>0</v>
      </c>
      <c r="M14" s="300">
        <v>0</v>
      </c>
      <c r="N14" s="300"/>
      <c r="O14" s="301"/>
      <c r="Q14" s="362">
        <f t="shared" si="1"/>
        <v>10000</v>
      </c>
      <c r="R14" s="363">
        <f t="shared" si="2"/>
        <v>4.4036521424824552E-4</v>
      </c>
      <c r="S14" s="364">
        <f t="shared" si="3"/>
        <v>833.33333333333337</v>
      </c>
    </row>
    <row r="15" spans="2:19" x14ac:dyDescent="0.15">
      <c r="B15" s="131" t="s">
        <v>417</v>
      </c>
      <c r="C15" s="95" t="s">
        <v>222</v>
      </c>
      <c r="D15" s="300">
        <v>0</v>
      </c>
      <c r="E15" s="300">
        <v>0</v>
      </c>
      <c r="F15" s="300">
        <v>0</v>
      </c>
      <c r="G15" s="300">
        <v>0</v>
      </c>
      <c r="H15" s="300">
        <v>0</v>
      </c>
      <c r="I15" s="300">
        <v>0</v>
      </c>
      <c r="J15" s="300">
        <v>0</v>
      </c>
      <c r="K15" s="300">
        <v>0</v>
      </c>
      <c r="L15" s="300">
        <v>0</v>
      </c>
      <c r="M15" s="300">
        <v>0</v>
      </c>
      <c r="N15" s="300"/>
      <c r="O15" s="301"/>
      <c r="Q15" s="362">
        <f t="shared" si="1"/>
        <v>0</v>
      </c>
      <c r="R15" s="363">
        <f t="shared" si="2"/>
        <v>0</v>
      </c>
      <c r="S15" s="364">
        <f t="shared" si="3"/>
        <v>0</v>
      </c>
    </row>
    <row r="16" spans="2:19" x14ac:dyDescent="0.15">
      <c r="B16" s="131" t="s">
        <v>418</v>
      </c>
      <c r="C16" s="95" t="s">
        <v>223</v>
      </c>
      <c r="D16" s="300">
        <v>0</v>
      </c>
      <c r="E16" s="300">
        <v>10000</v>
      </c>
      <c r="F16" s="300">
        <v>0</v>
      </c>
      <c r="G16" s="300">
        <v>0</v>
      </c>
      <c r="H16" s="300">
        <v>0</v>
      </c>
      <c r="I16" s="300">
        <v>0</v>
      </c>
      <c r="J16" s="300">
        <v>0</v>
      </c>
      <c r="K16" s="300">
        <v>0</v>
      </c>
      <c r="L16" s="300">
        <v>0</v>
      </c>
      <c r="M16" s="300">
        <v>0</v>
      </c>
      <c r="N16" s="300"/>
      <c r="O16" s="301"/>
      <c r="Q16" s="362">
        <f t="shared" si="1"/>
        <v>10000</v>
      </c>
      <c r="R16" s="363">
        <f t="shared" si="2"/>
        <v>4.4036521424824552E-4</v>
      </c>
      <c r="S16" s="364">
        <f t="shared" si="3"/>
        <v>833.33333333333337</v>
      </c>
    </row>
    <row r="17" spans="2:19" x14ac:dyDescent="0.15">
      <c r="B17" s="131" t="s">
        <v>419</v>
      </c>
      <c r="C17" s="95" t="s">
        <v>224</v>
      </c>
      <c r="D17" s="300">
        <v>0</v>
      </c>
      <c r="E17" s="300">
        <v>0</v>
      </c>
      <c r="F17" s="300">
        <v>0</v>
      </c>
      <c r="G17" s="300">
        <v>0</v>
      </c>
      <c r="H17" s="300">
        <v>0</v>
      </c>
      <c r="I17" s="300">
        <v>0</v>
      </c>
      <c r="J17" s="300">
        <v>0</v>
      </c>
      <c r="K17" s="300">
        <v>0</v>
      </c>
      <c r="L17" s="300">
        <v>0</v>
      </c>
      <c r="M17" s="300">
        <v>0</v>
      </c>
      <c r="N17" s="300"/>
      <c r="O17" s="301"/>
      <c r="Q17" s="362">
        <f t="shared" si="1"/>
        <v>0</v>
      </c>
      <c r="R17" s="363">
        <f t="shared" si="2"/>
        <v>0</v>
      </c>
      <c r="S17" s="364">
        <f t="shared" si="3"/>
        <v>0</v>
      </c>
    </row>
    <row r="18" spans="2:19" x14ac:dyDescent="0.15">
      <c r="B18" s="131" t="s">
        <v>420</v>
      </c>
      <c r="C18" s="95" t="s">
        <v>225</v>
      </c>
      <c r="D18" s="464">
        <v>175000</v>
      </c>
      <c r="E18" s="464">
        <v>0</v>
      </c>
      <c r="F18" s="464">
        <v>1189000</v>
      </c>
      <c r="G18" s="464">
        <v>0</v>
      </c>
      <c r="H18" s="464">
        <v>1250</v>
      </c>
      <c r="I18" s="464">
        <v>1104050</v>
      </c>
      <c r="J18" s="464">
        <v>0</v>
      </c>
      <c r="K18" s="464">
        <v>-180400</v>
      </c>
      <c r="L18" s="464">
        <v>342000</v>
      </c>
      <c r="M18" s="464">
        <v>239200</v>
      </c>
      <c r="N18" s="464"/>
      <c r="O18" s="465"/>
      <c r="P18" s="406"/>
      <c r="Q18" s="466">
        <f t="shared" si="1"/>
        <v>2870100</v>
      </c>
      <c r="R18" s="467">
        <f t="shared" si="2"/>
        <v>0.12638922014138895</v>
      </c>
      <c r="S18" s="468">
        <f t="shared" si="3"/>
        <v>239175</v>
      </c>
    </row>
    <row r="19" spans="2:19" x14ac:dyDescent="0.15">
      <c r="B19" s="131" t="s">
        <v>421</v>
      </c>
      <c r="C19" s="95" t="s">
        <v>226</v>
      </c>
      <c r="D19" s="464">
        <v>0</v>
      </c>
      <c r="E19" s="464">
        <v>0</v>
      </c>
      <c r="F19" s="464">
        <v>0</v>
      </c>
      <c r="G19" s="464">
        <v>0</v>
      </c>
      <c r="H19" s="464">
        <v>0</v>
      </c>
      <c r="I19" s="464">
        <v>0</v>
      </c>
      <c r="J19" s="464">
        <v>0</v>
      </c>
      <c r="K19" s="464">
        <v>0</v>
      </c>
      <c r="L19" s="464">
        <v>0</v>
      </c>
      <c r="M19" s="464">
        <v>15600</v>
      </c>
      <c r="N19" s="464"/>
      <c r="O19" s="465"/>
      <c r="P19" s="406"/>
      <c r="Q19" s="466">
        <f t="shared" si="1"/>
        <v>15600</v>
      </c>
      <c r="R19" s="467">
        <f t="shared" si="2"/>
        <v>6.8696973422726303E-4</v>
      </c>
      <c r="S19" s="468">
        <f t="shared" si="3"/>
        <v>1300</v>
      </c>
    </row>
    <row r="20" spans="2:19" x14ac:dyDescent="0.15">
      <c r="B20" s="131" t="s">
        <v>422</v>
      </c>
      <c r="C20" s="95" t="s">
        <v>227</v>
      </c>
      <c r="D20" s="464">
        <v>0</v>
      </c>
      <c r="E20" s="464">
        <v>0</v>
      </c>
      <c r="F20" s="464">
        <v>0</v>
      </c>
      <c r="G20" s="464">
        <v>0</v>
      </c>
      <c r="H20" s="464">
        <v>0</v>
      </c>
      <c r="I20" s="464">
        <v>0</v>
      </c>
      <c r="J20" s="464">
        <v>0</v>
      </c>
      <c r="K20" s="464">
        <v>0</v>
      </c>
      <c r="L20" s="464">
        <v>0</v>
      </c>
      <c r="M20" s="464">
        <v>0</v>
      </c>
      <c r="N20" s="464"/>
      <c r="O20" s="465"/>
      <c r="P20" s="406"/>
      <c r="Q20" s="466">
        <f t="shared" si="1"/>
        <v>0</v>
      </c>
      <c r="R20" s="467">
        <f t="shared" si="2"/>
        <v>0</v>
      </c>
      <c r="S20" s="468">
        <f t="shared" si="3"/>
        <v>0</v>
      </c>
    </row>
    <row r="21" spans="2:19" x14ac:dyDescent="0.15">
      <c r="B21" s="131" t="s">
        <v>423</v>
      </c>
      <c r="C21" s="95" t="s">
        <v>228</v>
      </c>
      <c r="D21" s="464">
        <v>0</v>
      </c>
      <c r="E21" s="464">
        <v>0</v>
      </c>
      <c r="F21" s="464">
        <v>0</v>
      </c>
      <c r="G21" s="464">
        <v>0</v>
      </c>
      <c r="H21" s="464">
        <v>0</v>
      </c>
      <c r="I21" s="464">
        <v>0</v>
      </c>
      <c r="J21" s="464">
        <v>0</v>
      </c>
      <c r="K21" s="464">
        <v>0</v>
      </c>
      <c r="L21" s="464">
        <v>331000</v>
      </c>
      <c r="M21" s="464">
        <v>0</v>
      </c>
      <c r="N21" s="464">
        <v>285600</v>
      </c>
      <c r="O21" s="465"/>
      <c r="P21" s="406"/>
      <c r="Q21" s="466">
        <f t="shared" si="1"/>
        <v>616600</v>
      </c>
      <c r="R21" s="467">
        <f t="shared" si="2"/>
        <v>2.7152919110546816E-2</v>
      </c>
      <c r="S21" s="468">
        <f t="shared" si="3"/>
        <v>51383.333333333336</v>
      </c>
    </row>
    <row r="22" spans="2:19" x14ac:dyDescent="0.15">
      <c r="B22" s="131" t="s">
        <v>424</v>
      </c>
      <c r="C22" s="95" t="s">
        <v>229</v>
      </c>
      <c r="D22" s="464">
        <v>0</v>
      </c>
      <c r="E22" s="464">
        <v>0</v>
      </c>
      <c r="F22" s="464">
        <v>0</v>
      </c>
      <c r="G22" s="464">
        <v>0</v>
      </c>
      <c r="H22" s="464">
        <v>0</v>
      </c>
      <c r="I22" s="464">
        <v>0</v>
      </c>
      <c r="J22" s="464">
        <v>0</v>
      </c>
      <c r="K22" s="464">
        <v>0</v>
      </c>
      <c r="L22" s="464">
        <v>0</v>
      </c>
      <c r="M22" s="464">
        <v>0</v>
      </c>
      <c r="N22" s="464"/>
      <c r="O22" s="465"/>
      <c r="P22" s="406"/>
      <c r="Q22" s="466">
        <f t="shared" si="1"/>
        <v>0</v>
      </c>
      <c r="R22" s="467">
        <f t="shared" si="2"/>
        <v>0</v>
      </c>
      <c r="S22" s="468">
        <f t="shared" si="3"/>
        <v>0</v>
      </c>
    </row>
    <row r="23" spans="2:19" x14ac:dyDescent="0.15">
      <c r="B23" s="131" t="s">
        <v>425</v>
      </c>
      <c r="C23" s="95" t="s">
        <v>230</v>
      </c>
      <c r="D23" s="464">
        <v>0</v>
      </c>
      <c r="E23" s="464">
        <v>0</v>
      </c>
      <c r="F23" s="464">
        <v>0</v>
      </c>
      <c r="G23" s="464">
        <v>0</v>
      </c>
      <c r="H23" s="464">
        <v>0</v>
      </c>
      <c r="I23" s="464">
        <v>0</v>
      </c>
      <c r="J23" s="464">
        <v>0</v>
      </c>
      <c r="K23" s="464">
        <v>0</v>
      </c>
      <c r="L23" s="464">
        <v>0</v>
      </c>
      <c r="M23" s="464">
        <v>0</v>
      </c>
      <c r="N23" s="464"/>
      <c r="O23" s="465"/>
      <c r="P23" s="406"/>
      <c r="Q23" s="466">
        <f t="shared" si="1"/>
        <v>0</v>
      </c>
      <c r="R23" s="467">
        <f t="shared" si="2"/>
        <v>0</v>
      </c>
      <c r="S23" s="468">
        <f t="shared" si="3"/>
        <v>0</v>
      </c>
    </row>
    <row r="24" spans="2:19" x14ac:dyDescent="0.15">
      <c r="B24" s="131" t="s">
        <v>426</v>
      </c>
      <c r="C24" s="95" t="s">
        <v>231</v>
      </c>
      <c r="D24" s="464">
        <v>0</v>
      </c>
      <c r="E24" s="464">
        <v>0</v>
      </c>
      <c r="F24" s="464">
        <v>0</v>
      </c>
      <c r="G24" s="464">
        <v>0</v>
      </c>
      <c r="H24" s="464">
        <v>0</v>
      </c>
      <c r="I24" s="464">
        <v>0</v>
      </c>
      <c r="J24" s="464">
        <v>0</v>
      </c>
      <c r="K24" s="464">
        <v>0</v>
      </c>
      <c r="L24" s="464">
        <v>0</v>
      </c>
      <c r="M24" s="464">
        <v>0</v>
      </c>
      <c r="N24" s="464"/>
      <c r="O24" s="465"/>
      <c r="P24" s="406"/>
      <c r="Q24" s="466">
        <f t="shared" si="1"/>
        <v>0</v>
      </c>
      <c r="R24" s="467">
        <f t="shared" si="2"/>
        <v>0</v>
      </c>
      <c r="S24" s="468">
        <f t="shared" si="3"/>
        <v>0</v>
      </c>
    </row>
    <row r="25" spans="2:19" x14ac:dyDescent="0.15">
      <c r="B25" s="131" t="s">
        <v>427</v>
      </c>
      <c r="C25" s="95" t="s">
        <v>232</v>
      </c>
      <c r="D25" s="464">
        <v>0</v>
      </c>
      <c r="E25" s="464">
        <v>0</v>
      </c>
      <c r="F25" s="464">
        <v>0</v>
      </c>
      <c r="G25" s="464">
        <v>0</v>
      </c>
      <c r="H25" s="464">
        <v>0</v>
      </c>
      <c r="I25" s="464">
        <v>0</v>
      </c>
      <c r="J25" s="464">
        <v>0</v>
      </c>
      <c r="K25" s="464">
        <v>0</v>
      </c>
      <c r="L25" s="464">
        <v>0</v>
      </c>
      <c r="M25" s="464">
        <v>0</v>
      </c>
      <c r="N25" s="464"/>
      <c r="O25" s="465"/>
      <c r="P25" s="406"/>
      <c r="Q25" s="466">
        <f t="shared" si="1"/>
        <v>0</v>
      </c>
      <c r="R25" s="467">
        <f t="shared" si="2"/>
        <v>0</v>
      </c>
      <c r="S25" s="468">
        <f t="shared" si="3"/>
        <v>0</v>
      </c>
    </row>
    <row r="26" spans="2:19" x14ac:dyDescent="0.15">
      <c r="B26" s="131" t="s">
        <v>428</v>
      </c>
      <c r="C26" s="133" t="s">
        <v>4327</v>
      </c>
      <c r="D26" s="464">
        <v>0</v>
      </c>
      <c r="E26" s="464">
        <v>0</v>
      </c>
      <c r="F26" s="464">
        <v>0</v>
      </c>
      <c r="G26" s="464">
        <v>0</v>
      </c>
      <c r="H26" s="464">
        <v>0</v>
      </c>
      <c r="I26" s="464">
        <v>0</v>
      </c>
      <c r="J26" s="464">
        <v>0</v>
      </c>
      <c r="K26" s="464">
        <v>0</v>
      </c>
      <c r="L26" s="464">
        <v>0</v>
      </c>
      <c r="M26" s="464">
        <v>0</v>
      </c>
      <c r="N26" s="464"/>
      <c r="O26" s="465"/>
      <c r="P26" s="406"/>
      <c r="Q26" s="466">
        <f t="shared" si="1"/>
        <v>0</v>
      </c>
      <c r="R26" s="467">
        <f t="shared" si="2"/>
        <v>0</v>
      </c>
      <c r="S26" s="468">
        <f t="shared" si="3"/>
        <v>0</v>
      </c>
    </row>
    <row r="27" spans="2:19" x14ac:dyDescent="0.15">
      <c r="B27" s="131" t="s">
        <v>429</v>
      </c>
      <c r="C27" s="95" t="s">
        <v>233</v>
      </c>
      <c r="D27" s="464">
        <v>0</v>
      </c>
      <c r="E27" s="464">
        <v>0</v>
      </c>
      <c r="F27" s="464">
        <v>0</v>
      </c>
      <c r="G27" s="464">
        <v>0</v>
      </c>
      <c r="H27" s="464">
        <v>0</v>
      </c>
      <c r="I27" s="464">
        <v>0</v>
      </c>
      <c r="J27" s="464">
        <v>0</v>
      </c>
      <c r="K27" s="464">
        <v>0</v>
      </c>
      <c r="L27" s="464">
        <v>0</v>
      </c>
      <c r="M27" s="464">
        <v>0</v>
      </c>
      <c r="N27" s="464"/>
      <c r="O27" s="465"/>
      <c r="P27" s="406"/>
      <c r="Q27" s="466">
        <f t="shared" si="1"/>
        <v>0</v>
      </c>
      <c r="R27" s="467">
        <f t="shared" si="2"/>
        <v>0</v>
      </c>
      <c r="S27" s="468">
        <f t="shared" si="3"/>
        <v>0</v>
      </c>
    </row>
    <row r="28" spans="2:19" x14ac:dyDescent="0.15">
      <c r="B28" s="131" t="s">
        <v>430</v>
      </c>
      <c r="C28" s="95" t="s">
        <v>234</v>
      </c>
      <c r="D28" s="464">
        <v>0</v>
      </c>
      <c r="E28" s="464">
        <v>0</v>
      </c>
      <c r="F28" s="464">
        <v>0</v>
      </c>
      <c r="G28" s="464">
        <v>0</v>
      </c>
      <c r="H28" s="464">
        <v>0</v>
      </c>
      <c r="I28" s="464">
        <v>0</v>
      </c>
      <c r="J28" s="464">
        <v>0</v>
      </c>
      <c r="K28" s="464">
        <v>0</v>
      </c>
      <c r="L28" s="464">
        <v>0</v>
      </c>
      <c r="M28" s="464">
        <v>0</v>
      </c>
      <c r="N28" s="464"/>
      <c r="O28" s="465"/>
      <c r="P28" s="406"/>
      <c r="Q28" s="466">
        <f t="shared" si="1"/>
        <v>0</v>
      </c>
      <c r="R28" s="467">
        <f t="shared" si="2"/>
        <v>0</v>
      </c>
      <c r="S28" s="468">
        <f t="shared" si="3"/>
        <v>0</v>
      </c>
    </row>
    <row r="29" spans="2:19" x14ac:dyDescent="0.15">
      <c r="B29" s="131" t="s">
        <v>431</v>
      </c>
      <c r="C29" s="95" t="s">
        <v>235</v>
      </c>
      <c r="D29" s="464">
        <v>0</v>
      </c>
      <c r="E29" s="464">
        <v>0</v>
      </c>
      <c r="F29" s="464">
        <v>0</v>
      </c>
      <c r="G29" s="464">
        <v>0</v>
      </c>
      <c r="H29" s="464">
        <v>0</v>
      </c>
      <c r="I29" s="464">
        <v>0</v>
      </c>
      <c r="J29" s="464">
        <v>0</v>
      </c>
      <c r="K29" s="464">
        <v>0</v>
      </c>
      <c r="L29" s="464">
        <v>0</v>
      </c>
      <c r="M29" s="464">
        <v>0</v>
      </c>
      <c r="N29" s="464"/>
      <c r="O29" s="465"/>
      <c r="P29" s="406"/>
      <c r="Q29" s="466">
        <f t="shared" si="1"/>
        <v>0</v>
      </c>
      <c r="R29" s="467">
        <f t="shared" si="2"/>
        <v>0</v>
      </c>
      <c r="S29" s="468">
        <f t="shared" si="3"/>
        <v>0</v>
      </c>
    </row>
    <row r="30" spans="2:19" x14ac:dyDescent="0.15">
      <c r="B30" s="131" t="s">
        <v>432</v>
      </c>
      <c r="C30" s="95" t="s">
        <v>236</v>
      </c>
      <c r="D30" s="464">
        <v>0</v>
      </c>
      <c r="E30" s="464">
        <v>4000</v>
      </c>
      <c r="F30" s="464">
        <v>0</v>
      </c>
      <c r="G30" s="464">
        <v>1025400</v>
      </c>
      <c r="H30" s="464">
        <v>0</v>
      </c>
      <c r="I30" s="464">
        <v>3000</v>
      </c>
      <c r="J30" s="464">
        <v>138000</v>
      </c>
      <c r="K30" s="464">
        <v>6000</v>
      </c>
      <c r="L30" s="464">
        <v>0</v>
      </c>
      <c r="M30" s="464">
        <v>0</v>
      </c>
      <c r="N30" s="464">
        <v>5000</v>
      </c>
      <c r="O30" s="465">
        <v>479000</v>
      </c>
      <c r="P30" s="406"/>
      <c r="Q30" s="466">
        <f t="shared" si="1"/>
        <v>1660400</v>
      </c>
      <c r="R30" s="467">
        <f t="shared" si="2"/>
        <v>7.3118240173778687E-2</v>
      </c>
      <c r="S30" s="468">
        <f t="shared" si="3"/>
        <v>138366.66666666666</v>
      </c>
    </row>
    <row r="31" spans="2:19" x14ac:dyDescent="0.15">
      <c r="B31" s="131" t="s">
        <v>433</v>
      </c>
      <c r="C31" s="95" t="s">
        <v>237</v>
      </c>
      <c r="D31" s="464">
        <v>0</v>
      </c>
      <c r="E31" s="464">
        <v>0</v>
      </c>
      <c r="F31" s="464">
        <v>4000</v>
      </c>
      <c r="G31" s="464">
        <v>0</v>
      </c>
      <c r="H31" s="464">
        <v>0</v>
      </c>
      <c r="I31" s="464">
        <v>0</v>
      </c>
      <c r="J31" s="464">
        <v>0</v>
      </c>
      <c r="K31" s="464">
        <v>0</v>
      </c>
      <c r="L31" s="464">
        <v>0</v>
      </c>
      <c r="M31" s="464">
        <v>0</v>
      </c>
      <c r="N31" s="464"/>
      <c r="O31" s="465"/>
      <c r="P31" s="406"/>
      <c r="Q31" s="466">
        <f t="shared" si="1"/>
        <v>4000</v>
      </c>
      <c r="R31" s="467">
        <f t="shared" si="2"/>
        <v>1.7614608569929821E-4</v>
      </c>
      <c r="S31" s="468">
        <f t="shared" si="3"/>
        <v>333.33333333333331</v>
      </c>
    </row>
    <row r="32" spans="2:19" x14ac:dyDescent="0.15">
      <c r="B32" s="131" t="s">
        <v>434</v>
      </c>
      <c r="C32" s="95" t="s">
        <v>238</v>
      </c>
      <c r="D32" s="464">
        <v>0</v>
      </c>
      <c r="E32" s="464">
        <v>0</v>
      </c>
      <c r="F32" s="464">
        <v>0</v>
      </c>
      <c r="G32" s="464">
        <v>0</v>
      </c>
      <c r="H32" s="464">
        <v>0</v>
      </c>
      <c r="I32" s="464">
        <v>0</v>
      </c>
      <c r="J32" s="464">
        <v>0</v>
      </c>
      <c r="K32" s="464">
        <v>0</v>
      </c>
      <c r="L32" s="464">
        <v>0</v>
      </c>
      <c r="M32" s="464">
        <v>0</v>
      </c>
      <c r="N32" s="464"/>
      <c r="O32" s="465"/>
      <c r="P32" s="406"/>
      <c r="Q32" s="466">
        <f t="shared" si="1"/>
        <v>0</v>
      </c>
      <c r="R32" s="467">
        <f t="shared" si="2"/>
        <v>0</v>
      </c>
      <c r="S32" s="468">
        <f t="shared" si="3"/>
        <v>0</v>
      </c>
    </row>
    <row r="33" spans="2:19" x14ac:dyDescent="0.15">
      <c r="B33" s="131" t="s">
        <v>435</v>
      </c>
      <c r="C33" s="95" t="s">
        <v>239</v>
      </c>
      <c r="D33" s="464">
        <v>0</v>
      </c>
      <c r="E33" s="464">
        <v>0</v>
      </c>
      <c r="F33" s="464">
        <v>0</v>
      </c>
      <c r="G33" s="464">
        <v>0</v>
      </c>
      <c r="H33" s="464">
        <v>0</v>
      </c>
      <c r="I33" s="464">
        <v>0</v>
      </c>
      <c r="J33" s="464">
        <v>0</v>
      </c>
      <c r="K33" s="464">
        <v>0</v>
      </c>
      <c r="L33" s="464">
        <v>0</v>
      </c>
      <c r="M33" s="464">
        <v>0</v>
      </c>
      <c r="N33" s="464"/>
      <c r="O33" s="465"/>
      <c r="P33" s="406"/>
      <c r="Q33" s="466">
        <f t="shared" si="1"/>
        <v>0</v>
      </c>
      <c r="R33" s="467">
        <f t="shared" si="2"/>
        <v>0</v>
      </c>
      <c r="S33" s="468">
        <f t="shared" si="3"/>
        <v>0</v>
      </c>
    </row>
    <row r="34" spans="2:19" x14ac:dyDescent="0.15">
      <c r="B34" s="131" t="s">
        <v>436</v>
      </c>
      <c r="C34" s="95" t="s">
        <v>240</v>
      </c>
      <c r="D34" s="464">
        <v>0</v>
      </c>
      <c r="E34" s="464">
        <v>0</v>
      </c>
      <c r="F34" s="464">
        <v>2400</v>
      </c>
      <c r="G34" s="464">
        <v>0</v>
      </c>
      <c r="H34" s="464">
        <v>0</v>
      </c>
      <c r="I34" s="464">
        <v>0</v>
      </c>
      <c r="J34" s="464">
        <v>0</v>
      </c>
      <c r="K34" s="464">
        <v>0</v>
      </c>
      <c r="L34" s="464">
        <v>0</v>
      </c>
      <c r="M34" s="464">
        <v>0</v>
      </c>
      <c r="N34" s="464"/>
      <c r="O34" s="465"/>
      <c r="P34" s="406"/>
      <c r="Q34" s="466">
        <f t="shared" si="1"/>
        <v>2400</v>
      </c>
      <c r="R34" s="467">
        <f t="shared" si="2"/>
        <v>1.0568765141957892E-4</v>
      </c>
      <c r="S34" s="468">
        <f t="shared" si="3"/>
        <v>200</v>
      </c>
    </row>
    <row r="35" spans="2:19" x14ac:dyDescent="0.15">
      <c r="B35" s="131" t="s">
        <v>437</v>
      </c>
      <c r="C35" s="95" t="s">
        <v>2080</v>
      </c>
      <c r="D35" s="464">
        <v>0</v>
      </c>
      <c r="E35" s="464">
        <v>0</v>
      </c>
      <c r="F35" s="464">
        <v>0</v>
      </c>
      <c r="G35" s="464">
        <v>0</v>
      </c>
      <c r="H35" s="464">
        <v>0</v>
      </c>
      <c r="I35" s="464">
        <v>0</v>
      </c>
      <c r="J35" s="464">
        <v>0</v>
      </c>
      <c r="K35" s="464">
        <v>0</v>
      </c>
      <c r="L35" s="464">
        <v>0</v>
      </c>
      <c r="M35" s="464">
        <v>0</v>
      </c>
      <c r="N35" s="464"/>
      <c r="O35" s="465">
        <v>5000</v>
      </c>
      <c r="P35" s="406"/>
      <c r="Q35" s="466">
        <f t="shared" si="1"/>
        <v>5000</v>
      </c>
      <c r="R35" s="467">
        <f t="shared" si="2"/>
        <v>2.2018260712412276E-4</v>
      </c>
      <c r="S35" s="468">
        <f t="shared" si="3"/>
        <v>416.66666666666669</v>
      </c>
    </row>
    <row r="36" spans="2:19" x14ac:dyDescent="0.15">
      <c r="B36" s="131" t="s">
        <v>438</v>
      </c>
      <c r="C36" s="134" t="s">
        <v>241</v>
      </c>
      <c r="D36" s="464">
        <v>0</v>
      </c>
      <c r="E36" s="464">
        <v>0</v>
      </c>
      <c r="F36" s="464">
        <v>0</v>
      </c>
      <c r="G36" s="464">
        <v>0</v>
      </c>
      <c r="H36" s="464">
        <v>0</v>
      </c>
      <c r="I36" s="464">
        <v>0</v>
      </c>
      <c r="J36" s="464">
        <v>0</v>
      </c>
      <c r="K36" s="464">
        <v>0</v>
      </c>
      <c r="L36" s="464">
        <v>0</v>
      </c>
      <c r="M36" s="464">
        <v>0</v>
      </c>
      <c r="N36" s="464"/>
      <c r="O36" s="465"/>
      <c r="P36" s="406"/>
      <c r="Q36" s="466">
        <f t="shared" si="1"/>
        <v>0</v>
      </c>
      <c r="R36" s="467">
        <f t="shared" si="2"/>
        <v>0</v>
      </c>
      <c r="S36" s="468">
        <f t="shared" si="3"/>
        <v>0</v>
      </c>
    </row>
    <row r="37" spans="2:19" x14ac:dyDescent="0.15">
      <c r="B37" s="131" t="s">
        <v>439</v>
      </c>
      <c r="C37" s="95" t="s">
        <v>242</v>
      </c>
      <c r="D37" s="464">
        <v>0</v>
      </c>
      <c r="E37" s="464">
        <v>0</v>
      </c>
      <c r="F37" s="464">
        <v>0</v>
      </c>
      <c r="G37" s="464">
        <v>0</v>
      </c>
      <c r="H37" s="464">
        <v>0</v>
      </c>
      <c r="I37" s="464">
        <v>0</v>
      </c>
      <c r="J37" s="464">
        <v>0</v>
      </c>
      <c r="K37" s="464">
        <v>0</v>
      </c>
      <c r="L37" s="464">
        <v>0</v>
      </c>
      <c r="M37" s="464">
        <v>0</v>
      </c>
      <c r="N37" s="464"/>
      <c r="O37" s="465"/>
      <c r="P37" s="406"/>
      <c r="Q37" s="466">
        <f t="shared" si="1"/>
        <v>0</v>
      </c>
      <c r="R37" s="467">
        <f t="shared" si="2"/>
        <v>0</v>
      </c>
      <c r="S37" s="468">
        <f t="shared" si="3"/>
        <v>0</v>
      </c>
    </row>
    <row r="38" spans="2:19" x14ac:dyDescent="0.15">
      <c r="B38" s="131" t="s">
        <v>440</v>
      </c>
      <c r="C38" s="95" t="s">
        <v>243</v>
      </c>
      <c r="D38" s="464">
        <v>0</v>
      </c>
      <c r="E38" s="464">
        <v>0</v>
      </c>
      <c r="F38" s="464">
        <v>0</v>
      </c>
      <c r="G38" s="464">
        <v>0</v>
      </c>
      <c r="H38" s="464">
        <v>0</v>
      </c>
      <c r="I38" s="464">
        <v>0</v>
      </c>
      <c r="J38" s="464">
        <v>0</v>
      </c>
      <c r="K38" s="464">
        <v>0</v>
      </c>
      <c r="L38" s="464">
        <v>0</v>
      </c>
      <c r="M38" s="464">
        <v>0</v>
      </c>
      <c r="N38" s="464"/>
      <c r="O38" s="465"/>
      <c r="P38" s="406"/>
      <c r="Q38" s="466">
        <f t="shared" si="1"/>
        <v>0</v>
      </c>
      <c r="R38" s="467">
        <f t="shared" si="2"/>
        <v>0</v>
      </c>
      <c r="S38" s="468">
        <f t="shared" si="3"/>
        <v>0</v>
      </c>
    </row>
    <row r="39" spans="2:19" x14ac:dyDescent="0.15">
      <c r="B39" s="131" t="s">
        <v>441</v>
      </c>
      <c r="C39" s="95" t="s">
        <v>244</v>
      </c>
      <c r="D39" s="464">
        <v>0</v>
      </c>
      <c r="E39" s="464">
        <v>0</v>
      </c>
      <c r="F39" s="464">
        <v>0</v>
      </c>
      <c r="G39" s="464">
        <v>0</v>
      </c>
      <c r="H39" s="464">
        <v>0</v>
      </c>
      <c r="I39" s="464">
        <v>0</v>
      </c>
      <c r="J39" s="464">
        <v>0</v>
      </c>
      <c r="K39" s="464">
        <v>0</v>
      </c>
      <c r="L39" s="464">
        <v>0</v>
      </c>
      <c r="M39" s="464">
        <v>0</v>
      </c>
      <c r="N39" s="464"/>
      <c r="O39" s="465"/>
      <c r="P39" s="406"/>
      <c r="Q39" s="466">
        <f t="shared" si="1"/>
        <v>0</v>
      </c>
      <c r="R39" s="467">
        <f t="shared" si="2"/>
        <v>0</v>
      </c>
      <c r="S39" s="468">
        <f t="shared" si="3"/>
        <v>0</v>
      </c>
    </row>
    <row r="40" spans="2:19" x14ac:dyDescent="0.15">
      <c r="B40" s="131" t="s">
        <v>442</v>
      </c>
      <c r="C40" s="490" t="s">
        <v>245</v>
      </c>
      <c r="D40" s="464">
        <v>0</v>
      </c>
      <c r="E40" s="464">
        <v>0</v>
      </c>
      <c r="F40" s="464">
        <v>0</v>
      </c>
      <c r="G40" s="464">
        <v>0</v>
      </c>
      <c r="H40" s="464">
        <v>0</v>
      </c>
      <c r="I40" s="464">
        <v>0</v>
      </c>
      <c r="J40" s="464">
        <v>0</v>
      </c>
      <c r="K40" s="464">
        <v>0</v>
      </c>
      <c r="L40" s="464">
        <v>0</v>
      </c>
      <c r="M40" s="464">
        <v>0</v>
      </c>
      <c r="N40" s="464"/>
      <c r="O40" s="465"/>
      <c r="P40" s="406"/>
      <c r="Q40" s="466">
        <f t="shared" si="1"/>
        <v>0</v>
      </c>
      <c r="R40" s="467">
        <f t="shared" si="2"/>
        <v>0</v>
      </c>
      <c r="S40" s="468">
        <f t="shared" si="3"/>
        <v>0</v>
      </c>
    </row>
    <row r="41" spans="2:19" x14ac:dyDescent="0.15">
      <c r="B41" s="131" t="s">
        <v>443</v>
      </c>
      <c r="C41" s="95" t="s">
        <v>246</v>
      </c>
      <c r="D41" s="464">
        <v>0</v>
      </c>
      <c r="E41" s="464">
        <v>0</v>
      </c>
      <c r="F41" s="464">
        <v>0</v>
      </c>
      <c r="G41" s="464">
        <v>0</v>
      </c>
      <c r="H41" s="464">
        <v>0</v>
      </c>
      <c r="I41" s="464">
        <v>0</v>
      </c>
      <c r="J41" s="464">
        <v>0</v>
      </c>
      <c r="K41" s="464">
        <v>0</v>
      </c>
      <c r="L41" s="464">
        <v>0</v>
      </c>
      <c r="M41" s="464">
        <v>0</v>
      </c>
      <c r="N41" s="464"/>
      <c r="O41" s="465"/>
      <c r="P41" s="406"/>
      <c r="Q41" s="466">
        <f t="shared" si="1"/>
        <v>0</v>
      </c>
      <c r="R41" s="467">
        <f t="shared" si="2"/>
        <v>0</v>
      </c>
      <c r="S41" s="468">
        <f t="shared" si="3"/>
        <v>0</v>
      </c>
    </row>
    <row r="42" spans="2:19" x14ac:dyDescent="0.15">
      <c r="B42" s="131" t="s">
        <v>444</v>
      </c>
      <c r="C42" s="95" t="s">
        <v>247</v>
      </c>
      <c r="D42" s="464">
        <v>0</v>
      </c>
      <c r="E42" s="464">
        <v>6000</v>
      </c>
      <c r="F42" s="464">
        <v>1685350</v>
      </c>
      <c r="G42" s="464">
        <v>2123</v>
      </c>
      <c r="H42" s="464">
        <v>195000</v>
      </c>
      <c r="I42" s="464">
        <v>0</v>
      </c>
      <c r="J42" s="464">
        <v>0</v>
      </c>
      <c r="K42" s="464">
        <v>0</v>
      </c>
      <c r="L42" s="464">
        <v>466666</v>
      </c>
      <c r="M42" s="464">
        <v>0</v>
      </c>
      <c r="N42" s="464">
        <v>156000</v>
      </c>
      <c r="O42" s="465">
        <v>156000</v>
      </c>
      <c r="P42" s="406"/>
      <c r="Q42" s="466">
        <f t="shared" si="1"/>
        <v>2667139</v>
      </c>
      <c r="R42" s="467">
        <f t="shared" si="2"/>
        <v>0.11745152371648512</v>
      </c>
      <c r="S42" s="468">
        <f t="shared" si="3"/>
        <v>222261.58333333334</v>
      </c>
    </row>
    <row r="43" spans="2:19" x14ac:dyDescent="0.15">
      <c r="B43" s="131" t="s">
        <v>445</v>
      </c>
      <c r="C43" s="95" t="s">
        <v>248</v>
      </c>
      <c r="D43" s="464">
        <v>0</v>
      </c>
      <c r="E43" s="464">
        <v>0</v>
      </c>
      <c r="F43" s="464">
        <v>0</v>
      </c>
      <c r="G43" s="464">
        <v>0</v>
      </c>
      <c r="H43" s="464">
        <v>0</v>
      </c>
      <c r="I43" s="464">
        <v>0</v>
      </c>
      <c r="J43" s="464">
        <v>0</v>
      </c>
      <c r="K43" s="464">
        <v>0</v>
      </c>
      <c r="L43" s="464">
        <v>169000</v>
      </c>
      <c r="M43" s="464">
        <v>0</v>
      </c>
      <c r="N43" s="464"/>
      <c r="O43" s="465"/>
      <c r="P43" s="406"/>
      <c r="Q43" s="466">
        <f t="shared" si="1"/>
        <v>169000</v>
      </c>
      <c r="R43" s="467">
        <f t="shared" si="2"/>
        <v>7.4421721207953489E-3</v>
      </c>
      <c r="S43" s="468">
        <f t="shared" si="3"/>
        <v>14083.333333333334</v>
      </c>
    </row>
    <row r="44" spans="2:19" x14ac:dyDescent="0.15">
      <c r="B44" s="131" t="s">
        <v>446</v>
      </c>
      <c r="C44" s="95" t="s">
        <v>535</v>
      </c>
      <c r="D44" s="464">
        <v>0</v>
      </c>
      <c r="E44" s="464">
        <v>0</v>
      </c>
      <c r="F44" s="464">
        <v>0</v>
      </c>
      <c r="G44" s="464">
        <v>0</v>
      </c>
      <c r="H44" s="464">
        <v>0</v>
      </c>
      <c r="I44" s="464">
        <v>0</v>
      </c>
      <c r="J44" s="464">
        <v>0</v>
      </c>
      <c r="K44" s="464">
        <v>0</v>
      </c>
      <c r="L44" s="464">
        <v>0</v>
      </c>
      <c r="M44" s="464">
        <v>0</v>
      </c>
      <c r="N44" s="464"/>
      <c r="O44" s="465"/>
      <c r="P44" s="406"/>
      <c r="Q44" s="466">
        <f t="shared" si="1"/>
        <v>0</v>
      </c>
      <c r="R44" s="467">
        <f t="shared" si="2"/>
        <v>0</v>
      </c>
      <c r="S44" s="468">
        <f t="shared" si="3"/>
        <v>0</v>
      </c>
    </row>
    <row r="45" spans="2:19" x14ac:dyDescent="0.15">
      <c r="B45" s="131" t="s">
        <v>447</v>
      </c>
      <c r="C45" s="95" t="s">
        <v>249</v>
      </c>
      <c r="D45" s="464">
        <v>0</v>
      </c>
      <c r="E45" s="464">
        <v>0</v>
      </c>
      <c r="F45" s="464">
        <v>0</v>
      </c>
      <c r="G45" s="464">
        <v>0</v>
      </c>
      <c r="H45" s="464">
        <v>0</v>
      </c>
      <c r="I45" s="464">
        <v>0</v>
      </c>
      <c r="J45" s="464">
        <v>0</v>
      </c>
      <c r="K45" s="464">
        <v>0</v>
      </c>
      <c r="L45" s="464">
        <v>0</v>
      </c>
      <c r="M45" s="464">
        <v>0</v>
      </c>
      <c r="N45" s="464"/>
      <c r="O45" s="465"/>
      <c r="P45" s="406"/>
      <c r="Q45" s="466">
        <f t="shared" si="1"/>
        <v>0</v>
      </c>
      <c r="R45" s="467">
        <f t="shared" si="2"/>
        <v>0</v>
      </c>
      <c r="S45" s="468">
        <f t="shared" si="3"/>
        <v>0</v>
      </c>
    </row>
    <row r="46" spans="2:19" x14ac:dyDescent="0.15">
      <c r="B46" s="131" t="s">
        <v>448</v>
      </c>
      <c r="C46" s="95" t="s">
        <v>250</v>
      </c>
      <c r="D46" s="464">
        <v>0</v>
      </c>
      <c r="E46" s="464">
        <v>0</v>
      </c>
      <c r="F46" s="464">
        <v>0</v>
      </c>
      <c r="G46" s="464">
        <v>0</v>
      </c>
      <c r="H46" s="464">
        <v>0</v>
      </c>
      <c r="I46" s="464">
        <v>0</v>
      </c>
      <c r="J46" s="464">
        <v>0</v>
      </c>
      <c r="K46" s="464">
        <v>0</v>
      </c>
      <c r="L46" s="464">
        <v>0</v>
      </c>
      <c r="M46" s="464">
        <v>0</v>
      </c>
      <c r="N46" s="464"/>
      <c r="O46" s="465"/>
      <c r="P46" s="406"/>
      <c r="Q46" s="466">
        <f t="shared" si="1"/>
        <v>0</v>
      </c>
      <c r="R46" s="467">
        <f t="shared" si="2"/>
        <v>0</v>
      </c>
      <c r="S46" s="468">
        <f t="shared" si="3"/>
        <v>0</v>
      </c>
    </row>
    <row r="47" spans="2:19" x14ac:dyDescent="0.15">
      <c r="B47" s="131" t="s">
        <v>449</v>
      </c>
      <c r="C47" s="95" t="s">
        <v>251</v>
      </c>
      <c r="D47" s="464">
        <v>0</v>
      </c>
      <c r="E47" s="464">
        <v>0</v>
      </c>
      <c r="F47" s="464">
        <v>0</v>
      </c>
      <c r="G47" s="464">
        <v>0</v>
      </c>
      <c r="H47" s="464">
        <v>0</v>
      </c>
      <c r="I47" s="464">
        <v>0</v>
      </c>
      <c r="J47" s="464">
        <v>0</v>
      </c>
      <c r="K47" s="464">
        <v>0</v>
      </c>
      <c r="L47" s="464">
        <v>0</v>
      </c>
      <c r="M47" s="464">
        <v>0</v>
      </c>
      <c r="N47" s="464"/>
      <c r="O47" s="465"/>
      <c r="P47" s="406"/>
      <c r="Q47" s="466">
        <f t="shared" si="1"/>
        <v>0</v>
      </c>
      <c r="R47" s="467">
        <f t="shared" si="2"/>
        <v>0</v>
      </c>
      <c r="S47" s="468">
        <f t="shared" si="3"/>
        <v>0</v>
      </c>
    </row>
    <row r="48" spans="2:19" x14ac:dyDescent="0.15">
      <c r="B48" s="131" t="s">
        <v>450</v>
      </c>
      <c r="C48" s="95" t="s">
        <v>252</v>
      </c>
      <c r="D48" s="464">
        <v>0</v>
      </c>
      <c r="E48" s="464">
        <v>0</v>
      </c>
      <c r="F48" s="464">
        <v>285600</v>
      </c>
      <c r="G48" s="464">
        <v>0</v>
      </c>
      <c r="H48" s="464">
        <v>0</v>
      </c>
      <c r="I48" s="464">
        <v>0</v>
      </c>
      <c r="J48" s="464">
        <v>0</v>
      </c>
      <c r="K48" s="464">
        <v>0</v>
      </c>
      <c r="L48" s="464">
        <v>0</v>
      </c>
      <c r="M48" s="464">
        <v>0</v>
      </c>
      <c r="N48" s="464"/>
      <c r="O48" s="465"/>
      <c r="P48" s="406"/>
      <c r="Q48" s="466">
        <f t="shared" si="1"/>
        <v>285600</v>
      </c>
      <c r="R48" s="467">
        <f t="shared" si="2"/>
        <v>1.2576830518929891E-2</v>
      </c>
      <c r="S48" s="468">
        <f t="shared" si="3"/>
        <v>23800</v>
      </c>
    </row>
    <row r="49" spans="2:19" x14ac:dyDescent="0.15">
      <c r="B49" s="136" t="s">
        <v>451</v>
      </c>
      <c r="C49" s="137" t="s">
        <v>253</v>
      </c>
      <c r="D49" s="464">
        <v>0</v>
      </c>
      <c r="E49" s="464">
        <v>0</v>
      </c>
      <c r="F49" s="464">
        <v>0</v>
      </c>
      <c r="G49" s="464">
        <v>0</v>
      </c>
      <c r="H49" s="464">
        <v>0</v>
      </c>
      <c r="I49" s="464">
        <v>0</v>
      </c>
      <c r="J49" s="464">
        <v>0</v>
      </c>
      <c r="K49" s="464">
        <v>0</v>
      </c>
      <c r="L49" s="464">
        <v>0</v>
      </c>
      <c r="M49" s="464">
        <v>0</v>
      </c>
      <c r="N49" s="464"/>
      <c r="O49" s="465"/>
      <c r="P49" s="406"/>
      <c r="Q49" s="466">
        <f t="shared" si="1"/>
        <v>0</v>
      </c>
      <c r="R49" s="467">
        <f t="shared" si="2"/>
        <v>0</v>
      </c>
      <c r="S49" s="468">
        <f t="shared" si="3"/>
        <v>0</v>
      </c>
    </row>
    <row r="50" spans="2:19" x14ac:dyDescent="0.15">
      <c r="B50" s="131" t="s">
        <v>452</v>
      </c>
      <c r="C50" s="133" t="s">
        <v>727</v>
      </c>
      <c r="D50" s="464">
        <v>0</v>
      </c>
      <c r="E50" s="464">
        <v>0</v>
      </c>
      <c r="F50" s="464">
        <v>0</v>
      </c>
      <c r="G50" s="464">
        <v>0</v>
      </c>
      <c r="H50" s="464">
        <v>0</v>
      </c>
      <c r="I50" s="464">
        <v>0</v>
      </c>
      <c r="J50" s="464">
        <v>0</v>
      </c>
      <c r="K50" s="464">
        <v>0</v>
      </c>
      <c r="L50" s="464">
        <v>0</v>
      </c>
      <c r="M50" s="464">
        <v>0</v>
      </c>
      <c r="N50" s="464"/>
      <c r="O50" s="465"/>
      <c r="P50" s="406"/>
      <c r="Q50" s="466">
        <f t="shared" si="1"/>
        <v>0</v>
      </c>
      <c r="R50" s="467">
        <f t="shared" si="2"/>
        <v>0</v>
      </c>
      <c r="S50" s="468">
        <f t="shared" si="3"/>
        <v>0</v>
      </c>
    </row>
    <row r="51" spans="2:19" x14ac:dyDescent="0.15">
      <c r="B51" s="131" t="s">
        <v>453</v>
      </c>
      <c r="C51" s="95" t="s">
        <v>254</v>
      </c>
      <c r="D51" s="464">
        <v>0</v>
      </c>
      <c r="E51" s="464">
        <v>0</v>
      </c>
      <c r="F51" s="464">
        <v>0</v>
      </c>
      <c r="G51" s="464">
        <v>0</v>
      </c>
      <c r="H51" s="464">
        <v>0</v>
      </c>
      <c r="I51" s="464">
        <v>0</v>
      </c>
      <c r="J51" s="464">
        <v>0</v>
      </c>
      <c r="K51" s="464">
        <v>0</v>
      </c>
      <c r="L51" s="464">
        <v>0</v>
      </c>
      <c r="M51" s="464">
        <v>0</v>
      </c>
      <c r="N51" s="464"/>
      <c r="O51" s="465"/>
      <c r="P51" s="406"/>
      <c r="Q51" s="466">
        <f t="shared" si="1"/>
        <v>0</v>
      </c>
      <c r="R51" s="467">
        <f t="shared" si="2"/>
        <v>0</v>
      </c>
      <c r="S51" s="468">
        <f t="shared" si="3"/>
        <v>0</v>
      </c>
    </row>
    <row r="52" spans="2:19" x14ac:dyDescent="0.15">
      <c r="B52" s="131" t="s">
        <v>454</v>
      </c>
      <c r="C52" s="95" t="s">
        <v>255</v>
      </c>
      <c r="D52" s="464">
        <v>0</v>
      </c>
      <c r="E52" s="464">
        <v>0</v>
      </c>
      <c r="F52" s="464">
        <v>0</v>
      </c>
      <c r="G52" s="464">
        <v>0</v>
      </c>
      <c r="H52" s="464">
        <v>0</v>
      </c>
      <c r="I52" s="464">
        <v>0</v>
      </c>
      <c r="J52" s="464">
        <v>0</v>
      </c>
      <c r="K52" s="464">
        <v>0</v>
      </c>
      <c r="L52" s="464">
        <v>0</v>
      </c>
      <c r="M52" s="464">
        <v>0</v>
      </c>
      <c r="N52" s="464"/>
      <c r="O52" s="465"/>
      <c r="P52" s="406"/>
      <c r="Q52" s="466">
        <f t="shared" si="1"/>
        <v>0</v>
      </c>
      <c r="R52" s="467">
        <f t="shared" si="2"/>
        <v>0</v>
      </c>
      <c r="S52" s="468">
        <f t="shared" si="3"/>
        <v>0</v>
      </c>
    </row>
    <row r="53" spans="2:19" x14ac:dyDescent="0.15">
      <c r="B53" s="131" t="s">
        <v>455</v>
      </c>
      <c r="C53" s="490" t="s">
        <v>256</v>
      </c>
      <c r="D53" s="464">
        <v>0</v>
      </c>
      <c r="E53" s="464">
        <v>0</v>
      </c>
      <c r="F53" s="464">
        <v>0</v>
      </c>
      <c r="G53" s="464">
        <v>0</v>
      </c>
      <c r="H53" s="464">
        <v>0</v>
      </c>
      <c r="I53" s="464">
        <v>0</v>
      </c>
      <c r="J53" s="464">
        <v>0</v>
      </c>
      <c r="K53" s="464">
        <v>0</v>
      </c>
      <c r="L53" s="464">
        <v>228000</v>
      </c>
      <c r="M53" s="464">
        <v>0</v>
      </c>
      <c r="N53" s="464"/>
      <c r="O53" s="465">
        <v>15000</v>
      </c>
      <c r="P53" s="406"/>
      <c r="Q53" s="466">
        <f t="shared" si="1"/>
        <v>243000</v>
      </c>
      <c r="R53" s="467">
        <f t="shared" si="2"/>
        <v>1.0700874706232365E-2</v>
      </c>
      <c r="S53" s="468">
        <f t="shared" si="3"/>
        <v>20250</v>
      </c>
    </row>
    <row r="54" spans="2:19" x14ac:dyDescent="0.15">
      <c r="B54" s="131" t="s">
        <v>456</v>
      </c>
      <c r="C54" s="95" t="s">
        <v>257</v>
      </c>
      <c r="D54" s="464">
        <v>156000</v>
      </c>
      <c r="E54" s="464">
        <v>0</v>
      </c>
      <c r="F54" s="464">
        <v>0</v>
      </c>
      <c r="G54" s="464">
        <v>0</v>
      </c>
      <c r="H54" s="464">
        <v>0</v>
      </c>
      <c r="I54" s="464">
        <v>0</v>
      </c>
      <c r="J54" s="464">
        <v>260000</v>
      </c>
      <c r="K54" s="464">
        <v>0</v>
      </c>
      <c r="L54" s="464">
        <v>156000</v>
      </c>
      <c r="M54" s="464">
        <v>0</v>
      </c>
      <c r="N54" s="464"/>
      <c r="O54" s="465"/>
      <c r="P54" s="406"/>
      <c r="Q54" s="466">
        <f t="shared" si="1"/>
        <v>572000</v>
      </c>
      <c r="R54" s="467">
        <f t="shared" si="2"/>
        <v>2.5188890254999641E-2</v>
      </c>
      <c r="S54" s="468">
        <f t="shared" si="3"/>
        <v>47666.666666666664</v>
      </c>
    </row>
    <row r="55" spans="2:19" x14ac:dyDescent="0.15">
      <c r="B55" s="131" t="s">
        <v>457</v>
      </c>
      <c r="C55" s="95" t="s">
        <v>655</v>
      </c>
      <c r="D55" s="464">
        <v>0</v>
      </c>
      <c r="E55" s="464">
        <v>0</v>
      </c>
      <c r="F55" s="464">
        <v>0</v>
      </c>
      <c r="G55" s="464">
        <v>0</v>
      </c>
      <c r="H55" s="464">
        <v>0</v>
      </c>
      <c r="I55" s="464">
        <v>0</v>
      </c>
      <c r="J55" s="464">
        <v>0</v>
      </c>
      <c r="K55" s="464">
        <v>0</v>
      </c>
      <c r="L55" s="464">
        <v>0</v>
      </c>
      <c r="M55" s="464">
        <v>0</v>
      </c>
      <c r="N55" s="464"/>
      <c r="O55" s="465"/>
      <c r="P55" s="406"/>
      <c r="Q55" s="466">
        <f t="shared" si="1"/>
        <v>0</v>
      </c>
      <c r="R55" s="467">
        <f t="shared" si="2"/>
        <v>0</v>
      </c>
      <c r="S55" s="468">
        <f t="shared" si="3"/>
        <v>0</v>
      </c>
    </row>
    <row r="56" spans="2:19" x14ac:dyDescent="0.15">
      <c r="B56" s="131" t="s">
        <v>458</v>
      </c>
      <c r="C56" s="95" t="s">
        <v>656</v>
      </c>
      <c r="D56" s="300">
        <v>0</v>
      </c>
      <c r="E56" s="300">
        <v>0</v>
      </c>
      <c r="F56" s="300">
        <v>0</v>
      </c>
      <c r="G56" s="300">
        <v>0</v>
      </c>
      <c r="H56" s="300">
        <v>0</v>
      </c>
      <c r="I56" s="300">
        <v>0</v>
      </c>
      <c r="J56" s="300">
        <v>0</v>
      </c>
      <c r="K56" s="300">
        <v>0</v>
      </c>
      <c r="L56" s="300">
        <v>0</v>
      </c>
      <c r="M56" s="300">
        <v>0</v>
      </c>
      <c r="N56" s="300"/>
      <c r="O56" s="301"/>
      <c r="Q56" s="362">
        <f t="shared" si="1"/>
        <v>0</v>
      </c>
      <c r="R56" s="363">
        <f t="shared" si="2"/>
        <v>0</v>
      </c>
      <c r="S56" s="364">
        <f t="shared" si="3"/>
        <v>0</v>
      </c>
    </row>
    <row r="57" spans="2:19" x14ac:dyDescent="0.15">
      <c r="B57" s="131" t="s">
        <v>459</v>
      </c>
      <c r="C57" s="95" t="s">
        <v>657</v>
      </c>
      <c r="D57" s="300">
        <v>0</v>
      </c>
      <c r="E57" s="300">
        <v>0</v>
      </c>
      <c r="F57" s="300">
        <v>0</v>
      </c>
      <c r="G57" s="300">
        <v>0</v>
      </c>
      <c r="H57" s="300">
        <v>0</v>
      </c>
      <c r="I57" s="300">
        <v>0</v>
      </c>
      <c r="J57" s="300">
        <v>0</v>
      </c>
      <c r="K57" s="300">
        <v>0</v>
      </c>
      <c r="L57" s="300">
        <v>0</v>
      </c>
      <c r="M57" s="300">
        <v>0</v>
      </c>
      <c r="N57" s="300"/>
      <c r="O57" s="301"/>
      <c r="Q57" s="362">
        <f t="shared" si="1"/>
        <v>0</v>
      </c>
      <c r="R57" s="363">
        <f t="shared" si="2"/>
        <v>0</v>
      </c>
      <c r="S57" s="364">
        <f t="shared" si="3"/>
        <v>0</v>
      </c>
    </row>
    <row r="58" spans="2:19" x14ac:dyDescent="0.15">
      <c r="B58" s="131" t="s">
        <v>460</v>
      </c>
      <c r="C58" s="95" t="s">
        <v>658</v>
      </c>
      <c r="D58" s="300">
        <v>0</v>
      </c>
      <c r="E58" s="300">
        <v>0</v>
      </c>
      <c r="F58" s="300">
        <v>0</v>
      </c>
      <c r="G58" s="300">
        <v>0</v>
      </c>
      <c r="H58" s="300">
        <v>0</v>
      </c>
      <c r="I58" s="300">
        <v>0</v>
      </c>
      <c r="J58" s="300">
        <v>0</v>
      </c>
      <c r="K58" s="300">
        <v>0</v>
      </c>
      <c r="L58" s="300">
        <v>0</v>
      </c>
      <c r="M58" s="300">
        <v>0</v>
      </c>
      <c r="N58" s="300"/>
      <c r="O58" s="301"/>
      <c r="Q58" s="362">
        <f t="shared" si="1"/>
        <v>0</v>
      </c>
      <c r="R58" s="363">
        <f t="shared" si="2"/>
        <v>0</v>
      </c>
      <c r="S58" s="364">
        <f t="shared" si="3"/>
        <v>0</v>
      </c>
    </row>
    <row r="59" spans="2:19" x14ac:dyDescent="0.15">
      <c r="B59" s="131" t="s">
        <v>461</v>
      </c>
      <c r="C59" s="95" t="s">
        <v>659</v>
      </c>
      <c r="D59" s="464">
        <v>140000</v>
      </c>
      <c r="E59" s="464">
        <v>162000</v>
      </c>
      <c r="F59" s="464">
        <v>535200</v>
      </c>
      <c r="G59" s="464">
        <v>0</v>
      </c>
      <c r="H59" s="464">
        <v>0</v>
      </c>
      <c r="I59" s="464">
        <v>0</v>
      </c>
      <c r="J59" s="464">
        <v>130000</v>
      </c>
      <c r="K59" s="464">
        <v>305000</v>
      </c>
      <c r="L59" s="464">
        <v>403800</v>
      </c>
      <c r="M59" s="464">
        <v>0</v>
      </c>
      <c r="N59" s="464"/>
      <c r="O59" s="465"/>
      <c r="P59" s="406"/>
      <c r="Q59" s="466">
        <f t="shared" si="1"/>
        <v>1676000</v>
      </c>
      <c r="R59" s="467">
        <f t="shared" si="2"/>
        <v>7.3805209908005945E-2</v>
      </c>
      <c r="S59" s="468">
        <f t="shared" si="3"/>
        <v>139666.66666666666</v>
      </c>
    </row>
    <row r="60" spans="2:19" x14ac:dyDescent="0.15">
      <c r="B60" s="131" t="s">
        <v>462</v>
      </c>
      <c r="C60" s="133" t="s">
        <v>1150</v>
      </c>
      <c r="D60" s="300">
        <v>0</v>
      </c>
      <c r="E60" s="300">
        <v>0</v>
      </c>
      <c r="F60" s="300">
        <v>0</v>
      </c>
      <c r="G60" s="300">
        <v>0</v>
      </c>
      <c r="H60" s="300">
        <v>0</v>
      </c>
      <c r="I60" s="300">
        <v>0</v>
      </c>
      <c r="J60" s="300">
        <v>0</v>
      </c>
      <c r="K60" s="300">
        <v>0</v>
      </c>
      <c r="L60" s="300">
        <v>0</v>
      </c>
      <c r="M60" s="300">
        <v>0</v>
      </c>
      <c r="N60" s="300"/>
      <c r="O60" s="301"/>
      <c r="Q60" s="362">
        <f t="shared" si="1"/>
        <v>0</v>
      </c>
      <c r="R60" s="363">
        <f t="shared" si="2"/>
        <v>0</v>
      </c>
      <c r="S60" s="364">
        <f t="shared" si="3"/>
        <v>0</v>
      </c>
    </row>
    <row r="61" spans="2:19" x14ac:dyDescent="0.15">
      <c r="B61" s="131" t="s">
        <v>463</v>
      </c>
      <c r="C61" s="95" t="s">
        <v>662</v>
      </c>
      <c r="D61" s="300">
        <v>0</v>
      </c>
      <c r="E61" s="300">
        <v>0</v>
      </c>
      <c r="F61" s="300">
        <v>0</v>
      </c>
      <c r="G61" s="300">
        <v>0</v>
      </c>
      <c r="H61" s="300">
        <v>0</v>
      </c>
      <c r="I61" s="300">
        <v>0</v>
      </c>
      <c r="J61" s="300">
        <v>0</v>
      </c>
      <c r="K61" s="300">
        <v>0</v>
      </c>
      <c r="L61" s="300">
        <v>0</v>
      </c>
      <c r="M61" s="300">
        <v>0</v>
      </c>
      <c r="N61" s="300"/>
      <c r="O61" s="301"/>
      <c r="Q61" s="362">
        <f t="shared" si="1"/>
        <v>0</v>
      </c>
      <c r="R61" s="363">
        <f t="shared" si="2"/>
        <v>0</v>
      </c>
      <c r="S61" s="364">
        <f t="shared" si="3"/>
        <v>0</v>
      </c>
    </row>
    <row r="62" spans="2:19" x14ac:dyDescent="0.15">
      <c r="B62" s="131" t="s">
        <v>464</v>
      </c>
      <c r="C62" s="95" t="s">
        <v>663</v>
      </c>
      <c r="D62" s="300">
        <v>0</v>
      </c>
      <c r="E62" s="300">
        <v>0</v>
      </c>
      <c r="F62" s="300">
        <v>0</v>
      </c>
      <c r="G62" s="300">
        <v>0</v>
      </c>
      <c r="H62" s="300">
        <v>0</v>
      </c>
      <c r="I62" s="300">
        <v>0</v>
      </c>
      <c r="J62" s="300">
        <v>0</v>
      </c>
      <c r="K62" s="300">
        <v>0</v>
      </c>
      <c r="L62" s="300">
        <v>0</v>
      </c>
      <c r="M62" s="300">
        <v>0</v>
      </c>
      <c r="N62" s="300"/>
      <c r="O62" s="301"/>
      <c r="Q62" s="362">
        <f t="shared" si="1"/>
        <v>0</v>
      </c>
      <c r="R62" s="363">
        <f t="shared" si="2"/>
        <v>0</v>
      </c>
      <c r="S62" s="364">
        <f t="shared" si="3"/>
        <v>0</v>
      </c>
    </row>
    <row r="63" spans="2:19" x14ac:dyDescent="0.15">
      <c r="B63" s="131" t="s">
        <v>465</v>
      </c>
      <c r="C63" s="95" t="s">
        <v>664</v>
      </c>
      <c r="D63" s="300">
        <v>0</v>
      </c>
      <c r="E63" s="300">
        <v>0</v>
      </c>
      <c r="F63" s="300">
        <v>0</v>
      </c>
      <c r="G63" s="300">
        <v>418800</v>
      </c>
      <c r="H63" s="300">
        <v>0</v>
      </c>
      <c r="I63" s="300">
        <v>0</v>
      </c>
      <c r="J63" s="300">
        <v>130000</v>
      </c>
      <c r="K63" s="300">
        <v>0</v>
      </c>
      <c r="L63" s="300">
        <v>0</v>
      </c>
      <c r="M63" s="300">
        <v>0</v>
      </c>
      <c r="N63" s="300"/>
      <c r="O63" s="301"/>
      <c r="Q63" s="362">
        <f t="shared" si="1"/>
        <v>548800</v>
      </c>
      <c r="R63" s="363">
        <f t="shared" si="2"/>
        <v>2.4167242957943712E-2</v>
      </c>
      <c r="S63" s="364">
        <f t="shared" si="3"/>
        <v>45733.333333333336</v>
      </c>
    </row>
    <row r="64" spans="2:19" x14ac:dyDescent="0.15">
      <c r="B64" s="131" t="s">
        <v>466</v>
      </c>
      <c r="C64" s="95" t="s">
        <v>665</v>
      </c>
      <c r="D64" s="300">
        <v>0</v>
      </c>
      <c r="E64" s="300">
        <v>0</v>
      </c>
      <c r="F64" s="300">
        <v>0</v>
      </c>
      <c r="G64" s="300">
        <v>0</v>
      </c>
      <c r="H64" s="300">
        <v>0</v>
      </c>
      <c r="I64" s="300">
        <v>0</v>
      </c>
      <c r="J64" s="300">
        <v>0</v>
      </c>
      <c r="K64" s="300">
        <v>0</v>
      </c>
      <c r="L64" s="300">
        <v>0</v>
      </c>
      <c r="M64" s="300">
        <v>0</v>
      </c>
      <c r="N64" s="300"/>
      <c r="O64" s="301"/>
      <c r="Q64" s="362">
        <f t="shared" si="1"/>
        <v>0</v>
      </c>
      <c r="R64" s="363">
        <f t="shared" si="2"/>
        <v>0</v>
      </c>
      <c r="S64" s="364">
        <f t="shared" si="3"/>
        <v>0</v>
      </c>
    </row>
    <row r="65" spans="2:19" x14ac:dyDescent="0.15">
      <c r="B65" s="131" t="s">
        <v>467</v>
      </c>
      <c r="C65" s="95" t="s">
        <v>666</v>
      </c>
      <c r="D65" s="300">
        <v>0</v>
      </c>
      <c r="E65" s="300">
        <v>0</v>
      </c>
      <c r="F65" s="300">
        <v>0</v>
      </c>
      <c r="G65" s="300">
        <v>0</v>
      </c>
      <c r="H65" s="300">
        <v>0</v>
      </c>
      <c r="I65" s="300">
        <v>0</v>
      </c>
      <c r="J65" s="300">
        <v>0</v>
      </c>
      <c r="K65" s="300">
        <v>0</v>
      </c>
      <c r="L65" s="300">
        <v>0</v>
      </c>
      <c r="M65" s="300">
        <v>0</v>
      </c>
      <c r="N65" s="300"/>
      <c r="O65" s="301"/>
      <c r="Q65" s="362">
        <f t="shared" si="1"/>
        <v>0</v>
      </c>
      <c r="R65" s="363">
        <f t="shared" si="2"/>
        <v>0</v>
      </c>
      <c r="S65" s="364">
        <f t="shared" si="3"/>
        <v>0</v>
      </c>
    </row>
    <row r="66" spans="2:19" x14ac:dyDescent="0.15">
      <c r="B66" s="131" t="s">
        <v>468</v>
      </c>
      <c r="C66" s="133" t="s">
        <v>4485</v>
      </c>
      <c r="D66" s="300">
        <v>0</v>
      </c>
      <c r="E66" s="300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130000</v>
      </c>
      <c r="K66" s="300">
        <v>0</v>
      </c>
      <c r="L66" s="300">
        <v>0</v>
      </c>
      <c r="M66" s="300">
        <v>0</v>
      </c>
      <c r="N66" s="300"/>
      <c r="O66" s="301"/>
      <c r="Q66" s="362">
        <f t="shared" si="1"/>
        <v>130000</v>
      </c>
      <c r="R66" s="363">
        <f t="shared" si="2"/>
        <v>5.7247477852271911E-3</v>
      </c>
      <c r="S66" s="364">
        <f t="shared" si="3"/>
        <v>10833.333333333334</v>
      </c>
    </row>
    <row r="67" spans="2:19" x14ac:dyDescent="0.15">
      <c r="B67" s="131" t="s">
        <v>469</v>
      </c>
      <c r="C67" s="95" t="s">
        <v>667</v>
      </c>
      <c r="D67" s="300">
        <v>0</v>
      </c>
      <c r="E67" s="300">
        <v>0</v>
      </c>
      <c r="F67" s="300">
        <v>0</v>
      </c>
      <c r="G67" s="300">
        <v>0</v>
      </c>
      <c r="H67" s="300">
        <v>0</v>
      </c>
      <c r="I67" s="300">
        <v>0</v>
      </c>
      <c r="J67" s="300">
        <v>0</v>
      </c>
      <c r="K67" s="300">
        <v>0</v>
      </c>
      <c r="L67" s="300">
        <v>0</v>
      </c>
      <c r="M67" s="300">
        <v>0</v>
      </c>
      <c r="N67" s="300"/>
      <c r="O67" s="301"/>
      <c r="Q67" s="362">
        <f t="shared" si="1"/>
        <v>0</v>
      </c>
      <c r="R67" s="363">
        <f t="shared" si="2"/>
        <v>0</v>
      </c>
      <c r="S67" s="364">
        <f t="shared" si="3"/>
        <v>0</v>
      </c>
    </row>
    <row r="68" spans="2:19" x14ac:dyDescent="0.15">
      <c r="B68" s="131" t="s">
        <v>470</v>
      </c>
      <c r="C68" s="95" t="s">
        <v>668</v>
      </c>
      <c r="D68" s="300">
        <v>0</v>
      </c>
      <c r="E68" s="300">
        <v>0</v>
      </c>
      <c r="F68" s="300">
        <v>0</v>
      </c>
      <c r="G68" s="300">
        <v>10000</v>
      </c>
      <c r="H68" s="300">
        <v>10000</v>
      </c>
      <c r="I68" s="300">
        <v>0</v>
      </c>
      <c r="J68" s="300">
        <v>390000</v>
      </c>
      <c r="K68" s="300">
        <v>0</v>
      </c>
      <c r="L68" s="300">
        <v>0</v>
      </c>
      <c r="M68" s="300">
        <v>0</v>
      </c>
      <c r="N68" s="300"/>
      <c r="O68" s="301"/>
      <c r="Q68" s="362">
        <f t="shared" si="1"/>
        <v>410000</v>
      </c>
      <c r="R68" s="363">
        <f t="shared" si="2"/>
        <v>1.8054973784178065E-2</v>
      </c>
      <c r="S68" s="364">
        <f t="shared" si="3"/>
        <v>34166.666666666664</v>
      </c>
    </row>
    <row r="69" spans="2:19" x14ac:dyDescent="0.15">
      <c r="B69" s="131" t="s">
        <v>471</v>
      </c>
      <c r="C69" s="95" t="s">
        <v>669</v>
      </c>
      <c r="D69" s="300">
        <v>0</v>
      </c>
      <c r="E69" s="300">
        <v>0</v>
      </c>
      <c r="F69" s="300">
        <v>0</v>
      </c>
      <c r="G69" s="300">
        <v>0</v>
      </c>
      <c r="H69" s="300">
        <v>0</v>
      </c>
      <c r="I69" s="300">
        <v>318000</v>
      </c>
      <c r="J69" s="300">
        <v>10000</v>
      </c>
      <c r="K69" s="300">
        <v>0</v>
      </c>
      <c r="L69" s="300">
        <v>0</v>
      </c>
      <c r="M69" s="300">
        <v>0</v>
      </c>
      <c r="N69" s="300"/>
      <c r="O69" s="301"/>
      <c r="Q69" s="362">
        <f t="shared" ref="Q69:Q132" si="4">SUM(D69:O69)</f>
        <v>328000</v>
      </c>
      <c r="R69" s="363">
        <f t="shared" si="2"/>
        <v>1.4443979027342452E-2</v>
      </c>
      <c r="S69" s="364">
        <f t="shared" si="3"/>
        <v>27333.333333333332</v>
      </c>
    </row>
    <row r="70" spans="2:19" x14ac:dyDescent="0.15">
      <c r="B70" s="131" t="s">
        <v>472</v>
      </c>
      <c r="C70" s="95" t="s">
        <v>670</v>
      </c>
      <c r="D70" s="300">
        <v>0</v>
      </c>
      <c r="E70" s="300">
        <v>0</v>
      </c>
      <c r="F70" s="300">
        <v>0</v>
      </c>
      <c r="G70" s="300">
        <v>0</v>
      </c>
      <c r="H70" s="300">
        <v>0</v>
      </c>
      <c r="I70" s="300">
        <v>0</v>
      </c>
      <c r="J70" s="300">
        <v>0</v>
      </c>
      <c r="K70" s="300">
        <v>0</v>
      </c>
      <c r="L70" s="300">
        <v>0</v>
      </c>
      <c r="M70" s="300">
        <v>0</v>
      </c>
      <c r="N70" s="300"/>
      <c r="O70" s="301"/>
      <c r="Q70" s="362">
        <f t="shared" si="4"/>
        <v>0</v>
      </c>
      <c r="R70" s="363">
        <f t="shared" ref="R70:R133" si="5">IF($Q$2="","",Q70/$Q$2)</f>
        <v>0</v>
      </c>
      <c r="S70" s="364">
        <f t="shared" ref="S70:S133" si="6">Q70/12</f>
        <v>0</v>
      </c>
    </row>
    <row r="71" spans="2:19" x14ac:dyDescent="0.15">
      <c r="B71" s="131" t="s">
        <v>473</v>
      </c>
      <c r="C71" s="95" t="s">
        <v>671</v>
      </c>
      <c r="D71" s="464">
        <v>0</v>
      </c>
      <c r="E71" s="464">
        <v>0</v>
      </c>
      <c r="F71" s="464">
        <v>169000</v>
      </c>
      <c r="G71" s="464">
        <v>0</v>
      </c>
      <c r="H71" s="464">
        <v>169000</v>
      </c>
      <c r="I71" s="464">
        <v>0</v>
      </c>
      <c r="J71" s="464">
        <v>0</v>
      </c>
      <c r="K71" s="464">
        <v>10000</v>
      </c>
      <c r="L71" s="464">
        <v>175500</v>
      </c>
      <c r="M71" s="464">
        <v>229000</v>
      </c>
      <c r="N71" s="464">
        <v>161000</v>
      </c>
      <c r="O71" s="465"/>
      <c r="P71" s="406"/>
      <c r="Q71" s="466">
        <f t="shared" si="4"/>
        <v>913500</v>
      </c>
      <c r="R71" s="467">
        <f t="shared" si="5"/>
        <v>4.0227362321577226E-2</v>
      </c>
      <c r="S71" s="468">
        <f t="shared" si="6"/>
        <v>76125</v>
      </c>
    </row>
    <row r="72" spans="2:19" x14ac:dyDescent="0.15">
      <c r="B72" s="131" t="s">
        <v>474</v>
      </c>
      <c r="C72" s="95" t="s">
        <v>674</v>
      </c>
      <c r="D72" s="464">
        <v>0</v>
      </c>
      <c r="E72" s="464">
        <v>0</v>
      </c>
      <c r="F72" s="464">
        <v>0</v>
      </c>
      <c r="G72" s="464">
        <v>0</v>
      </c>
      <c r="H72" s="464">
        <v>0</v>
      </c>
      <c r="I72" s="464">
        <v>0</v>
      </c>
      <c r="J72" s="464">
        <v>0</v>
      </c>
      <c r="K72" s="464">
        <v>0</v>
      </c>
      <c r="L72" s="464">
        <v>0</v>
      </c>
      <c r="M72" s="464">
        <v>0</v>
      </c>
      <c r="N72" s="464"/>
      <c r="O72" s="465"/>
      <c r="P72" s="406"/>
      <c r="Q72" s="466">
        <f t="shared" si="4"/>
        <v>0</v>
      </c>
      <c r="R72" s="467">
        <f t="shared" si="5"/>
        <v>0</v>
      </c>
      <c r="S72" s="468">
        <f t="shared" si="6"/>
        <v>0</v>
      </c>
    </row>
    <row r="73" spans="2:19" x14ac:dyDescent="0.15">
      <c r="B73" s="131" t="s">
        <v>475</v>
      </c>
      <c r="C73" s="95" t="s">
        <v>677</v>
      </c>
      <c r="D73" s="464">
        <v>0</v>
      </c>
      <c r="E73" s="464">
        <v>0</v>
      </c>
      <c r="F73" s="464">
        <v>0</v>
      </c>
      <c r="G73" s="464">
        <v>0</v>
      </c>
      <c r="H73" s="464">
        <v>0</v>
      </c>
      <c r="I73" s="464">
        <v>0</v>
      </c>
      <c r="J73" s="464">
        <v>130000</v>
      </c>
      <c r="K73" s="464">
        <v>0</v>
      </c>
      <c r="L73" s="464">
        <v>0</v>
      </c>
      <c r="M73" s="464">
        <v>185250</v>
      </c>
      <c r="N73" s="464"/>
      <c r="O73" s="465"/>
      <c r="P73" s="406"/>
      <c r="Q73" s="466">
        <f t="shared" si="4"/>
        <v>315250</v>
      </c>
      <c r="R73" s="467">
        <f t="shared" si="5"/>
        <v>1.388251337917594E-2</v>
      </c>
      <c r="S73" s="468">
        <f t="shared" si="6"/>
        <v>26270.833333333332</v>
      </c>
    </row>
    <row r="74" spans="2:19" x14ac:dyDescent="0.15">
      <c r="B74" s="131" t="s">
        <v>476</v>
      </c>
      <c r="C74" s="95" t="s">
        <v>680</v>
      </c>
      <c r="D74" s="464">
        <v>0</v>
      </c>
      <c r="E74" s="464">
        <v>0</v>
      </c>
      <c r="F74" s="464">
        <v>0</v>
      </c>
      <c r="G74" s="464">
        <v>0</v>
      </c>
      <c r="H74" s="464">
        <v>0</v>
      </c>
      <c r="I74" s="464">
        <v>0</v>
      </c>
      <c r="J74" s="464">
        <v>0</v>
      </c>
      <c r="K74" s="464">
        <v>0</v>
      </c>
      <c r="L74" s="464">
        <v>0</v>
      </c>
      <c r="M74" s="464">
        <v>0</v>
      </c>
      <c r="N74" s="464"/>
      <c r="O74" s="465"/>
      <c r="P74" s="406"/>
      <c r="Q74" s="466">
        <f t="shared" si="4"/>
        <v>0</v>
      </c>
      <c r="R74" s="467">
        <f t="shared" si="5"/>
        <v>0</v>
      </c>
      <c r="S74" s="468">
        <f t="shared" si="6"/>
        <v>0</v>
      </c>
    </row>
    <row r="75" spans="2:19" x14ac:dyDescent="0.15">
      <c r="B75" s="131" t="s">
        <v>477</v>
      </c>
      <c r="C75" s="95" t="s">
        <v>886</v>
      </c>
      <c r="D75" s="464">
        <v>0</v>
      </c>
      <c r="E75" s="464">
        <v>0</v>
      </c>
      <c r="F75" s="464">
        <v>0</v>
      </c>
      <c r="G75" s="464">
        <v>0</v>
      </c>
      <c r="H75" s="464">
        <v>0</v>
      </c>
      <c r="I75" s="464">
        <v>130000</v>
      </c>
      <c r="J75" s="464">
        <v>0</v>
      </c>
      <c r="K75" s="464">
        <v>0</v>
      </c>
      <c r="L75" s="464">
        <v>0</v>
      </c>
      <c r="M75" s="464">
        <v>299000</v>
      </c>
      <c r="N75" s="464"/>
      <c r="O75" s="465"/>
      <c r="P75" s="406"/>
      <c r="Q75" s="466">
        <f t="shared" si="4"/>
        <v>429000</v>
      </c>
      <c r="R75" s="467">
        <f t="shared" si="5"/>
        <v>1.8891667691249732E-2</v>
      </c>
      <c r="S75" s="468">
        <f t="shared" si="6"/>
        <v>35750</v>
      </c>
    </row>
    <row r="76" spans="2:19" x14ac:dyDescent="0.15">
      <c r="B76" s="131" t="s">
        <v>478</v>
      </c>
      <c r="C76" s="134" t="s">
        <v>848</v>
      </c>
      <c r="D76" s="464">
        <v>0</v>
      </c>
      <c r="E76" s="464">
        <v>0</v>
      </c>
      <c r="F76" s="464">
        <v>0</v>
      </c>
      <c r="G76" s="464">
        <v>0</v>
      </c>
      <c r="H76" s="464">
        <v>0</v>
      </c>
      <c r="I76" s="464">
        <v>0</v>
      </c>
      <c r="J76" s="464">
        <v>0</v>
      </c>
      <c r="K76" s="464">
        <v>0</v>
      </c>
      <c r="L76" s="464">
        <v>0</v>
      </c>
      <c r="M76" s="464">
        <v>0</v>
      </c>
      <c r="N76" s="464">
        <v>10000</v>
      </c>
      <c r="O76" s="465"/>
      <c r="P76" s="406"/>
      <c r="Q76" s="466">
        <f t="shared" si="4"/>
        <v>10000</v>
      </c>
      <c r="R76" s="467">
        <f t="shared" si="5"/>
        <v>4.4036521424824552E-4</v>
      </c>
      <c r="S76" s="468">
        <f t="shared" si="6"/>
        <v>833.33333333333337</v>
      </c>
    </row>
    <row r="77" spans="2:19" x14ac:dyDescent="0.15">
      <c r="B77" s="131" t="s">
        <v>479</v>
      </c>
      <c r="C77" s="134" t="s">
        <v>889</v>
      </c>
      <c r="D77" s="464">
        <v>0</v>
      </c>
      <c r="E77" s="464">
        <v>0</v>
      </c>
      <c r="F77" s="464">
        <v>0</v>
      </c>
      <c r="G77" s="464">
        <v>0</v>
      </c>
      <c r="H77" s="464">
        <v>0</v>
      </c>
      <c r="I77" s="464">
        <v>260000</v>
      </c>
      <c r="J77" s="464">
        <v>0</v>
      </c>
      <c r="K77" s="464">
        <v>0</v>
      </c>
      <c r="L77" s="464">
        <v>0</v>
      </c>
      <c r="M77" s="464">
        <v>0</v>
      </c>
      <c r="N77" s="464"/>
      <c r="O77" s="465"/>
      <c r="P77" s="406"/>
      <c r="Q77" s="466">
        <f t="shared" si="4"/>
        <v>260000</v>
      </c>
      <c r="R77" s="467">
        <f t="shared" si="5"/>
        <v>1.1449495570454382E-2</v>
      </c>
      <c r="S77" s="468">
        <f t="shared" si="6"/>
        <v>21666.666666666668</v>
      </c>
    </row>
    <row r="78" spans="2:19" x14ac:dyDescent="0.15">
      <c r="B78" s="131" t="s">
        <v>480</v>
      </c>
      <c r="C78" s="134" t="s">
        <v>914</v>
      </c>
      <c r="D78" s="545">
        <v>0</v>
      </c>
      <c r="E78" s="545">
        <v>0</v>
      </c>
      <c r="F78" s="545">
        <v>0</v>
      </c>
      <c r="G78" s="545">
        <v>0</v>
      </c>
      <c r="H78" s="545">
        <v>0</v>
      </c>
      <c r="I78" s="545">
        <v>0</v>
      </c>
      <c r="J78" s="545">
        <v>0</v>
      </c>
      <c r="K78" s="545">
        <v>0</v>
      </c>
      <c r="L78" s="545">
        <v>0</v>
      </c>
      <c r="M78" s="545">
        <v>0</v>
      </c>
      <c r="N78" s="545"/>
      <c r="O78" s="546"/>
      <c r="P78" s="56"/>
      <c r="Q78" s="547">
        <f t="shared" si="4"/>
        <v>0</v>
      </c>
      <c r="R78" s="548">
        <f t="shared" si="5"/>
        <v>0</v>
      </c>
      <c r="S78" s="549">
        <f t="shared" si="6"/>
        <v>0</v>
      </c>
    </row>
    <row r="79" spans="2:19" x14ac:dyDescent="0.15">
      <c r="B79" s="131" t="s">
        <v>481</v>
      </c>
      <c r="C79" s="134" t="s">
        <v>917</v>
      </c>
      <c r="D79" s="300">
        <v>0</v>
      </c>
      <c r="E79" s="300">
        <v>0</v>
      </c>
      <c r="F79" s="300">
        <v>0</v>
      </c>
      <c r="G79" s="300">
        <v>0</v>
      </c>
      <c r="H79" s="300">
        <v>0</v>
      </c>
      <c r="I79" s="300">
        <v>0</v>
      </c>
      <c r="J79" s="300">
        <v>0</v>
      </c>
      <c r="K79" s="300">
        <v>0</v>
      </c>
      <c r="L79" s="300">
        <v>0</v>
      </c>
      <c r="M79" s="300">
        <v>0</v>
      </c>
      <c r="N79" s="300"/>
      <c r="O79" s="301"/>
      <c r="Q79" s="362">
        <f t="shared" si="4"/>
        <v>0</v>
      </c>
      <c r="R79" s="363">
        <f t="shared" si="5"/>
        <v>0</v>
      </c>
      <c r="S79" s="364">
        <f t="shared" si="6"/>
        <v>0</v>
      </c>
    </row>
    <row r="80" spans="2:19" x14ac:dyDescent="0.15">
      <c r="B80" s="131" t="s">
        <v>482</v>
      </c>
      <c r="C80" s="134" t="s">
        <v>920</v>
      </c>
      <c r="D80" s="300">
        <v>484000</v>
      </c>
      <c r="E80" s="300">
        <v>0</v>
      </c>
      <c r="F80" s="300">
        <v>0</v>
      </c>
      <c r="G80" s="300">
        <v>0</v>
      </c>
      <c r="H80" s="300">
        <v>0</v>
      </c>
      <c r="I80" s="300">
        <v>0</v>
      </c>
      <c r="J80" s="300">
        <v>0</v>
      </c>
      <c r="K80" s="300">
        <v>0</v>
      </c>
      <c r="L80" s="300">
        <v>0</v>
      </c>
      <c r="M80" s="300">
        <v>0</v>
      </c>
      <c r="N80" s="300"/>
      <c r="O80" s="301"/>
      <c r="Q80" s="362">
        <f t="shared" si="4"/>
        <v>484000</v>
      </c>
      <c r="R80" s="363">
        <f t="shared" si="5"/>
        <v>2.1313676369615082E-2</v>
      </c>
      <c r="S80" s="364">
        <f t="shared" si="6"/>
        <v>40333.333333333336</v>
      </c>
    </row>
    <row r="81" spans="2:19" x14ac:dyDescent="0.15">
      <c r="B81" s="131" t="s">
        <v>483</v>
      </c>
      <c r="C81" s="134" t="s">
        <v>923</v>
      </c>
      <c r="D81" s="300">
        <v>0</v>
      </c>
      <c r="E81" s="300">
        <v>0</v>
      </c>
      <c r="F81" s="300">
        <v>0</v>
      </c>
      <c r="G81" s="300">
        <v>0</v>
      </c>
      <c r="H81" s="300">
        <v>0</v>
      </c>
      <c r="I81" s="300">
        <v>0</v>
      </c>
      <c r="J81" s="300">
        <v>0</v>
      </c>
      <c r="K81" s="300">
        <v>0</v>
      </c>
      <c r="L81" s="300">
        <v>0</v>
      </c>
      <c r="M81" s="300">
        <v>0</v>
      </c>
      <c r="N81" s="300"/>
      <c r="O81" s="301"/>
      <c r="Q81" s="362">
        <f t="shared" si="4"/>
        <v>0</v>
      </c>
      <c r="R81" s="363">
        <f t="shared" si="5"/>
        <v>0</v>
      </c>
      <c r="S81" s="364">
        <f t="shared" si="6"/>
        <v>0</v>
      </c>
    </row>
    <row r="82" spans="2:19" x14ac:dyDescent="0.15">
      <c r="B82" s="131" t="s">
        <v>484</v>
      </c>
      <c r="C82" s="134" t="s">
        <v>926</v>
      </c>
      <c r="D82" s="464">
        <v>169000</v>
      </c>
      <c r="E82" s="464">
        <v>0</v>
      </c>
      <c r="F82" s="464">
        <v>0</v>
      </c>
      <c r="G82" s="464">
        <v>0</v>
      </c>
      <c r="H82" s="464">
        <v>0</v>
      </c>
      <c r="I82" s="464">
        <v>0</v>
      </c>
      <c r="J82" s="464">
        <v>0</v>
      </c>
      <c r="K82" s="464">
        <v>0</v>
      </c>
      <c r="L82" s="464">
        <v>0</v>
      </c>
      <c r="M82" s="464">
        <v>0</v>
      </c>
      <c r="N82" s="464"/>
      <c r="O82" s="465"/>
      <c r="P82" s="406"/>
      <c r="Q82" s="466">
        <f t="shared" si="4"/>
        <v>169000</v>
      </c>
      <c r="R82" s="467">
        <f t="shared" si="5"/>
        <v>7.4421721207953489E-3</v>
      </c>
      <c r="S82" s="468">
        <f t="shared" si="6"/>
        <v>14083.333333333334</v>
      </c>
    </row>
    <row r="83" spans="2:19" x14ac:dyDescent="0.15">
      <c r="B83" s="131" t="s">
        <v>485</v>
      </c>
      <c r="C83" s="134" t="s">
        <v>929</v>
      </c>
      <c r="D83" s="464">
        <v>0</v>
      </c>
      <c r="E83" s="464">
        <v>0</v>
      </c>
      <c r="F83" s="464">
        <v>0</v>
      </c>
      <c r="G83" s="464">
        <v>0</v>
      </c>
      <c r="H83" s="464">
        <v>0</v>
      </c>
      <c r="I83" s="464">
        <v>0</v>
      </c>
      <c r="J83" s="464">
        <v>0</v>
      </c>
      <c r="K83" s="464">
        <v>0</v>
      </c>
      <c r="L83" s="464">
        <v>0</v>
      </c>
      <c r="M83" s="464">
        <v>0</v>
      </c>
      <c r="N83" s="464"/>
      <c r="O83" s="465"/>
      <c r="P83" s="406"/>
      <c r="Q83" s="466">
        <f t="shared" si="4"/>
        <v>0</v>
      </c>
      <c r="R83" s="467">
        <f t="shared" si="5"/>
        <v>0</v>
      </c>
      <c r="S83" s="468">
        <f t="shared" si="6"/>
        <v>0</v>
      </c>
    </row>
    <row r="84" spans="2:19" x14ac:dyDescent="0.15">
      <c r="B84" s="131" t="s">
        <v>486</v>
      </c>
      <c r="C84" s="134" t="s">
        <v>932</v>
      </c>
      <c r="D84" s="464">
        <v>0</v>
      </c>
      <c r="E84" s="464">
        <v>0</v>
      </c>
      <c r="F84" s="464">
        <v>0</v>
      </c>
      <c r="G84" s="464">
        <v>0</v>
      </c>
      <c r="H84" s="464">
        <v>0</v>
      </c>
      <c r="I84" s="464">
        <v>0</v>
      </c>
      <c r="J84" s="464">
        <v>0</v>
      </c>
      <c r="K84" s="464">
        <v>0</v>
      </c>
      <c r="L84" s="464">
        <v>0</v>
      </c>
      <c r="M84" s="464">
        <v>0</v>
      </c>
      <c r="N84" s="464"/>
      <c r="O84" s="465"/>
      <c r="P84" s="406"/>
      <c r="Q84" s="466">
        <f t="shared" si="4"/>
        <v>0</v>
      </c>
      <c r="R84" s="467">
        <f t="shared" si="5"/>
        <v>0</v>
      </c>
      <c r="S84" s="468">
        <f t="shared" si="6"/>
        <v>0</v>
      </c>
    </row>
    <row r="85" spans="2:19" x14ac:dyDescent="0.15">
      <c r="B85" s="131" t="s">
        <v>487</v>
      </c>
      <c r="C85" s="134" t="s">
        <v>2131</v>
      </c>
      <c r="D85" s="464">
        <v>0</v>
      </c>
      <c r="E85" s="464">
        <v>0</v>
      </c>
      <c r="F85" s="464">
        <v>0</v>
      </c>
      <c r="G85" s="464">
        <v>0</v>
      </c>
      <c r="H85" s="464">
        <v>0</v>
      </c>
      <c r="I85" s="464">
        <v>0</v>
      </c>
      <c r="J85" s="464">
        <v>0</v>
      </c>
      <c r="K85" s="464">
        <v>0</v>
      </c>
      <c r="L85" s="464">
        <v>0</v>
      </c>
      <c r="M85" s="464">
        <v>510000</v>
      </c>
      <c r="N85" s="464"/>
      <c r="O85" s="465">
        <v>196800</v>
      </c>
      <c r="P85" s="406"/>
      <c r="Q85" s="466">
        <f t="shared" si="4"/>
        <v>706800</v>
      </c>
      <c r="R85" s="467">
        <f t="shared" si="5"/>
        <v>3.1125013343065992E-2</v>
      </c>
      <c r="S85" s="468">
        <f t="shared" si="6"/>
        <v>58900</v>
      </c>
    </row>
    <row r="86" spans="2:19" x14ac:dyDescent="0.15">
      <c r="B86" s="131" t="s">
        <v>488</v>
      </c>
      <c r="C86" s="134" t="s">
        <v>936</v>
      </c>
      <c r="D86" s="464">
        <v>0</v>
      </c>
      <c r="E86" s="464">
        <v>0</v>
      </c>
      <c r="F86" s="464">
        <v>0</v>
      </c>
      <c r="G86" s="464">
        <v>0</v>
      </c>
      <c r="H86" s="464">
        <v>0</v>
      </c>
      <c r="I86" s="464">
        <v>0</v>
      </c>
      <c r="J86" s="464">
        <v>0</v>
      </c>
      <c r="K86" s="464">
        <v>0</v>
      </c>
      <c r="L86" s="464">
        <v>0</v>
      </c>
      <c r="M86" s="464">
        <v>0</v>
      </c>
      <c r="N86" s="464"/>
      <c r="O86" s="465"/>
      <c r="P86" s="406"/>
      <c r="Q86" s="466">
        <f t="shared" si="4"/>
        <v>0</v>
      </c>
      <c r="R86" s="467">
        <f t="shared" si="5"/>
        <v>0</v>
      </c>
      <c r="S86" s="468">
        <f t="shared" si="6"/>
        <v>0</v>
      </c>
    </row>
    <row r="87" spans="2:19" x14ac:dyDescent="0.15">
      <c r="B87" s="131" t="s">
        <v>489</v>
      </c>
      <c r="C87" s="134" t="s">
        <v>939</v>
      </c>
      <c r="D87" s="464">
        <v>0</v>
      </c>
      <c r="E87" s="464">
        <v>0</v>
      </c>
      <c r="F87" s="464">
        <v>0</v>
      </c>
      <c r="G87" s="464">
        <v>0</v>
      </c>
      <c r="H87" s="464">
        <v>0</v>
      </c>
      <c r="I87" s="464">
        <v>0</v>
      </c>
      <c r="J87" s="464">
        <v>0</v>
      </c>
      <c r="K87" s="464">
        <v>0</v>
      </c>
      <c r="L87" s="464">
        <v>0</v>
      </c>
      <c r="M87" s="464">
        <v>0</v>
      </c>
      <c r="N87" s="464"/>
      <c r="O87" s="465"/>
      <c r="P87" s="406"/>
      <c r="Q87" s="466">
        <f t="shared" si="4"/>
        <v>0</v>
      </c>
      <c r="R87" s="467">
        <f t="shared" si="5"/>
        <v>0</v>
      </c>
      <c r="S87" s="468">
        <f t="shared" si="6"/>
        <v>0</v>
      </c>
    </row>
    <row r="88" spans="2:19" x14ac:dyDescent="0.15">
      <c r="B88" s="131" t="s">
        <v>490</v>
      </c>
      <c r="C88" s="134" t="s">
        <v>945</v>
      </c>
      <c r="D88" s="464">
        <v>0</v>
      </c>
      <c r="E88" s="464">
        <v>0</v>
      </c>
      <c r="F88" s="464">
        <v>0</v>
      </c>
      <c r="G88" s="464">
        <v>0</v>
      </c>
      <c r="H88" s="464">
        <v>0</v>
      </c>
      <c r="I88" s="464">
        <v>0</v>
      </c>
      <c r="J88" s="464">
        <v>0</v>
      </c>
      <c r="K88" s="464">
        <v>0</v>
      </c>
      <c r="L88" s="464">
        <v>0</v>
      </c>
      <c r="M88" s="464">
        <v>0</v>
      </c>
      <c r="N88" s="464"/>
      <c r="O88" s="465"/>
      <c r="P88" s="406"/>
      <c r="Q88" s="466">
        <f t="shared" si="4"/>
        <v>0</v>
      </c>
      <c r="R88" s="467">
        <f t="shared" si="5"/>
        <v>0</v>
      </c>
      <c r="S88" s="468">
        <f t="shared" si="6"/>
        <v>0</v>
      </c>
    </row>
    <row r="89" spans="2:19" x14ac:dyDescent="0.15">
      <c r="B89" s="131" t="s">
        <v>491</v>
      </c>
      <c r="C89" s="134" t="s">
        <v>948</v>
      </c>
      <c r="D89" s="464">
        <v>0</v>
      </c>
      <c r="E89" s="464">
        <v>0</v>
      </c>
      <c r="F89" s="464">
        <v>0</v>
      </c>
      <c r="G89" s="464">
        <v>0</v>
      </c>
      <c r="H89" s="464">
        <v>0</v>
      </c>
      <c r="I89" s="464">
        <v>0</v>
      </c>
      <c r="J89" s="464">
        <v>0</v>
      </c>
      <c r="K89" s="464">
        <v>0</v>
      </c>
      <c r="L89" s="464">
        <v>0</v>
      </c>
      <c r="M89" s="464">
        <v>0</v>
      </c>
      <c r="N89" s="464"/>
      <c r="O89" s="465"/>
      <c r="P89" s="406"/>
      <c r="Q89" s="466">
        <f t="shared" si="4"/>
        <v>0</v>
      </c>
      <c r="R89" s="467">
        <f t="shared" si="5"/>
        <v>0</v>
      </c>
      <c r="S89" s="468">
        <f t="shared" si="6"/>
        <v>0</v>
      </c>
    </row>
    <row r="90" spans="2:19" x14ac:dyDescent="0.15">
      <c r="B90" s="131" t="s">
        <v>1527</v>
      </c>
      <c r="C90" s="134" t="s">
        <v>203</v>
      </c>
      <c r="D90" s="464">
        <v>297000</v>
      </c>
      <c r="E90" s="464">
        <v>0</v>
      </c>
      <c r="F90" s="464">
        <v>318000</v>
      </c>
      <c r="G90" s="464">
        <v>0</v>
      </c>
      <c r="H90" s="464">
        <v>0</v>
      </c>
      <c r="I90" s="464">
        <v>0</v>
      </c>
      <c r="J90" s="464">
        <v>0</v>
      </c>
      <c r="K90" s="464">
        <v>0</v>
      </c>
      <c r="L90" s="464">
        <v>0</v>
      </c>
      <c r="M90" s="464">
        <v>0</v>
      </c>
      <c r="N90" s="464"/>
      <c r="O90" s="465"/>
      <c r="P90" s="406"/>
      <c r="Q90" s="466">
        <f t="shared" si="4"/>
        <v>615000</v>
      </c>
      <c r="R90" s="467">
        <f t="shared" si="5"/>
        <v>2.7082460676267097E-2</v>
      </c>
      <c r="S90" s="468">
        <f t="shared" si="6"/>
        <v>51250</v>
      </c>
    </row>
    <row r="91" spans="2:19" x14ac:dyDescent="0.15">
      <c r="B91" s="131" t="s">
        <v>493</v>
      </c>
      <c r="C91" s="95" t="s">
        <v>970</v>
      </c>
      <c r="D91" s="464">
        <v>0</v>
      </c>
      <c r="E91" s="464">
        <v>0</v>
      </c>
      <c r="F91" s="464">
        <v>0</v>
      </c>
      <c r="G91" s="464">
        <v>0</v>
      </c>
      <c r="H91" s="464">
        <v>5000</v>
      </c>
      <c r="I91" s="464">
        <v>673350</v>
      </c>
      <c r="J91" s="464">
        <v>162000</v>
      </c>
      <c r="K91" s="464">
        <v>0</v>
      </c>
      <c r="L91" s="464">
        <v>798000</v>
      </c>
      <c r="M91" s="464">
        <v>0</v>
      </c>
      <c r="N91" s="464">
        <v>342000</v>
      </c>
      <c r="O91" s="465">
        <v>258000</v>
      </c>
      <c r="P91" s="406"/>
      <c r="Q91" s="466">
        <f t="shared" si="4"/>
        <v>2238350</v>
      </c>
      <c r="R91" s="467">
        <f t="shared" si="5"/>
        <v>9.8569147731256038E-2</v>
      </c>
      <c r="S91" s="468">
        <f t="shared" si="6"/>
        <v>186529.16666666666</v>
      </c>
    </row>
    <row r="92" spans="2:19" x14ac:dyDescent="0.15">
      <c r="B92" s="131" t="s">
        <v>494</v>
      </c>
      <c r="C92" s="95" t="s">
        <v>969</v>
      </c>
      <c r="D92" s="464">
        <v>0</v>
      </c>
      <c r="E92" s="464">
        <v>0</v>
      </c>
      <c r="F92" s="464">
        <v>0</v>
      </c>
      <c r="G92" s="464">
        <v>0</v>
      </c>
      <c r="H92" s="464">
        <v>0</v>
      </c>
      <c r="I92" s="464">
        <v>0</v>
      </c>
      <c r="J92" s="464">
        <v>0</v>
      </c>
      <c r="K92" s="464">
        <v>0</v>
      </c>
      <c r="L92" s="464">
        <v>0</v>
      </c>
      <c r="M92" s="464">
        <v>0</v>
      </c>
      <c r="N92" s="464"/>
      <c r="O92" s="465"/>
      <c r="P92" s="406"/>
      <c r="Q92" s="466">
        <f t="shared" si="4"/>
        <v>0</v>
      </c>
      <c r="R92" s="467">
        <f t="shared" si="5"/>
        <v>0</v>
      </c>
      <c r="S92" s="468">
        <f t="shared" si="6"/>
        <v>0</v>
      </c>
    </row>
    <row r="93" spans="2:19" x14ac:dyDescent="0.15">
      <c r="B93" s="131" t="s">
        <v>495</v>
      </c>
      <c r="C93" s="95" t="s">
        <v>968</v>
      </c>
      <c r="D93" s="464">
        <v>0</v>
      </c>
      <c r="E93" s="464">
        <v>0</v>
      </c>
      <c r="F93" s="464">
        <v>0</v>
      </c>
      <c r="G93" s="464">
        <v>0</v>
      </c>
      <c r="H93" s="464">
        <v>0</v>
      </c>
      <c r="I93" s="464">
        <v>0</v>
      </c>
      <c r="J93" s="464">
        <v>0</v>
      </c>
      <c r="K93" s="464">
        <v>0</v>
      </c>
      <c r="L93" s="464">
        <v>0</v>
      </c>
      <c r="M93" s="464">
        <v>0</v>
      </c>
      <c r="N93" s="464">
        <v>18200</v>
      </c>
      <c r="O93" s="465"/>
      <c r="P93" s="406"/>
      <c r="Q93" s="466">
        <f t="shared" si="4"/>
        <v>18200</v>
      </c>
      <c r="R93" s="467">
        <f t="shared" si="5"/>
        <v>8.0146468993180678E-4</v>
      </c>
      <c r="S93" s="468">
        <f t="shared" si="6"/>
        <v>1516.6666666666667</v>
      </c>
    </row>
    <row r="94" spans="2:19" x14ac:dyDescent="0.15">
      <c r="B94" s="131" t="s">
        <v>496</v>
      </c>
      <c r="C94" s="95" t="s">
        <v>967</v>
      </c>
      <c r="D94" s="464">
        <v>0</v>
      </c>
      <c r="E94" s="464">
        <v>0</v>
      </c>
      <c r="F94" s="464">
        <v>0</v>
      </c>
      <c r="G94" s="464">
        <v>0</v>
      </c>
      <c r="H94" s="464">
        <v>0</v>
      </c>
      <c r="I94" s="464">
        <v>0</v>
      </c>
      <c r="J94" s="464">
        <v>0</v>
      </c>
      <c r="K94" s="464">
        <v>0</v>
      </c>
      <c r="L94" s="464">
        <v>0</v>
      </c>
      <c r="M94" s="464">
        <v>0</v>
      </c>
      <c r="N94" s="464"/>
      <c r="O94" s="465"/>
      <c r="P94" s="406"/>
      <c r="Q94" s="466">
        <f t="shared" si="4"/>
        <v>0</v>
      </c>
      <c r="R94" s="467">
        <f t="shared" si="5"/>
        <v>0</v>
      </c>
      <c r="S94" s="468">
        <f t="shared" si="6"/>
        <v>0</v>
      </c>
    </row>
    <row r="95" spans="2:19" x14ac:dyDescent="0.15">
      <c r="B95" s="131" t="s">
        <v>497</v>
      </c>
      <c r="C95" s="95" t="s">
        <v>966</v>
      </c>
      <c r="D95" s="464">
        <v>0</v>
      </c>
      <c r="E95" s="464">
        <v>0</v>
      </c>
      <c r="F95" s="464">
        <v>0</v>
      </c>
      <c r="G95" s="464">
        <v>0</v>
      </c>
      <c r="H95" s="464">
        <v>0</v>
      </c>
      <c r="I95" s="464">
        <v>0</v>
      </c>
      <c r="J95" s="464">
        <v>0</v>
      </c>
      <c r="K95" s="464">
        <v>0</v>
      </c>
      <c r="L95" s="464">
        <v>0</v>
      </c>
      <c r="M95" s="464">
        <v>0</v>
      </c>
      <c r="N95" s="464"/>
      <c r="O95" s="465"/>
      <c r="P95" s="406"/>
      <c r="Q95" s="466">
        <f t="shared" si="4"/>
        <v>0</v>
      </c>
      <c r="R95" s="467">
        <f t="shared" si="5"/>
        <v>0</v>
      </c>
      <c r="S95" s="468">
        <f t="shared" si="6"/>
        <v>0</v>
      </c>
    </row>
    <row r="96" spans="2:19" x14ac:dyDescent="0.15">
      <c r="B96" s="131" t="s">
        <v>498</v>
      </c>
      <c r="C96" s="95" t="s">
        <v>965</v>
      </c>
      <c r="D96" s="464">
        <v>0</v>
      </c>
      <c r="E96" s="464">
        <v>0</v>
      </c>
      <c r="F96" s="464">
        <v>0</v>
      </c>
      <c r="G96" s="464">
        <v>0</v>
      </c>
      <c r="H96" s="464">
        <v>0</v>
      </c>
      <c r="I96" s="464">
        <v>0</v>
      </c>
      <c r="J96" s="464">
        <v>0</v>
      </c>
      <c r="K96" s="464">
        <v>0</v>
      </c>
      <c r="L96" s="464">
        <v>0</v>
      </c>
      <c r="M96" s="464">
        <v>0</v>
      </c>
      <c r="N96" s="464"/>
      <c r="O96" s="465"/>
      <c r="P96" s="406"/>
      <c r="Q96" s="466">
        <f t="shared" si="4"/>
        <v>0</v>
      </c>
      <c r="R96" s="467">
        <f t="shared" si="5"/>
        <v>0</v>
      </c>
      <c r="S96" s="468">
        <f t="shared" si="6"/>
        <v>0</v>
      </c>
    </row>
    <row r="97" spans="2:19" x14ac:dyDescent="0.15">
      <c r="B97" s="131" t="s">
        <v>499</v>
      </c>
      <c r="C97" s="95" t="s">
        <v>972</v>
      </c>
      <c r="D97" s="464">
        <v>0</v>
      </c>
      <c r="E97" s="464">
        <v>0</v>
      </c>
      <c r="F97" s="464">
        <v>0</v>
      </c>
      <c r="G97" s="464">
        <v>0</v>
      </c>
      <c r="H97" s="464">
        <v>0</v>
      </c>
      <c r="I97" s="464">
        <v>0</v>
      </c>
      <c r="J97" s="464">
        <v>0</v>
      </c>
      <c r="K97" s="464">
        <v>0</v>
      </c>
      <c r="L97" s="464">
        <v>0</v>
      </c>
      <c r="M97" s="464">
        <v>0</v>
      </c>
      <c r="N97" s="464"/>
      <c r="O97" s="465"/>
      <c r="P97" s="406"/>
      <c r="Q97" s="466">
        <f t="shared" si="4"/>
        <v>0</v>
      </c>
      <c r="R97" s="467">
        <f t="shared" si="5"/>
        <v>0</v>
      </c>
      <c r="S97" s="468">
        <f t="shared" si="6"/>
        <v>0</v>
      </c>
    </row>
    <row r="98" spans="2:19" x14ac:dyDescent="0.15">
      <c r="B98" s="131" t="s">
        <v>500</v>
      </c>
      <c r="C98" s="95" t="s">
        <v>975</v>
      </c>
      <c r="D98" s="464">
        <v>0</v>
      </c>
      <c r="E98" s="464">
        <v>0</v>
      </c>
      <c r="F98" s="464">
        <v>0</v>
      </c>
      <c r="G98" s="464">
        <v>175500</v>
      </c>
      <c r="H98" s="464">
        <v>0</v>
      </c>
      <c r="I98" s="464">
        <v>0</v>
      </c>
      <c r="J98" s="464">
        <v>0</v>
      </c>
      <c r="K98" s="464">
        <v>0</v>
      </c>
      <c r="L98" s="464">
        <v>0</v>
      </c>
      <c r="M98" s="464">
        <v>0</v>
      </c>
      <c r="N98" s="464"/>
      <c r="O98" s="465"/>
      <c r="P98" s="406"/>
      <c r="Q98" s="466">
        <f t="shared" si="4"/>
        <v>175500</v>
      </c>
      <c r="R98" s="467">
        <f t="shared" si="5"/>
        <v>7.7284095100567081E-3</v>
      </c>
      <c r="S98" s="468">
        <f t="shared" si="6"/>
        <v>14625</v>
      </c>
    </row>
    <row r="99" spans="2:19" x14ac:dyDescent="0.15">
      <c r="B99" s="131" t="s">
        <v>501</v>
      </c>
      <c r="C99" s="95" t="s">
        <v>978</v>
      </c>
      <c r="D99" s="464">
        <v>0</v>
      </c>
      <c r="E99" s="464">
        <v>0</v>
      </c>
      <c r="F99" s="464">
        <v>0</v>
      </c>
      <c r="G99" s="464">
        <v>0</v>
      </c>
      <c r="H99" s="464">
        <v>0</v>
      </c>
      <c r="I99" s="464">
        <v>0</v>
      </c>
      <c r="J99" s="464">
        <v>0</v>
      </c>
      <c r="K99" s="464">
        <v>0</v>
      </c>
      <c r="L99" s="464">
        <v>0</v>
      </c>
      <c r="M99" s="464">
        <v>0</v>
      </c>
      <c r="N99" s="464"/>
      <c r="O99" s="465"/>
      <c r="P99" s="406"/>
      <c r="Q99" s="466">
        <f t="shared" si="4"/>
        <v>0</v>
      </c>
      <c r="R99" s="467">
        <f t="shared" si="5"/>
        <v>0</v>
      </c>
      <c r="S99" s="468">
        <f t="shared" si="6"/>
        <v>0</v>
      </c>
    </row>
    <row r="100" spans="2:19" x14ac:dyDescent="0.15">
      <c r="B100" s="131" t="s">
        <v>502</v>
      </c>
      <c r="C100" s="95" t="s">
        <v>981</v>
      </c>
      <c r="D100" s="464">
        <v>0</v>
      </c>
      <c r="E100" s="464">
        <v>0</v>
      </c>
      <c r="F100" s="464">
        <v>0</v>
      </c>
      <c r="G100" s="464">
        <v>0</v>
      </c>
      <c r="H100" s="464">
        <v>0</v>
      </c>
      <c r="I100" s="464">
        <v>0</v>
      </c>
      <c r="J100" s="464">
        <v>0</v>
      </c>
      <c r="K100" s="464">
        <v>0</v>
      </c>
      <c r="L100" s="464">
        <v>0</v>
      </c>
      <c r="M100" s="464">
        <v>0</v>
      </c>
      <c r="N100" s="464"/>
      <c r="O100" s="465"/>
      <c r="P100" s="406"/>
      <c r="Q100" s="466">
        <f t="shared" si="4"/>
        <v>0</v>
      </c>
      <c r="R100" s="467">
        <f t="shared" si="5"/>
        <v>0</v>
      </c>
      <c r="S100" s="468">
        <f t="shared" si="6"/>
        <v>0</v>
      </c>
    </row>
    <row r="101" spans="2:19" x14ac:dyDescent="0.15">
      <c r="B101" s="131" t="s">
        <v>503</v>
      </c>
      <c r="C101" s="133" t="s">
        <v>984</v>
      </c>
      <c r="D101" s="464">
        <v>0</v>
      </c>
      <c r="E101" s="464">
        <v>0</v>
      </c>
      <c r="F101" s="464">
        <v>0</v>
      </c>
      <c r="G101" s="464">
        <v>0</v>
      </c>
      <c r="H101" s="464">
        <v>0</v>
      </c>
      <c r="I101" s="464">
        <v>0</v>
      </c>
      <c r="J101" s="464">
        <v>0</v>
      </c>
      <c r="K101" s="464">
        <v>0</v>
      </c>
      <c r="L101" s="464">
        <v>0</v>
      </c>
      <c r="M101" s="464">
        <v>0</v>
      </c>
      <c r="N101" s="464"/>
      <c r="O101" s="465"/>
      <c r="P101" s="406"/>
      <c r="Q101" s="466">
        <f t="shared" si="4"/>
        <v>0</v>
      </c>
      <c r="R101" s="467">
        <f t="shared" si="5"/>
        <v>0</v>
      </c>
      <c r="S101" s="468">
        <f t="shared" si="6"/>
        <v>0</v>
      </c>
    </row>
    <row r="102" spans="2:19" x14ac:dyDescent="0.15">
      <c r="B102" s="131" t="s">
        <v>504</v>
      </c>
      <c r="C102" s="95" t="s">
        <v>1267</v>
      </c>
      <c r="D102" s="300">
        <v>0</v>
      </c>
      <c r="E102" s="300">
        <v>0</v>
      </c>
      <c r="F102" s="300">
        <v>0</v>
      </c>
      <c r="G102" s="300">
        <v>0</v>
      </c>
      <c r="H102" s="300">
        <v>0</v>
      </c>
      <c r="I102" s="300">
        <v>0</v>
      </c>
      <c r="J102" s="300">
        <v>0</v>
      </c>
      <c r="K102" s="300">
        <v>0</v>
      </c>
      <c r="L102" s="300">
        <v>0</v>
      </c>
      <c r="M102" s="300">
        <v>0</v>
      </c>
      <c r="N102" s="300"/>
      <c r="O102" s="301"/>
      <c r="Q102" s="362">
        <f t="shared" si="4"/>
        <v>0</v>
      </c>
      <c r="R102" s="363">
        <f t="shared" si="5"/>
        <v>0</v>
      </c>
      <c r="S102" s="364">
        <f t="shared" si="6"/>
        <v>0</v>
      </c>
    </row>
    <row r="103" spans="2:19" x14ac:dyDescent="0.15">
      <c r="B103" s="131" t="s">
        <v>505</v>
      </c>
      <c r="C103" s="95" t="s">
        <v>987</v>
      </c>
      <c r="D103" s="300">
        <v>0</v>
      </c>
      <c r="E103" s="300">
        <v>0</v>
      </c>
      <c r="F103" s="300">
        <v>169000</v>
      </c>
      <c r="G103" s="300">
        <v>0</v>
      </c>
      <c r="H103" s="300">
        <v>0</v>
      </c>
      <c r="I103" s="300">
        <v>0</v>
      </c>
      <c r="J103" s="300">
        <v>0</v>
      </c>
      <c r="K103" s="300">
        <v>0</v>
      </c>
      <c r="L103" s="300">
        <v>0</v>
      </c>
      <c r="M103" s="300">
        <v>0</v>
      </c>
      <c r="N103" s="300"/>
      <c r="O103" s="301"/>
      <c r="Q103" s="362">
        <f t="shared" si="4"/>
        <v>169000</v>
      </c>
      <c r="R103" s="363">
        <f t="shared" si="5"/>
        <v>7.4421721207953489E-3</v>
      </c>
      <c r="S103" s="364">
        <f t="shared" si="6"/>
        <v>14083.333333333334</v>
      </c>
    </row>
    <row r="104" spans="2:19" x14ac:dyDescent="0.15">
      <c r="B104" s="131" t="s">
        <v>506</v>
      </c>
      <c r="C104" s="95" t="s">
        <v>990</v>
      </c>
      <c r="D104" s="300">
        <v>0</v>
      </c>
      <c r="E104" s="300">
        <v>0</v>
      </c>
      <c r="F104" s="300">
        <v>0</v>
      </c>
      <c r="G104" s="300">
        <v>0</v>
      </c>
      <c r="H104" s="300">
        <v>0</v>
      </c>
      <c r="I104" s="300">
        <v>0</v>
      </c>
      <c r="J104" s="300">
        <v>0</v>
      </c>
      <c r="K104" s="300">
        <v>0</v>
      </c>
      <c r="L104" s="300">
        <v>0</v>
      </c>
      <c r="M104" s="300">
        <v>0</v>
      </c>
      <c r="N104" s="300"/>
      <c r="O104" s="301"/>
      <c r="Q104" s="362">
        <f t="shared" si="4"/>
        <v>0</v>
      </c>
      <c r="R104" s="363">
        <f t="shared" si="5"/>
        <v>0</v>
      </c>
      <c r="S104" s="364">
        <f t="shared" si="6"/>
        <v>0</v>
      </c>
    </row>
    <row r="105" spans="2:19" x14ac:dyDescent="0.15">
      <c r="B105" s="131" t="s">
        <v>507</v>
      </c>
      <c r="C105" s="95" t="s">
        <v>993</v>
      </c>
      <c r="D105" s="300">
        <v>0</v>
      </c>
      <c r="E105" s="300">
        <v>0</v>
      </c>
      <c r="F105" s="300">
        <v>0</v>
      </c>
      <c r="G105" s="300">
        <v>0</v>
      </c>
      <c r="H105" s="300">
        <v>0</v>
      </c>
      <c r="I105" s="300">
        <v>0</v>
      </c>
      <c r="J105" s="300">
        <v>0</v>
      </c>
      <c r="K105" s="300">
        <v>0</v>
      </c>
      <c r="L105" s="300">
        <v>0</v>
      </c>
      <c r="M105" s="300">
        <v>0</v>
      </c>
      <c r="N105" s="300"/>
      <c r="O105" s="301"/>
      <c r="Q105" s="362">
        <f t="shared" si="4"/>
        <v>0</v>
      </c>
      <c r="R105" s="363">
        <f t="shared" si="5"/>
        <v>0</v>
      </c>
      <c r="S105" s="364">
        <f t="shared" si="6"/>
        <v>0</v>
      </c>
    </row>
    <row r="106" spans="2:19" x14ac:dyDescent="0.15">
      <c r="B106" s="131" t="s">
        <v>1295</v>
      </c>
      <c r="C106" s="95" t="s">
        <v>996</v>
      </c>
      <c r="D106" s="300">
        <v>0</v>
      </c>
      <c r="E106" s="300">
        <v>0</v>
      </c>
      <c r="F106" s="300">
        <v>0</v>
      </c>
      <c r="G106" s="300">
        <v>0</v>
      </c>
      <c r="H106" s="300">
        <v>0</v>
      </c>
      <c r="I106" s="300">
        <v>0</v>
      </c>
      <c r="J106" s="300">
        <v>0</v>
      </c>
      <c r="K106" s="300">
        <v>0</v>
      </c>
      <c r="L106" s="300">
        <v>0</v>
      </c>
      <c r="M106" s="300">
        <v>0</v>
      </c>
      <c r="N106" s="300"/>
      <c r="O106" s="301"/>
      <c r="Q106" s="362">
        <f t="shared" si="4"/>
        <v>0</v>
      </c>
      <c r="R106" s="363">
        <f t="shared" si="5"/>
        <v>0</v>
      </c>
      <c r="S106" s="364">
        <f t="shared" si="6"/>
        <v>0</v>
      </c>
    </row>
    <row r="107" spans="2:19" x14ac:dyDescent="0.15">
      <c r="B107" s="131" t="s">
        <v>508</v>
      </c>
      <c r="C107" s="133" t="s">
        <v>999</v>
      </c>
      <c r="D107" s="300">
        <v>0</v>
      </c>
      <c r="E107" s="300">
        <v>0</v>
      </c>
      <c r="F107" s="300">
        <v>0</v>
      </c>
      <c r="G107" s="300">
        <v>0</v>
      </c>
      <c r="H107" s="300">
        <v>0</v>
      </c>
      <c r="I107" s="300">
        <v>0</v>
      </c>
      <c r="J107" s="300">
        <v>0</v>
      </c>
      <c r="K107" s="300">
        <v>0</v>
      </c>
      <c r="L107" s="300">
        <v>0</v>
      </c>
      <c r="M107" s="300">
        <v>0</v>
      </c>
      <c r="N107" s="300"/>
      <c r="O107" s="301"/>
      <c r="Q107" s="362">
        <f t="shared" si="4"/>
        <v>0</v>
      </c>
      <c r="R107" s="363">
        <f t="shared" si="5"/>
        <v>0</v>
      </c>
      <c r="S107" s="364">
        <f t="shared" si="6"/>
        <v>0</v>
      </c>
    </row>
    <row r="108" spans="2:19" x14ac:dyDescent="0.15">
      <c r="B108" s="131" t="s">
        <v>509</v>
      </c>
      <c r="C108" s="95" t="s">
        <v>1002</v>
      </c>
      <c r="D108" s="300">
        <v>0</v>
      </c>
      <c r="E108" s="300">
        <v>0</v>
      </c>
      <c r="F108" s="300">
        <v>0</v>
      </c>
      <c r="G108" s="300">
        <v>0</v>
      </c>
      <c r="H108" s="300">
        <v>0</v>
      </c>
      <c r="I108" s="300">
        <v>0</v>
      </c>
      <c r="J108" s="300">
        <v>0</v>
      </c>
      <c r="K108" s="300">
        <v>0</v>
      </c>
      <c r="L108" s="300">
        <v>156000</v>
      </c>
      <c r="M108" s="300">
        <v>0</v>
      </c>
      <c r="N108" s="300"/>
      <c r="O108" s="301"/>
      <c r="Q108" s="362">
        <f t="shared" si="4"/>
        <v>156000</v>
      </c>
      <c r="R108" s="363">
        <f t="shared" si="5"/>
        <v>6.8696973422726296E-3</v>
      </c>
      <c r="S108" s="364">
        <f t="shared" si="6"/>
        <v>13000</v>
      </c>
    </row>
    <row r="109" spans="2:19" x14ac:dyDescent="0.15">
      <c r="B109" s="131" t="s">
        <v>510</v>
      </c>
      <c r="C109" s="95" t="s">
        <v>1005</v>
      </c>
      <c r="D109" s="300">
        <v>0</v>
      </c>
      <c r="E109" s="300">
        <v>0</v>
      </c>
      <c r="F109" s="300">
        <v>175500</v>
      </c>
      <c r="G109" s="300">
        <v>0</v>
      </c>
      <c r="H109" s="300">
        <v>0</v>
      </c>
      <c r="I109" s="300">
        <v>0</v>
      </c>
      <c r="J109" s="300">
        <v>0</v>
      </c>
      <c r="K109" s="300">
        <v>0</v>
      </c>
      <c r="L109" s="300">
        <v>0</v>
      </c>
      <c r="M109" s="300">
        <v>0</v>
      </c>
      <c r="N109" s="300"/>
      <c r="O109" s="301"/>
      <c r="Q109" s="362">
        <f t="shared" si="4"/>
        <v>175500</v>
      </c>
      <c r="R109" s="363">
        <f t="shared" si="5"/>
        <v>7.7284095100567081E-3</v>
      </c>
      <c r="S109" s="364">
        <f t="shared" si="6"/>
        <v>14625</v>
      </c>
    </row>
    <row r="110" spans="2:19" x14ac:dyDescent="0.15">
      <c r="B110" s="131" t="s">
        <v>511</v>
      </c>
      <c r="C110" s="95" t="s">
        <v>361</v>
      </c>
      <c r="D110" s="300">
        <v>230000</v>
      </c>
      <c r="E110" s="300">
        <v>0</v>
      </c>
      <c r="F110" s="300">
        <v>0</v>
      </c>
      <c r="G110" s="300">
        <v>0</v>
      </c>
      <c r="H110" s="300">
        <v>0</v>
      </c>
      <c r="I110" s="300">
        <v>0</v>
      </c>
      <c r="J110" s="300">
        <v>0</v>
      </c>
      <c r="K110" s="300">
        <v>0</v>
      </c>
      <c r="L110" s="300">
        <v>0</v>
      </c>
      <c r="M110" s="300">
        <v>156000</v>
      </c>
      <c r="N110" s="300"/>
      <c r="O110" s="301"/>
      <c r="Q110" s="362">
        <f t="shared" si="4"/>
        <v>386000</v>
      </c>
      <c r="R110" s="363">
        <f t="shared" si="5"/>
        <v>1.6998097269982276E-2</v>
      </c>
      <c r="S110" s="364">
        <f t="shared" si="6"/>
        <v>32166.666666666668</v>
      </c>
    </row>
    <row r="111" spans="2:19" x14ac:dyDescent="0.15">
      <c r="B111" s="131" t="s">
        <v>512</v>
      </c>
      <c r="C111" s="95" t="s">
        <v>1010</v>
      </c>
      <c r="D111" s="300">
        <v>0</v>
      </c>
      <c r="E111" s="300">
        <v>0</v>
      </c>
      <c r="F111" s="300">
        <v>0</v>
      </c>
      <c r="G111" s="300">
        <v>0</v>
      </c>
      <c r="H111" s="300">
        <v>0</v>
      </c>
      <c r="I111" s="300">
        <v>0</v>
      </c>
      <c r="J111" s="300">
        <v>156000</v>
      </c>
      <c r="K111" s="300">
        <v>0</v>
      </c>
      <c r="L111" s="300">
        <v>0</v>
      </c>
      <c r="M111" s="300">
        <v>183000</v>
      </c>
      <c r="N111" s="300">
        <v>213200</v>
      </c>
      <c r="O111" s="301">
        <v>175500</v>
      </c>
      <c r="Q111" s="362">
        <f t="shared" si="4"/>
        <v>727700</v>
      </c>
      <c r="R111" s="363">
        <f t="shared" si="5"/>
        <v>3.2045376640844822E-2</v>
      </c>
      <c r="S111" s="364">
        <f t="shared" si="6"/>
        <v>60641.666666666664</v>
      </c>
    </row>
    <row r="112" spans="2:19" x14ac:dyDescent="0.15">
      <c r="B112" s="131" t="s">
        <v>513</v>
      </c>
      <c r="C112" s="95" t="s">
        <v>1013</v>
      </c>
      <c r="D112" s="300">
        <v>223000</v>
      </c>
      <c r="E112" s="300">
        <v>0</v>
      </c>
      <c r="F112" s="300">
        <v>0</v>
      </c>
      <c r="G112" s="300">
        <v>0</v>
      </c>
      <c r="H112" s="300">
        <v>0</v>
      </c>
      <c r="I112" s="300">
        <v>0</v>
      </c>
      <c r="J112" s="300">
        <v>0</v>
      </c>
      <c r="K112" s="300">
        <v>0</v>
      </c>
      <c r="L112" s="300">
        <v>0</v>
      </c>
      <c r="M112" s="300">
        <v>0</v>
      </c>
      <c r="N112" s="300"/>
      <c r="O112" s="301"/>
      <c r="Q112" s="362">
        <f t="shared" si="4"/>
        <v>223000</v>
      </c>
      <c r="R112" s="363">
        <f t="shared" si="5"/>
        <v>9.8201442777358754E-3</v>
      </c>
      <c r="S112" s="364">
        <f t="shared" si="6"/>
        <v>18583.333333333332</v>
      </c>
    </row>
    <row r="113" spans="2:19" x14ac:dyDescent="0.15">
      <c r="B113" s="131" t="s">
        <v>514</v>
      </c>
      <c r="C113" s="95" t="s">
        <v>1016</v>
      </c>
      <c r="D113" s="300">
        <v>0</v>
      </c>
      <c r="E113" s="300">
        <v>0</v>
      </c>
      <c r="F113" s="300">
        <v>0</v>
      </c>
      <c r="G113" s="300">
        <v>0</v>
      </c>
      <c r="H113" s="300">
        <v>0</v>
      </c>
      <c r="I113" s="300">
        <v>0</v>
      </c>
      <c r="J113" s="300">
        <v>0</v>
      </c>
      <c r="K113" s="300">
        <v>0</v>
      </c>
      <c r="L113" s="300">
        <v>0</v>
      </c>
      <c r="M113" s="300">
        <v>0</v>
      </c>
      <c r="N113" s="300"/>
      <c r="O113" s="301"/>
      <c r="Q113" s="362">
        <f t="shared" si="4"/>
        <v>0</v>
      </c>
      <c r="R113" s="363">
        <f t="shared" si="5"/>
        <v>0</v>
      </c>
      <c r="S113" s="364">
        <f t="shared" si="6"/>
        <v>0</v>
      </c>
    </row>
    <row r="114" spans="2:19" x14ac:dyDescent="0.15">
      <c r="B114" s="131" t="s">
        <v>515</v>
      </c>
      <c r="C114" s="95" t="s">
        <v>1019</v>
      </c>
      <c r="D114" s="300">
        <v>0</v>
      </c>
      <c r="E114" s="300">
        <v>0</v>
      </c>
      <c r="F114" s="300">
        <v>0</v>
      </c>
      <c r="G114" s="300">
        <v>0</v>
      </c>
      <c r="H114" s="300">
        <v>0</v>
      </c>
      <c r="I114" s="300">
        <v>0</v>
      </c>
      <c r="J114" s="300">
        <v>0</v>
      </c>
      <c r="K114" s="300">
        <v>0</v>
      </c>
      <c r="L114" s="300">
        <v>0</v>
      </c>
      <c r="M114" s="300">
        <v>0</v>
      </c>
      <c r="N114" s="300"/>
      <c r="O114" s="301"/>
      <c r="Q114" s="362">
        <f t="shared" si="4"/>
        <v>0</v>
      </c>
      <c r="R114" s="363">
        <f t="shared" si="5"/>
        <v>0</v>
      </c>
      <c r="S114" s="364">
        <f t="shared" si="6"/>
        <v>0</v>
      </c>
    </row>
    <row r="115" spans="2:19" x14ac:dyDescent="0.15">
      <c r="B115" s="131" t="s">
        <v>516</v>
      </c>
      <c r="C115" s="95" t="s">
        <v>1022</v>
      </c>
      <c r="D115" s="300">
        <v>0</v>
      </c>
      <c r="E115" s="300">
        <v>0</v>
      </c>
      <c r="F115" s="300">
        <v>0</v>
      </c>
      <c r="G115" s="300">
        <v>0</v>
      </c>
      <c r="H115" s="300">
        <v>0</v>
      </c>
      <c r="I115" s="300">
        <v>0</v>
      </c>
      <c r="J115" s="300">
        <v>0</v>
      </c>
      <c r="K115" s="300">
        <v>0</v>
      </c>
      <c r="L115" s="300">
        <v>0</v>
      </c>
      <c r="M115" s="300">
        <v>0</v>
      </c>
      <c r="N115" s="300"/>
      <c r="O115" s="301"/>
      <c r="Q115" s="362">
        <f t="shared" si="4"/>
        <v>0</v>
      </c>
      <c r="R115" s="363">
        <f t="shared" si="5"/>
        <v>0</v>
      </c>
      <c r="S115" s="364">
        <f t="shared" si="6"/>
        <v>0</v>
      </c>
    </row>
    <row r="116" spans="2:19" x14ac:dyDescent="0.15">
      <c r="B116" s="131" t="s">
        <v>517</v>
      </c>
      <c r="C116" s="133" t="s">
        <v>1025</v>
      </c>
      <c r="D116" s="300">
        <v>0</v>
      </c>
      <c r="E116" s="300">
        <v>0</v>
      </c>
      <c r="F116" s="300">
        <v>0</v>
      </c>
      <c r="G116" s="300">
        <v>0</v>
      </c>
      <c r="H116" s="300">
        <v>0</v>
      </c>
      <c r="I116" s="300">
        <v>0</v>
      </c>
      <c r="J116" s="300">
        <v>0</v>
      </c>
      <c r="K116" s="300">
        <v>0</v>
      </c>
      <c r="L116" s="300">
        <v>0</v>
      </c>
      <c r="M116" s="300">
        <v>0</v>
      </c>
      <c r="N116" s="300"/>
      <c r="O116" s="301"/>
      <c r="Q116" s="362">
        <f t="shared" si="4"/>
        <v>0</v>
      </c>
      <c r="R116" s="363">
        <f t="shared" si="5"/>
        <v>0</v>
      </c>
      <c r="S116" s="364">
        <f t="shared" si="6"/>
        <v>0</v>
      </c>
    </row>
    <row r="117" spans="2:19" x14ac:dyDescent="0.15">
      <c r="B117" s="131" t="s">
        <v>518</v>
      </c>
      <c r="C117" s="133" t="s">
        <v>2757</v>
      </c>
      <c r="D117" s="300">
        <v>0</v>
      </c>
      <c r="E117" s="300">
        <v>0</v>
      </c>
      <c r="F117" s="300">
        <v>0</v>
      </c>
      <c r="G117" s="300">
        <v>0</v>
      </c>
      <c r="H117" s="300">
        <v>0</v>
      </c>
      <c r="I117" s="300">
        <v>0</v>
      </c>
      <c r="J117" s="300">
        <v>0</v>
      </c>
      <c r="K117" s="300">
        <v>0</v>
      </c>
      <c r="L117" s="300">
        <v>0</v>
      </c>
      <c r="M117" s="300">
        <v>0</v>
      </c>
      <c r="N117" s="300"/>
      <c r="O117" s="301"/>
      <c r="Q117" s="362">
        <f t="shared" si="4"/>
        <v>0</v>
      </c>
      <c r="R117" s="363">
        <f t="shared" si="5"/>
        <v>0</v>
      </c>
      <c r="S117" s="364">
        <f t="shared" si="6"/>
        <v>0</v>
      </c>
    </row>
    <row r="118" spans="2:19" x14ac:dyDescent="0.15">
      <c r="B118" s="131" t="s">
        <v>519</v>
      </c>
      <c r="C118" s="95" t="s">
        <v>1028</v>
      </c>
      <c r="D118" s="300">
        <v>0</v>
      </c>
      <c r="E118" s="300">
        <v>0</v>
      </c>
      <c r="F118" s="300">
        <v>156000</v>
      </c>
      <c r="G118" s="300">
        <v>0</v>
      </c>
      <c r="H118" s="300">
        <v>0</v>
      </c>
      <c r="I118" s="300">
        <v>0</v>
      </c>
      <c r="J118" s="300">
        <v>0</v>
      </c>
      <c r="K118" s="300">
        <v>0</v>
      </c>
      <c r="L118" s="300">
        <v>0</v>
      </c>
      <c r="M118" s="300">
        <v>0</v>
      </c>
      <c r="N118" s="300"/>
      <c r="O118" s="301">
        <v>182000</v>
      </c>
      <c r="Q118" s="362">
        <f t="shared" si="4"/>
        <v>338000</v>
      </c>
      <c r="R118" s="363">
        <f t="shared" si="5"/>
        <v>1.4884344241590698E-2</v>
      </c>
      <c r="S118" s="364">
        <f t="shared" si="6"/>
        <v>28166.666666666668</v>
      </c>
    </row>
    <row r="119" spans="2:19" x14ac:dyDescent="0.15">
      <c r="B119" s="131" t="s">
        <v>520</v>
      </c>
      <c r="C119" s="95" t="s">
        <v>1031</v>
      </c>
      <c r="D119" s="300">
        <v>0</v>
      </c>
      <c r="E119" s="300">
        <v>0</v>
      </c>
      <c r="F119" s="300">
        <v>0</v>
      </c>
      <c r="G119" s="300">
        <v>0</v>
      </c>
      <c r="H119" s="300">
        <v>0</v>
      </c>
      <c r="I119" s="300">
        <v>164000</v>
      </c>
      <c r="J119" s="300">
        <v>0</v>
      </c>
      <c r="K119" s="300">
        <v>0</v>
      </c>
      <c r="L119" s="300">
        <v>0</v>
      </c>
      <c r="M119" s="300">
        <v>0</v>
      </c>
      <c r="N119" s="300"/>
      <c r="O119" s="301"/>
      <c r="Q119" s="362">
        <f t="shared" si="4"/>
        <v>164000</v>
      </c>
      <c r="R119" s="363">
        <f t="shared" si="5"/>
        <v>7.2219895136712261E-3</v>
      </c>
      <c r="S119" s="364">
        <f t="shared" si="6"/>
        <v>13666.666666666666</v>
      </c>
    </row>
    <row r="120" spans="2:19" x14ac:dyDescent="0.15">
      <c r="B120" s="131" t="s">
        <v>521</v>
      </c>
      <c r="C120" s="95" t="s">
        <v>1034</v>
      </c>
      <c r="D120" s="300">
        <v>0</v>
      </c>
      <c r="E120" s="300">
        <v>0</v>
      </c>
      <c r="F120" s="300">
        <v>0</v>
      </c>
      <c r="G120" s="300">
        <v>0</v>
      </c>
      <c r="H120" s="300">
        <v>0</v>
      </c>
      <c r="I120" s="300">
        <v>0</v>
      </c>
      <c r="J120" s="300">
        <v>0</v>
      </c>
      <c r="K120" s="300">
        <v>0</v>
      </c>
      <c r="L120" s="300">
        <v>0</v>
      </c>
      <c r="M120" s="300">
        <v>0</v>
      </c>
      <c r="N120" s="300"/>
      <c r="O120" s="301"/>
      <c r="Q120" s="362">
        <f t="shared" si="4"/>
        <v>0</v>
      </c>
      <c r="R120" s="363">
        <f t="shared" si="5"/>
        <v>0</v>
      </c>
      <c r="S120" s="364">
        <f t="shared" si="6"/>
        <v>0</v>
      </c>
    </row>
    <row r="121" spans="2:19" x14ac:dyDescent="0.15">
      <c r="B121" s="131" t="s">
        <v>522</v>
      </c>
      <c r="C121" s="95" t="s">
        <v>1037</v>
      </c>
      <c r="D121" s="300">
        <v>0</v>
      </c>
      <c r="E121" s="300">
        <v>0</v>
      </c>
      <c r="F121" s="300">
        <v>0</v>
      </c>
      <c r="G121" s="300">
        <v>0</v>
      </c>
      <c r="H121" s="300">
        <v>0</v>
      </c>
      <c r="I121" s="300">
        <v>0</v>
      </c>
      <c r="J121" s="300">
        <v>0</v>
      </c>
      <c r="K121" s="300">
        <v>0</v>
      </c>
      <c r="L121" s="300">
        <v>0</v>
      </c>
      <c r="M121" s="300">
        <v>0</v>
      </c>
      <c r="N121" s="300"/>
      <c r="O121" s="301"/>
      <c r="Q121" s="362">
        <f t="shared" si="4"/>
        <v>0</v>
      </c>
      <c r="R121" s="363">
        <f t="shared" si="5"/>
        <v>0</v>
      </c>
      <c r="S121" s="364">
        <f t="shared" si="6"/>
        <v>0</v>
      </c>
    </row>
    <row r="122" spans="2:19" x14ac:dyDescent="0.15">
      <c r="B122" s="131" t="s">
        <v>523</v>
      </c>
      <c r="C122" s="95" t="s">
        <v>1040</v>
      </c>
      <c r="D122" s="300">
        <v>0</v>
      </c>
      <c r="E122" s="300">
        <v>0</v>
      </c>
      <c r="F122" s="300">
        <v>0</v>
      </c>
      <c r="G122" s="300">
        <v>0</v>
      </c>
      <c r="H122" s="300">
        <v>0</v>
      </c>
      <c r="I122" s="300">
        <v>0</v>
      </c>
      <c r="J122" s="300">
        <v>0</v>
      </c>
      <c r="K122" s="300">
        <v>0</v>
      </c>
      <c r="L122" s="300">
        <v>0</v>
      </c>
      <c r="M122" s="300">
        <v>0</v>
      </c>
      <c r="N122" s="300"/>
      <c r="O122" s="301"/>
      <c r="Q122" s="362">
        <f t="shared" si="4"/>
        <v>0</v>
      </c>
      <c r="R122" s="363">
        <f t="shared" si="5"/>
        <v>0</v>
      </c>
      <c r="S122" s="364">
        <f t="shared" si="6"/>
        <v>0</v>
      </c>
    </row>
    <row r="123" spans="2:19" x14ac:dyDescent="0.15">
      <c r="B123" s="131" t="s">
        <v>524</v>
      </c>
      <c r="C123" s="95" t="s">
        <v>1043</v>
      </c>
      <c r="D123" s="300">
        <v>0</v>
      </c>
      <c r="E123" s="300">
        <v>0</v>
      </c>
      <c r="F123" s="300">
        <v>0</v>
      </c>
      <c r="G123" s="300">
        <v>0</v>
      </c>
      <c r="H123" s="300">
        <v>0</v>
      </c>
      <c r="I123" s="300">
        <v>0</v>
      </c>
      <c r="J123" s="300">
        <v>0</v>
      </c>
      <c r="K123" s="300">
        <v>0</v>
      </c>
      <c r="L123" s="300">
        <v>0</v>
      </c>
      <c r="M123" s="300">
        <v>0</v>
      </c>
      <c r="N123" s="300"/>
      <c r="O123" s="301"/>
      <c r="Q123" s="362">
        <f t="shared" si="4"/>
        <v>0</v>
      </c>
      <c r="R123" s="363">
        <f t="shared" si="5"/>
        <v>0</v>
      </c>
      <c r="S123" s="364">
        <f t="shared" si="6"/>
        <v>0</v>
      </c>
    </row>
    <row r="124" spans="2:19" x14ac:dyDescent="0.15">
      <c r="B124" s="131" t="s">
        <v>525</v>
      </c>
      <c r="C124" s="95" t="s">
        <v>1046</v>
      </c>
      <c r="D124" s="300">
        <v>0</v>
      </c>
      <c r="E124" s="300">
        <v>0</v>
      </c>
      <c r="F124" s="300">
        <v>196800</v>
      </c>
      <c r="G124" s="300">
        <v>0</v>
      </c>
      <c r="H124" s="300">
        <v>0</v>
      </c>
      <c r="I124" s="300">
        <v>0</v>
      </c>
      <c r="J124" s="300">
        <v>0</v>
      </c>
      <c r="K124" s="300">
        <v>0</v>
      </c>
      <c r="L124" s="300">
        <v>0</v>
      </c>
      <c r="M124" s="300">
        <v>0</v>
      </c>
      <c r="N124" s="300"/>
      <c r="O124" s="301"/>
      <c r="Q124" s="362">
        <f t="shared" si="4"/>
        <v>196800</v>
      </c>
      <c r="R124" s="363">
        <f t="shared" si="5"/>
        <v>8.666387416405472E-3</v>
      </c>
      <c r="S124" s="364">
        <f t="shared" si="6"/>
        <v>16400</v>
      </c>
    </row>
    <row r="125" spans="2:19" x14ac:dyDescent="0.15">
      <c r="B125" s="141" t="s">
        <v>526</v>
      </c>
      <c r="C125" s="95" t="s">
        <v>1175</v>
      </c>
      <c r="D125" s="300">
        <v>0</v>
      </c>
      <c r="E125" s="300">
        <v>0</v>
      </c>
      <c r="F125" s="300">
        <v>0</v>
      </c>
      <c r="G125" s="300">
        <v>0</v>
      </c>
      <c r="H125" s="300">
        <v>0</v>
      </c>
      <c r="I125" s="300">
        <v>130000</v>
      </c>
      <c r="J125" s="300">
        <v>0</v>
      </c>
      <c r="K125" s="300">
        <v>0</v>
      </c>
      <c r="L125" s="300">
        <v>0</v>
      </c>
      <c r="M125" s="300">
        <v>0</v>
      </c>
      <c r="N125" s="300"/>
      <c r="O125" s="301"/>
      <c r="Q125" s="362">
        <f t="shared" si="4"/>
        <v>130000</v>
      </c>
      <c r="R125" s="363">
        <f t="shared" si="5"/>
        <v>5.7247477852271911E-3</v>
      </c>
      <c r="S125" s="364">
        <f t="shared" si="6"/>
        <v>10833.333333333334</v>
      </c>
    </row>
    <row r="126" spans="2:19" x14ac:dyDescent="0.15">
      <c r="B126" s="153" t="s">
        <v>1194</v>
      </c>
      <c r="C126" s="137" t="s">
        <v>1195</v>
      </c>
      <c r="D126" s="300">
        <v>0</v>
      </c>
      <c r="E126" s="300">
        <v>0</v>
      </c>
      <c r="F126" s="300">
        <v>0</v>
      </c>
      <c r="G126" s="300">
        <v>0</v>
      </c>
      <c r="H126" s="300">
        <v>0</v>
      </c>
      <c r="I126" s="300">
        <v>0</v>
      </c>
      <c r="J126" s="300">
        <v>0</v>
      </c>
      <c r="K126" s="300">
        <v>0</v>
      </c>
      <c r="L126" s="300">
        <v>0</v>
      </c>
      <c r="M126" s="300">
        <v>0</v>
      </c>
      <c r="N126" s="300"/>
      <c r="O126" s="301"/>
      <c r="Q126" s="362">
        <f t="shared" si="4"/>
        <v>0</v>
      </c>
      <c r="R126" s="363">
        <f t="shared" si="5"/>
        <v>0</v>
      </c>
      <c r="S126" s="364">
        <f t="shared" si="6"/>
        <v>0</v>
      </c>
    </row>
    <row r="127" spans="2:19" x14ac:dyDescent="0.15">
      <c r="B127" s="153" t="s">
        <v>1220</v>
      </c>
      <c r="C127" s="137" t="s">
        <v>1221</v>
      </c>
      <c r="D127" s="464">
        <v>0</v>
      </c>
      <c r="E127" s="464">
        <v>0</v>
      </c>
      <c r="F127" s="464">
        <v>0</v>
      </c>
      <c r="G127" s="464">
        <v>0</v>
      </c>
      <c r="H127" s="464">
        <v>0</v>
      </c>
      <c r="I127" s="464">
        <v>0</v>
      </c>
      <c r="J127" s="464">
        <v>0</v>
      </c>
      <c r="K127" s="464">
        <v>0</v>
      </c>
      <c r="L127" s="464">
        <v>0</v>
      </c>
      <c r="M127" s="464">
        <v>0</v>
      </c>
      <c r="N127" s="464"/>
      <c r="O127" s="465"/>
      <c r="P127" s="406"/>
      <c r="Q127" s="466">
        <f t="shared" si="4"/>
        <v>0</v>
      </c>
      <c r="R127" s="467">
        <f t="shared" si="5"/>
        <v>0</v>
      </c>
      <c r="S127" s="468">
        <f t="shared" si="6"/>
        <v>0</v>
      </c>
    </row>
    <row r="128" spans="2:19" x14ac:dyDescent="0.15">
      <c r="B128" s="141" t="s">
        <v>1248</v>
      </c>
      <c r="C128" s="137" t="s">
        <v>1249</v>
      </c>
      <c r="D128" s="300">
        <v>0</v>
      </c>
      <c r="E128" s="300">
        <v>0</v>
      </c>
      <c r="F128" s="300">
        <v>0</v>
      </c>
      <c r="G128" s="300">
        <v>0</v>
      </c>
      <c r="H128" s="300">
        <v>0</v>
      </c>
      <c r="I128" s="300">
        <v>0</v>
      </c>
      <c r="J128" s="300">
        <v>22100</v>
      </c>
      <c r="K128" s="300">
        <v>0</v>
      </c>
      <c r="L128" s="300">
        <v>0</v>
      </c>
      <c r="M128" s="300">
        <v>0</v>
      </c>
      <c r="N128" s="300"/>
      <c r="O128" s="301"/>
      <c r="Q128" s="362">
        <f t="shared" si="4"/>
        <v>22100</v>
      </c>
      <c r="R128" s="363">
        <f t="shared" si="5"/>
        <v>9.7320712348862256E-4</v>
      </c>
      <c r="S128" s="364">
        <f t="shared" si="6"/>
        <v>1841.6666666666667</v>
      </c>
    </row>
    <row r="129" spans="2:19" x14ac:dyDescent="0.15">
      <c r="B129" s="141" t="s">
        <v>1298</v>
      </c>
      <c r="C129" s="137" t="s">
        <v>1261</v>
      </c>
      <c r="D129" s="300">
        <v>0</v>
      </c>
      <c r="E129" s="300">
        <v>0</v>
      </c>
      <c r="F129" s="300">
        <v>0</v>
      </c>
      <c r="G129" s="300">
        <v>0</v>
      </c>
      <c r="H129" s="300">
        <v>0</v>
      </c>
      <c r="I129" s="300">
        <v>0</v>
      </c>
      <c r="J129" s="300">
        <v>0</v>
      </c>
      <c r="K129" s="300">
        <v>0</v>
      </c>
      <c r="L129" s="300">
        <v>0</v>
      </c>
      <c r="M129" s="300">
        <v>0</v>
      </c>
      <c r="N129" s="300"/>
      <c r="O129" s="301"/>
      <c r="Q129" s="362">
        <f t="shared" si="4"/>
        <v>0</v>
      </c>
      <c r="R129" s="363">
        <f t="shared" si="5"/>
        <v>0</v>
      </c>
      <c r="S129" s="364">
        <f t="shared" si="6"/>
        <v>0</v>
      </c>
    </row>
    <row r="130" spans="2:19" x14ac:dyDescent="0.15">
      <c r="B130" s="141" t="s">
        <v>1299</v>
      </c>
      <c r="C130" s="137" t="s">
        <v>1296</v>
      </c>
      <c r="D130" s="300">
        <v>0</v>
      </c>
      <c r="E130" s="300">
        <v>0</v>
      </c>
      <c r="F130" s="300">
        <v>0</v>
      </c>
      <c r="G130" s="300">
        <v>0</v>
      </c>
      <c r="H130" s="300">
        <v>0</v>
      </c>
      <c r="I130" s="300">
        <v>0</v>
      </c>
      <c r="J130" s="300">
        <v>17875</v>
      </c>
      <c r="K130" s="300">
        <v>0</v>
      </c>
      <c r="L130" s="300">
        <v>0</v>
      </c>
      <c r="M130" s="300">
        <v>0</v>
      </c>
      <c r="N130" s="300"/>
      <c r="O130" s="301"/>
      <c r="Q130" s="362">
        <f t="shared" si="4"/>
        <v>17875</v>
      </c>
      <c r="R130" s="363">
        <f t="shared" si="5"/>
        <v>7.8715282046873879E-4</v>
      </c>
      <c r="S130" s="364">
        <f t="shared" si="6"/>
        <v>1489.5833333333333</v>
      </c>
    </row>
    <row r="131" spans="2:19" x14ac:dyDescent="0.15">
      <c r="B131" s="149" t="s">
        <v>1543</v>
      </c>
      <c r="C131" s="137" t="s">
        <v>1544</v>
      </c>
      <c r="D131" s="464">
        <v>0</v>
      </c>
      <c r="E131" s="464">
        <v>7255</v>
      </c>
      <c r="F131" s="464">
        <v>0</v>
      </c>
      <c r="G131" s="464">
        <v>0</v>
      </c>
      <c r="H131" s="464">
        <v>0</v>
      </c>
      <c r="I131" s="464">
        <v>198250</v>
      </c>
      <c r="J131" s="464">
        <v>0</v>
      </c>
      <c r="K131" s="464">
        <v>0</v>
      </c>
      <c r="L131" s="464">
        <v>0</v>
      </c>
      <c r="M131" s="464">
        <v>0</v>
      </c>
      <c r="N131" s="464"/>
      <c r="O131" s="465">
        <v>204205</v>
      </c>
      <c r="P131" s="406"/>
      <c r="Q131" s="466">
        <f t="shared" si="4"/>
        <v>409710</v>
      </c>
      <c r="R131" s="467">
        <f t="shared" si="5"/>
        <v>1.8042203192964866E-2</v>
      </c>
      <c r="S131" s="468">
        <f t="shared" si="6"/>
        <v>34142.5</v>
      </c>
    </row>
    <row r="132" spans="2:19" x14ac:dyDescent="0.15">
      <c r="B132" s="149" t="s">
        <v>1731</v>
      </c>
      <c r="C132" s="137" t="s">
        <v>1733</v>
      </c>
      <c r="D132" s="300">
        <v>0</v>
      </c>
      <c r="E132" s="300">
        <v>0</v>
      </c>
      <c r="F132" s="300">
        <v>0</v>
      </c>
      <c r="G132" s="300">
        <v>0</v>
      </c>
      <c r="H132" s="300">
        <v>0</v>
      </c>
      <c r="I132" s="300">
        <v>0</v>
      </c>
      <c r="J132" s="300">
        <v>0</v>
      </c>
      <c r="K132" s="300">
        <v>0</v>
      </c>
      <c r="L132" s="300">
        <v>0</v>
      </c>
      <c r="M132" s="300">
        <v>0</v>
      </c>
      <c r="N132" s="300"/>
      <c r="O132" s="301"/>
      <c r="Q132" s="362">
        <f t="shared" si="4"/>
        <v>0</v>
      </c>
      <c r="R132" s="363">
        <f t="shared" si="5"/>
        <v>0</v>
      </c>
      <c r="S132" s="364">
        <f t="shared" si="6"/>
        <v>0</v>
      </c>
    </row>
    <row r="133" spans="2:19" x14ac:dyDescent="0.15">
      <c r="B133" s="149" t="s">
        <v>2076</v>
      </c>
      <c r="C133" s="147" t="s">
        <v>2077</v>
      </c>
      <c r="D133" s="464">
        <v>0</v>
      </c>
      <c r="E133" s="464">
        <v>0</v>
      </c>
      <c r="F133" s="464">
        <v>0</v>
      </c>
      <c r="G133" s="464">
        <v>0</v>
      </c>
      <c r="H133" s="464">
        <v>0</v>
      </c>
      <c r="I133" s="464">
        <v>0</v>
      </c>
      <c r="J133" s="464">
        <v>0</v>
      </c>
      <c r="K133" s="464">
        <v>0</v>
      </c>
      <c r="L133" s="464">
        <v>0</v>
      </c>
      <c r="M133" s="464">
        <v>0</v>
      </c>
      <c r="N133" s="464"/>
      <c r="O133" s="465"/>
      <c r="P133" s="406"/>
      <c r="Q133" s="466">
        <f>SUM(D133:O133)</f>
        <v>0</v>
      </c>
      <c r="R133" s="467">
        <f t="shared" si="5"/>
        <v>0</v>
      </c>
      <c r="S133" s="468">
        <f t="shared" si="6"/>
        <v>0</v>
      </c>
    </row>
    <row r="134" spans="2:19" x14ac:dyDescent="0.15">
      <c r="B134" s="149" t="s">
        <v>2410</v>
      </c>
      <c r="C134" s="95" t="s">
        <v>2408</v>
      </c>
      <c r="D134" s="464">
        <v>0</v>
      </c>
      <c r="E134" s="464">
        <v>0</v>
      </c>
      <c r="F134" s="464">
        <v>0</v>
      </c>
      <c r="G134" s="464">
        <v>0</v>
      </c>
      <c r="H134" s="464">
        <v>0</v>
      </c>
      <c r="I134" s="464">
        <v>0</v>
      </c>
      <c r="J134" s="464">
        <v>0</v>
      </c>
      <c r="K134" s="464">
        <v>0</v>
      </c>
      <c r="L134" s="464">
        <v>0</v>
      </c>
      <c r="M134" s="464">
        <v>0</v>
      </c>
      <c r="N134" s="464"/>
      <c r="O134" s="465"/>
      <c r="P134" s="406"/>
      <c r="Q134" s="466">
        <f>SUM(D134:O134)</f>
        <v>0</v>
      </c>
      <c r="R134" s="467">
        <f t="shared" ref="R134:R138" si="7">IF($Q$2="","",Q134/$Q$2)</f>
        <v>0</v>
      </c>
      <c r="S134" s="468">
        <f t="shared" ref="S134:S138" si="8">Q134/12</f>
        <v>0</v>
      </c>
    </row>
    <row r="135" spans="2:19" x14ac:dyDescent="0.15">
      <c r="B135" s="149" t="s">
        <v>2620</v>
      </c>
      <c r="C135" s="137" t="s">
        <v>2622</v>
      </c>
      <c r="D135" s="464">
        <v>0</v>
      </c>
      <c r="E135" s="464">
        <v>0</v>
      </c>
      <c r="F135" s="464">
        <v>0</v>
      </c>
      <c r="G135" s="464">
        <v>0</v>
      </c>
      <c r="H135" s="464">
        <v>0</v>
      </c>
      <c r="I135" s="464">
        <v>0</v>
      </c>
      <c r="J135" s="464">
        <v>0</v>
      </c>
      <c r="K135" s="464">
        <v>0</v>
      </c>
      <c r="L135" s="464">
        <v>0</v>
      </c>
      <c r="M135" s="464">
        <v>0</v>
      </c>
      <c r="N135" s="464"/>
      <c r="O135" s="465"/>
      <c r="P135" s="406"/>
      <c r="Q135" s="466">
        <f>SUM(D135:O135)</f>
        <v>0</v>
      </c>
      <c r="R135" s="467">
        <f t="shared" si="7"/>
        <v>0</v>
      </c>
      <c r="S135" s="468">
        <f t="shared" si="8"/>
        <v>0</v>
      </c>
    </row>
    <row r="136" spans="2:19" x14ac:dyDescent="0.15">
      <c r="B136" s="149" t="s">
        <v>5180</v>
      </c>
      <c r="C136" s="133" t="s">
        <v>5181</v>
      </c>
      <c r="D136" s="464">
        <v>0</v>
      </c>
      <c r="E136" s="464">
        <v>0</v>
      </c>
      <c r="F136" s="464">
        <v>0</v>
      </c>
      <c r="G136" s="464">
        <v>0</v>
      </c>
      <c r="H136" s="464">
        <v>0</v>
      </c>
      <c r="I136" s="464">
        <v>0</v>
      </c>
      <c r="J136" s="464">
        <v>260000</v>
      </c>
      <c r="K136" s="464">
        <v>0</v>
      </c>
      <c r="L136" s="464">
        <v>0</v>
      </c>
      <c r="M136" s="464">
        <v>208000</v>
      </c>
      <c r="N136" s="464"/>
      <c r="O136" s="465"/>
      <c r="P136" s="406"/>
      <c r="Q136" s="466">
        <f>SUM(D136:O136)</f>
        <v>468000</v>
      </c>
      <c r="R136" s="467">
        <f t="shared" si="7"/>
        <v>2.0609092026817891E-2</v>
      </c>
      <c r="S136" s="468">
        <f t="shared" si="8"/>
        <v>39000</v>
      </c>
    </row>
    <row r="137" spans="2:19" x14ac:dyDescent="0.15">
      <c r="B137" s="149" t="s">
        <v>4093</v>
      </c>
      <c r="C137" s="137" t="s">
        <v>4025</v>
      </c>
      <c r="D137" s="464">
        <v>0</v>
      </c>
      <c r="E137" s="464">
        <v>0</v>
      </c>
      <c r="F137" s="464">
        <v>0</v>
      </c>
      <c r="G137" s="464">
        <v>0</v>
      </c>
      <c r="H137" s="464">
        <v>0</v>
      </c>
      <c r="I137" s="464">
        <v>0</v>
      </c>
      <c r="J137" s="464">
        <v>0</v>
      </c>
      <c r="K137" s="464">
        <v>0</v>
      </c>
      <c r="L137" s="464">
        <v>0</v>
      </c>
      <c r="M137" s="464">
        <v>0</v>
      </c>
      <c r="N137" s="464"/>
      <c r="O137" s="465"/>
      <c r="P137" s="406"/>
      <c r="Q137" s="466">
        <f t="shared" ref="Q137:Q138" si="9">SUM(D137:O137)</f>
        <v>0</v>
      </c>
      <c r="R137" s="467">
        <f t="shared" si="7"/>
        <v>0</v>
      </c>
      <c r="S137" s="468">
        <f t="shared" si="8"/>
        <v>0</v>
      </c>
    </row>
    <row r="138" spans="2:19" x14ac:dyDescent="0.15">
      <c r="B138" s="149" t="s">
        <v>4516</v>
      </c>
      <c r="C138" s="147" t="s">
        <v>4518</v>
      </c>
      <c r="D138" s="464">
        <v>0</v>
      </c>
      <c r="E138" s="464">
        <v>0</v>
      </c>
      <c r="F138" s="464">
        <v>0</v>
      </c>
      <c r="G138" s="464">
        <v>0</v>
      </c>
      <c r="H138" s="464">
        <v>10000</v>
      </c>
      <c r="I138" s="464">
        <v>0</v>
      </c>
      <c r="J138" s="464">
        <v>0</v>
      </c>
      <c r="K138" s="464">
        <v>0</v>
      </c>
      <c r="L138" s="464">
        <v>0</v>
      </c>
      <c r="M138" s="464">
        <v>0</v>
      </c>
      <c r="N138" s="464"/>
      <c r="O138" s="465"/>
      <c r="P138" s="406"/>
      <c r="Q138" s="466">
        <f t="shared" si="9"/>
        <v>10000</v>
      </c>
      <c r="R138" s="467">
        <f t="shared" si="7"/>
        <v>4.4036521424824552E-4</v>
      </c>
      <c r="S138" s="468">
        <f t="shared" si="8"/>
        <v>833.33333333333337</v>
      </c>
    </row>
    <row r="139" spans="2:19" x14ac:dyDescent="0.15">
      <c r="B139" s="149" t="s">
        <v>5185</v>
      </c>
      <c r="C139" s="492" t="s">
        <v>5186</v>
      </c>
      <c r="D139" s="464">
        <v>0</v>
      </c>
      <c r="E139" s="464"/>
      <c r="F139" s="464">
        <v>0</v>
      </c>
      <c r="G139" s="464"/>
      <c r="H139" s="464"/>
      <c r="I139" s="464"/>
      <c r="J139" s="464"/>
      <c r="K139" s="464"/>
      <c r="L139" s="464"/>
      <c r="M139" s="464"/>
      <c r="N139" s="464"/>
      <c r="O139" s="465"/>
      <c r="Q139" s="466">
        <f t="shared" ref="Q139:Q141" si="10">SUM(D139:O139)</f>
        <v>0</v>
      </c>
      <c r="R139" s="467">
        <f t="shared" ref="R139:R141" si="11">IF($Q$2="","",Q139/$Q$2)</f>
        <v>0</v>
      </c>
      <c r="S139" s="468">
        <f t="shared" ref="S139:S141" si="12">Q139/12</f>
        <v>0</v>
      </c>
    </row>
    <row r="140" spans="2:19" x14ac:dyDescent="0.15">
      <c r="B140" s="149" t="s">
        <v>5184</v>
      </c>
      <c r="C140" s="491" t="s">
        <v>5187</v>
      </c>
      <c r="D140" s="464">
        <v>0</v>
      </c>
      <c r="E140" s="464"/>
      <c r="F140" s="464">
        <v>0</v>
      </c>
      <c r="G140" s="464"/>
      <c r="H140" s="464"/>
      <c r="I140" s="464"/>
      <c r="J140" s="464"/>
      <c r="K140" s="464"/>
      <c r="L140" s="464"/>
      <c r="M140" s="464"/>
      <c r="N140" s="464"/>
      <c r="O140" s="465"/>
      <c r="Q140" s="466">
        <f t="shared" si="10"/>
        <v>0</v>
      </c>
      <c r="R140" s="467">
        <f t="shared" si="11"/>
        <v>0</v>
      </c>
      <c r="S140" s="468">
        <f t="shared" si="12"/>
        <v>0</v>
      </c>
    </row>
    <row r="141" spans="2:19" ht="14.25" thickBot="1" x14ac:dyDescent="0.2">
      <c r="B141" s="139" t="s">
        <v>5189</v>
      </c>
      <c r="C141" s="142" t="s">
        <v>1767</v>
      </c>
      <c r="D141" s="520">
        <v>0</v>
      </c>
      <c r="E141" s="520"/>
      <c r="F141" s="520">
        <v>0</v>
      </c>
      <c r="G141" s="520"/>
      <c r="H141" s="520"/>
      <c r="I141" s="520"/>
      <c r="J141" s="520"/>
      <c r="K141" s="520"/>
      <c r="L141" s="520"/>
      <c r="M141" s="520"/>
      <c r="N141" s="520"/>
      <c r="O141" s="521"/>
      <c r="Q141" s="466">
        <f t="shared" si="10"/>
        <v>0</v>
      </c>
      <c r="R141" s="467">
        <f t="shared" si="11"/>
        <v>0</v>
      </c>
      <c r="S141" s="468">
        <f t="shared" si="12"/>
        <v>0</v>
      </c>
    </row>
  </sheetData>
  <phoneticPr fontId="2"/>
  <printOptions horizontalCentered="1"/>
  <pageMargins left="0.39370078740157483" right="0.39370078740157483" top="0.39370078740157483" bottom="0.39370078740157483" header="0.31496062992125984" footer="0.31496062992125984"/>
  <pageSetup paperSize="9" scale="45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autoPict="0" r:id="rId5">
            <anchor moveWithCells="1">
              <from>
                <xdr:col>20</xdr:col>
                <xdr:colOff>419100</xdr:colOff>
                <xdr:row>0</xdr:row>
                <xdr:rowOff>209550</xdr:rowOff>
              </from>
              <to>
                <xdr:col>23</xdr:col>
                <xdr:colOff>419100</xdr:colOff>
                <xdr:row>2</xdr:row>
                <xdr:rowOff>133350</xdr:rowOff>
              </to>
            </anchor>
          </controlPr>
        </control>
      </mc:Choice>
      <mc:Fallback>
        <control shapeId="67585" r:id="rId4" name="CommandButton1"/>
      </mc:Fallback>
    </mc:AlternateContent>
    <mc:AlternateContent xmlns:mc="http://schemas.openxmlformats.org/markup-compatibility/2006">
      <mc:Choice Requires="x14">
        <control shapeId="67586" r:id="rId6" name="CommandButton2">
          <controlPr defaultSize="0" autoLine="0" autoPict="0" r:id="rId7">
            <anchor moveWithCells="1">
              <from>
                <xdr:col>24</xdr:col>
                <xdr:colOff>47625</xdr:colOff>
                <xdr:row>0</xdr:row>
                <xdr:rowOff>238125</xdr:rowOff>
              </from>
              <to>
                <xdr:col>26</xdr:col>
                <xdr:colOff>542925</xdr:colOff>
                <xdr:row>2</xdr:row>
                <xdr:rowOff>38100</xdr:rowOff>
              </to>
            </anchor>
          </controlPr>
        </control>
      </mc:Choice>
      <mc:Fallback>
        <control shapeId="67586" r:id="rId6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1:U138"/>
  <sheetViews>
    <sheetView zoomScale="110" zoomScaleNormal="110" workbookViewId="0">
      <selection activeCell="Z25" sqref="Z25"/>
    </sheetView>
  </sheetViews>
  <sheetFormatPr defaultRowHeight="13.5" x14ac:dyDescent="0.15"/>
  <cols>
    <col min="1" max="1" width="2.875" customWidth="1"/>
    <col min="2" max="2" width="6.125" customWidth="1"/>
    <col min="3" max="3" width="28.125" customWidth="1"/>
    <col min="4" max="15" width="9.875" style="2" customWidth="1"/>
    <col min="16" max="16" width="0.5" customWidth="1"/>
    <col min="17" max="17" width="10" style="2" customWidth="1"/>
    <col min="18" max="18" width="14.125" customWidth="1"/>
    <col min="19" max="19" width="8.875" bestFit="1" customWidth="1"/>
    <col min="21" max="21" width="12.875" customWidth="1"/>
  </cols>
  <sheetData>
    <row r="1" spans="2:21" ht="19.149999999999999" customHeight="1" thickBot="1" x14ac:dyDescent="0.2"/>
    <row r="2" spans="2:21" ht="20.45" customHeight="1" thickBot="1" x14ac:dyDescent="0.25">
      <c r="B2" s="173" t="s">
        <v>362</v>
      </c>
      <c r="C2" s="261"/>
      <c r="D2" s="314">
        <f t="shared" ref="D2:O2" si="0">SUM(D5:D136)</f>
        <v>0</v>
      </c>
      <c r="E2" s="314">
        <f t="shared" si="0"/>
        <v>2122300</v>
      </c>
      <c r="F2" s="314">
        <f t="shared" si="0"/>
        <v>297000</v>
      </c>
      <c r="G2" s="314">
        <f t="shared" si="0"/>
        <v>148500</v>
      </c>
      <c r="H2" s="314">
        <f t="shared" si="0"/>
        <v>1822300</v>
      </c>
      <c r="I2" s="314">
        <f t="shared" si="0"/>
        <v>2819000</v>
      </c>
      <c r="J2" s="314">
        <f t="shared" si="0"/>
        <v>563000</v>
      </c>
      <c r="K2" s="314">
        <f t="shared" si="0"/>
        <v>2322165</v>
      </c>
      <c r="L2" s="314">
        <f t="shared" si="0"/>
        <v>2129100</v>
      </c>
      <c r="M2" s="314">
        <f t="shared" si="0"/>
        <v>0</v>
      </c>
      <c r="N2" s="314">
        <f t="shared" si="0"/>
        <v>0</v>
      </c>
      <c r="O2" s="314">
        <f t="shared" si="0"/>
        <v>0</v>
      </c>
      <c r="P2" s="315"/>
      <c r="Q2" s="356">
        <f>SUM(D2:O2)</f>
        <v>12223365</v>
      </c>
      <c r="R2" s="357" t="s">
        <v>3619</v>
      </c>
      <c r="S2" s="358">
        <f>Q2/12</f>
        <v>1018613.75</v>
      </c>
      <c r="U2" s="25"/>
    </row>
    <row r="3" spans="2:21" ht="14.25" thickBot="1" x14ac:dyDescent="0.2">
      <c r="U3" s="25"/>
    </row>
    <row r="4" spans="2:21" ht="17.850000000000001" customHeight="1" x14ac:dyDescent="0.15">
      <c r="B4" s="310" t="s">
        <v>16</v>
      </c>
      <c r="C4" s="311" t="s">
        <v>14</v>
      </c>
      <c r="D4" s="312" t="s">
        <v>1152</v>
      </c>
      <c r="E4" s="312" t="s">
        <v>316</v>
      </c>
      <c r="F4" s="312" t="s">
        <v>317</v>
      </c>
      <c r="G4" s="312" t="s">
        <v>318</v>
      </c>
      <c r="H4" s="338" t="s">
        <v>319</v>
      </c>
      <c r="I4" s="312" t="s">
        <v>320</v>
      </c>
      <c r="J4" s="312" t="s">
        <v>321</v>
      </c>
      <c r="K4" s="312" t="s">
        <v>337</v>
      </c>
      <c r="L4" s="312" t="s">
        <v>338</v>
      </c>
      <c r="M4" s="312" t="s">
        <v>313</v>
      </c>
      <c r="N4" s="312" t="s">
        <v>314</v>
      </c>
      <c r="O4" s="313" t="s">
        <v>315</v>
      </c>
      <c r="Q4" s="320" t="s">
        <v>3617</v>
      </c>
      <c r="R4" s="351" t="s">
        <v>3620</v>
      </c>
      <c r="S4" s="321" t="s">
        <v>4095</v>
      </c>
    </row>
    <row r="5" spans="2:21" x14ac:dyDescent="0.15">
      <c r="B5" t="s">
        <v>4340</v>
      </c>
      <c r="C5" t="s">
        <v>2376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/>
      <c r="N5"/>
      <c r="O5"/>
      <c r="Q5" s="322">
        <f>SUM(D5:O5)</f>
        <v>0</v>
      </c>
      <c r="R5" s="352">
        <f>IF($Q$2=0,"",Q5/$Q$2)</f>
        <v>0</v>
      </c>
      <c r="S5" s="353">
        <f>Q5/12</f>
        <v>0</v>
      </c>
    </row>
    <row r="6" spans="2:21" x14ac:dyDescent="0.15">
      <c r="B6" t="s">
        <v>778</v>
      </c>
      <c r="C6" t="s">
        <v>1441</v>
      </c>
      <c r="D6">
        <v>0</v>
      </c>
      <c r="E6">
        <v>0</v>
      </c>
      <c r="F6">
        <v>0</v>
      </c>
      <c r="G6">
        <v>0</v>
      </c>
      <c r="H6">
        <v>233000</v>
      </c>
      <c r="I6">
        <v>0</v>
      </c>
      <c r="J6">
        <v>0</v>
      </c>
      <c r="K6">
        <v>18065</v>
      </c>
      <c r="L6">
        <v>733000</v>
      </c>
      <c r="M6"/>
      <c r="N6"/>
      <c r="O6"/>
      <c r="Q6" s="322">
        <f t="shared" ref="Q6:Q69" si="1">SUM(D6:O6)</f>
        <v>984065</v>
      </c>
      <c r="R6" s="352">
        <f t="shared" ref="R6:R69" si="2">IF($Q$2=0,"",Q6/$Q$2)</f>
        <v>8.0506881697470375E-2</v>
      </c>
      <c r="S6" s="353">
        <f t="shared" ref="S6:S69" si="3">Q6/12</f>
        <v>82005.416666666672</v>
      </c>
    </row>
    <row r="7" spans="2:21" x14ac:dyDescent="0.15">
      <c r="B7" t="s">
        <v>689</v>
      </c>
      <c r="C7" t="s">
        <v>1394</v>
      </c>
      <c r="D7">
        <v>0</v>
      </c>
      <c r="E7">
        <v>2122300</v>
      </c>
      <c r="F7">
        <v>297000</v>
      </c>
      <c r="G7">
        <v>148500</v>
      </c>
      <c r="H7">
        <v>1589300</v>
      </c>
      <c r="I7">
        <v>741500</v>
      </c>
      <c r="J7">
        <v>563000</v>
      </c>
      <c r="K7">
        <v>2304100</v>
      </c>
      <c r="L7">
        <v>961600</v>
      </c>
      <c r="M7"/>
      <c r="N7"/>
      <c r="O7"/>
      <c r="Q7" s="322">
        <f t="shared" si="1"/>
        <v>8727300</v>
      </c>
      <c r="R7" s="352">
        <f t="shared" si="2"/>
        <v>0.71398506057865407</v>
      </c>
      <c r="S7" s="353">
        <f t="shared" si="3"/>
        <v>727275</v>
      </c>
    </row>
    <row r="8" spans="2:21" x14ac:dyDescent="0.15">
      <c r="B8" t="s">
        <v>690</v>
      </c>
      <c r="C8" t="s">
        <v>4895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/>
      <c r="N8"/>
      <c r="O8"/>
      <c r="Q8" s="322">
        <f t="shared" si="1"/>
        <v>0</v>
      </c>
      <c r="R8" s="352">
        <f t="shared" si="2"/>
        <v>0</v>
      </c>
      <c r="S8" s="353">
        <f t="shared" si="3"/>
        <v>0</v>
      </c>
    </row>
    <row r="9" spans="2:21" x14ac:dyDescent="0.15">
      <c r="B9" t="s">
        <v>691</v>
      </c>
      <c r="C9" t="s">
        <v>4896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/>
      <c r="N9"/>
      <c r="O9"/>
      <c r="Q9" s="322">
        <f t="shared" si="1"/>
        <v>0</v>
      </c>
      <c r="R9" s="352">
        <f t="shared" si="2"/>
        <v>0</v>
      </c>
      <c r="S9" s="353">
        <f t="shared" si="3"/>
        <v>0</v>
      </c>
    </row>
    <row r="10" spans="2:21" x14ac:dyDescent="0.15">
      <c r="B10" t="s">
        <v>692</v>
      </c>
      <c r="C10" t="s">
        <v>1397</v>
      </c>
      <c r="D10">
        <v>0</v>
      </c>
      <c r="E10">
        <v>0</v>
      </c>
      <c r="F10">
        <v>0</v>
      </c>
      <c r="G10">
        <v>0</v>
      </c>
      <c r="H10">
        <v>0</v>
      </c>
      <c r="I10">
        <v>2077500</v>
      </c>
      <c r="J10">
        <v>0</v>
      </c>
      <c r="K10">
        <v>0</v>
      </c>
      <c r="L10">
        <v>434500</v>
      </c>
      <c r="M10"/>
      <c r="N10"/>
      <c r="O10"/>
      <c r="Q10" s="322">
        <f t="shared" si="1"/>
        <v>2512000</v>
      </c>
      <c r="R10" s="352">
        <f t="shared" si="2"/>
        <v>0.20550805772387554</v>
      </c>
      <c r="S10" s="353">
        <f t="shared" si="3"/>
        <v>209333.33333333334</v>
      </c>
    </row>
    <row r="11" spans="2:21" x14ac:dyDescent="0.15">
      <c r="B11" t="s">
        <v>693</v>
      </c>
      <c r="C11" t="s">
        <v>1398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/>
      <c r="N11"/>
      <c r="O11"/>
      <c r="Q11" s="322">
        <f t="shared" si="1"/>
        <v>0</v>
      </c>
      <c r="R11" s="352">
        <f t="shared" si="2"/>
        <v>0</v>
      </c>
      <c r="S11" s="353">
        <f t="shared" si="3"/>
        <v>0</v>
      </c>
    </row>
    <row r="12" spans="2:21" x14ac:dyDescent="0.15">
      <c r="B12" t="s">
        <v>694</v>
      </c>
      <c r="C12" t="s">
        <v>4339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/>
      <c r="N12"/>
      <c r="O12"/>
      <c r="Q12" s="322">
        <f t="shared" si="1"/>
        <v>0</v>
      </c>
      <c r="R12" s="352">
        <f t="shared" si="2"/>
        <v>0</v>
      </c>
      <c r="S12" s="353">
        <f t="shared" si="3"/>
        <v>0</v>
      </c>
    </row>
    <row r="13" spans="2:21" x14ac:dyDescent="0.15">
      <c r="B13" t="s">
        <v>695</v>
      </c>
      <c r="C13" t="s">
        <v>1506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/>
      <c r="N13"/>
      <c r="O13"/>
      <c r="Q13" s="322">
        <f t="shared" si="1"/>
        <v>0</v>
      </c>
      <c r="R13" s="352">
        <f t="shared" si="2"/>
        <v>0</v>
      </c>
      <c r="S13" s="353">
        <f t="shared" si="3"/>
        <v>0</v>
      </c>
    </row>
    <row r="14" spans="2:21" x14ac:dyDescent="0.15">
      <c r="B14" t="s">
        <v>1674</v>
      </c>
      <c r="C14" t="s">
        <v>1676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/>
      <c r="N14"/>
      <c r="O14"/>
      <c r="Q14" s="322">
        <f t="shared" si="1"/>
        <v>0</v>
      </c>
      <c r="R14" s="352">
        <f t="shared" si="2"/>
        <v>0</v>
      </c>
      <c r="S14" s="353">
        <f t="shared" si="3"/>
        <v>0</v>
      </c>
    </row>
    <row r="15" spans="2:21" x14ac:dyDescent="0.15">
      <c r="D15"/>
      <c r="E15"/>
      <c r="F15"/>
      <c r="G15"/>
      <c r="H15"/>
      <c r="I15"/>
      <c r="J15"/>
      <c r="K15"/>
      <c r="L15"/>
      <c r="M15"/>
      <c r="N15"/>
      <c r="O15"/>
      <c r="Q15" s="322">
        <f t="shared" si="1"/>
        <v>0</v>
      </c>
      <c r="R15" s="352">
        <f t="shared" si="2"/>
        <v>0</v>
      </c>
      <c r="S15" s="353">
        <f t="shared" si="3"/>
        <v>0</v>
      </c>
    </row>
    <row r="16" spans="2:21" x14ac:dyDescent="0.15">
      <c r="D16"/>
      <c r="E16"/>
      <c r="F16"/>
      <c r="G16"/>
      <c r="H16"/>
      <c r="I16"/>
      <c r="J16"/>
      <c r="K16"/>
      <c r="L16"/>
      <c r="M16"/>
      <c r="N16"/>
      <c r="O16"/>
      <c r="Q16" s="322">
        <f t="shared" si="1"/>
        <v>0</v>
      </c>
      <c r="R16" s="352">
        <f t="shared" si="2"/>
        <v>0</v>
      </c>
      <c r="S16" s="353">
        <f t="shared" si="3"/>
        <v>0</v>
      </c>
    </row>
    <row r="17" spans="4:19" x14ac:dyDescent="0.15">
      <c r="D17"/>
      <c r="E17"/>
      <c r="F17"/>
      <c r="G17"/>
      <c r="H17"/>
      <c r="I17"/>
      <c r="J17"/>
      <c r="K17"/>
      <c r="L17"/>
      <c r="M17"/>
      <c r="N17"/>
      <c r="O17"/>
      <c r="Q17" s="322">
        <f t="shared" si="1"/>
        <v>0</v>
      </c>
      <c r="R17" s="352">
        <f t="shared" si="2"/>
        <v>0</v>
      </c>
      <c r="S17" s="353">
        <f t="shared" si="3"/>
        <v>0</v>
      </c>
    </row>
    <row r="18" spans="4:19" x14ac:dyDescent="0.15">
      <c r="D18"/>
      <c r="E18"/>
      <c r="F18"/>
      <c r="G18"/>
      <c r="H18"/>
      <c r="I18"/>
      <c r="J18"/>
      <c r="K18"/>
      <c r="L18"/>
      <c r="M18"/>
      <c r="N18"/>
      <c r="O18"/>
      <c r="Q18" s="322">
        <f t="shared" si="1"/>
        <v>0</v>
      </c>
      <c r="R18" s="352">
        <f t="shared" si="2"/>
        <v>0</v>
      </c>
      <c r="S18" s="353">
        <f t="shared" si="3"/>
        <v>0</v>
      </c>
    </row>
    <row r="19" spans="4:19" x14ac:dyDescent="0.15">
      <c r="D19"/>
      <c r="E19"/>
      <c r="F19"/>
      <c r="G19"/>
      <c r="H19"/>
      <c r="I19"/>
      <c r="J19"/>
      <c r="K19"/>
      <c r="L19"/>
      <c r="M19"/>
      <c r="N19"/>
      <c r="O19"/>
      <c r="Q19" s="322">
        <f t="shared" si="1"/>
        <v>0</v>
      </c>
      <c r="R19" s="352">
        <f t="shared" si="2"/>
        <v>0</v>
      </c>
      <c r="S19" s="353">
        <f t="shared" si="3"/>
        <v>0</v>
      </c>
    </row>
    <row r="20" spans="4:19" x14ac:dyDescent="0.15">
      <c r="D20"/>
      <c r="E20"/>
      <c r="F20"/>
      <c r="G20"/>
      <c r="H20"/>
      <c r="I20"/>
      <c r="J20"/>
      <c r="K20"/>
      <c r="L20"/>
      <c r="M20"/>
      <c r="N20"/>
      <c r="O20"/>
      <c r="Q20" s="322">
        <f t="shared" si="1"/>
        <v>0</v>
      </c>
      <c r="R20" s="352">
        <f t="shared" si="2"/>
        <v>0</v>
      </c>
      <c r="S20" s="353">
        <f t="shared" si="3"/>
        <v>0</v>
      </c>
    </row>
    <row r="21" spans="4:19" x14ac:dyDescent="0.15">
      <c r="D21"/>
      <c r="E21"/>
      <c r="F21"/>
      <c r="G21"/>
      <c r="H21"/>
      <c r="I21"/>
      <c r="J21"/>
      <c r="K21"/>
      <c r="L21"/>
      <c r="M21"/>
      <c r="N21"/>
      <c r="O21"/>
      <c r="Q21" s="322">
        <f t="shared" si="1"/>
        <v>0</v>
      </c>
      <c r="R21" s="352">
        <f t="shared" si="2"/>
        <v>0</v>
      </c>
      <c r="S21" s="353">
        <f t="shared" si="3"/>
        <v>0</v>
      </c>
    </row>
    <row r="22" spans="4:19" x14ac:dyDescent="0.15">
      <c r="D22"/>
      <c r="E22"/>
      <c r="F22"/>
      <c r="G22"/>
      <c r="H22"/>
      <c r="I22"/>
      <c r="J22"/>
      <c r="K22"/>
      <c r="L22"/>
      <c r="M22"/>
      <c r="N22"/>
      <c r="O22"/>
      <c r="Q22" s="322">
        <f t="shared" si="1"/>
        <v>0</v>
      </c>
      <c r="R22" s="352">
        <f t="shared" si="2"/>
        <v>0</v>
      </c>
      <c r="S22" s="353">
        <f t="shared" si="3"/>
        <v>0</v>
      </c>
    </row>
    <row r="23" spans="4:19" x14ac:dyDescent="0.15">
      <c r="D23"/>
      <c r="E23"/>
      <c r="F23"/>
      <c r="G23"/>
      <c r="H23"/>
      <c r="I23"/>
      <c r="J23"/>
      <c r="K23"/>
      <c r="L23"/>
      <c r="M23"/>
      <c r="N23"/>
      <c r="O23"/>
      <c r="Q23" s="322">
        <f t="shared" si="1"/>
        <v>0</v>
      </c>
      <c r="R23" s="352">
        <f t="shared" si="2"/>
        <v>0</v>
      </c>
      <c r="S23" s="353">
        <f t="shared" si="3"/>
        <v>0</v>
      </c>
    </row>
    <row r="24" spans="4:19" x14ac:dyDescent="0.15">
      <c r="D24"/>
      <c r="E24"/>
      <c r="F24"/>
      <c r="G24"/>
      <c r="H24"/>
      <c r="I24"/>
      <c r="J24"/>
      <c r="K24"/>
      <c r="L24"/>
      <c r="M24"/>
      <c r="N24"/>
      <c r="O24"/>
      <c r="Q24" s="322">
        <f t="shared" si="1"/>
        <v>0</v>
      </c>
      <c r="R24" s="352">
        <f t="shared" si="2"/>
        <v>0</v>
      </c>
      <c r="S24" s="353">
        <f t="shared" si="3"/>
        <v>0</v>
      </c>
    </row>
    <row r="25" spans="4:19" x14ac:dyDescent="0.15">
      <c r="D25"/>
      <c r="E25"/>
      <c r="F25"/>
      <c r="G25"/>
      <c r="H25"/>
      <c r="I25"/>
      <c r="J25"/>
      <c r="K25"/>
      <c r="L25"/>
      <c r="M25"/>
      <c r="N25"/>
      <c r="O25"/>
      <c r="Q25" s="322">
        <f t="shared" si="1"/>
        <v>0</v>
      </c>
      <c r="R25" s="352">
        <f t="shared" si="2"/>
        <v>0</v>
      </c>
      <c r="S25" s="353">
        <f t="shared" si="3"/>
        <v>0</v>
      </c>
    </row>
    <row r="26" spans="4:19" x14ac:dyDescent="0.15">
      <c r="D26"/>
      <c r="E26"/>
      <c r="F26"/>
      <c r="G26"/>
      <c r="H26"/>
      <c r="I26"/>
      <c r="J26"/>
      <c r="K26"/>
      <c r="L26"/>
      <c r="M26"/>
      <c r="N26"/>
      <c r="O26"/>
      <c r="Q26" s="322">
        <f t="shared" si="1"/>
        <v>0</v>
      </c>
      <c r="R26" s="352">
        <f t="shared" si="2"/>
        <v>0</v>
      </c>
      <c r="S26" s="353">
        <f t="shared" si="3"/>
        <v>0</v>
      </c>
    </row>
    <row r="27" spans="4:19" x14ac:dyDescent="0.15">
      <c r="D27"/>
      <c r="E27"/>
      <c r="F27"/>
      <c r="G27"/>
      <c r="H27"/>
      <c r="I27"/>
      <c r="J27"/>
      <c r="K27"/>
      <c r="L27"/>
      <c r="M27"/>
      <c r="N27"/>
      <c r="O27"/>
      <c r="Q27" s="322">
        <f t="shared" si="1"/>
        <v>0</v>
      </c>
      <c r="R27" s="352">
        <f t="shared" si="2"/>
        <v>0</v>
      </c>
      <c r="S27" s="353">
        <f t="shared" si="3"/>
        <v>0</v>
      </c>
    </row>
    <row r="28" spans="4:19" x14ac:dyDescent="0.15">
      <c r="D28"/>
      <c r="E28"/>
      <c r="F28"/>
      <c r="G28"/>
      <c r="H28"/>
      <c r="I28"/>
      <c r="J28"/>
      <c r="K28"/>
      <c r="L28"/>
      <c r="M28"/>
      <c r="N28"/>
      <c r="O28"/>
      <c r="Q28" s="322">
        <f t="shared" si="1"/>
        <v>0</v>
      </c>
      <c r="R28" s="352">
        <f t="shared" si="2"/>
        <v>0</v>
      </c>
      <c r="S28" s="353">
        <f t="shared" si="3"/>
        <v>0</v>
      </c>
    </row>
    <row r="29" spans="4:19" x14ac:dyDescent="0.15">
      <c r="D29"/>
      <c r="E29"/>
      <c r="F29"/>
      <c r="G29"/>
      <c r="H29"/>
      <c r="I29"/>
      <c r="J29"/>
      <c r="K29"/>
      <c r="L29"/>
      <c r="M29"/>
      <c r="N29"/>
      <c r="O29"/>
      <c r="Q29" s="322">
        <f t="shared" si="1"/>
        <v>0</v>
      </c>
      <c r="R29" s="352">
        <f t="shared" si="2"/>
        <v>0</v>
      </c>
      <c r="S29" s="353">
        <f t="shared" si="3"/>
        <v>0</v>
      </c>
    </row>
    <row r="30" spans="4:19" x14ac:dyDescent="0.15">
      <c r="D30"/>
      <c r="E30"/>
      <c r="F30"/>
      <c r="G30"/>
      <c r="H30"/>
      <c r="I30"/>
      <c r="J30"/>
      <c r="K30"/>
      <c r="L30"/>
      <c r="M30"/>
      <c r="N30"/>
      <c r="O30"/>
      <c r="Q30" s="322">
        <f t="shared" si="1"/>
        <v>0</v>
      </c>
      <c r="R30" s="352">
        <f t="shared" si="2"/>
        <v>0</v>
      </c>
      <c r="S30" s="353">
        <f t="shared" si="3"/>
        <v>0</v>
      </c>
    </row>
    <row r="31" spans="4:19" x14ac:dyDescent="0.15">
      <c r="D31"/>
      <c r="E31"/>
      <c r="F31"/>
      <c r="G31"/>
      <c r="H31"/>
      <c r="I31"/>
      <c r="J31"/>
      <c r="K31"/>
      <c r="L31"/>
      <c r="M31"/>
      <c r="N31"/>
      <c r="O31"/>
      <c r="Q31" s="322">
        <f t="shared" si="1"/>
        <v>0</v>
      </c>
      <c r="R31" s="352">
        <f t="shared" si="2"/>
        <v>0</v>
      </c>
      <c r="S31" s="353">
        <f t="shared" si="3"/>
        <v>0</v>
      </c>
    </row>
    <row r="32" spans="4:19" x14ac:dyDescent="0.15">
      <c r="D32"/>
      <c r="E32"/>
      <c r="F32"/>
      <c r="G32"/>
      <c r="H32"/>
      <c r="I32"/>
      <c r="J32"/>
      <c r="K32"/>
      <c r="L32"/>
      <c r="M32"/>
      <c r="N32"/>
      <c r="O32"/>
      <c r="Q32" s="322">
        <f t="shared" si="1"/>
        <v>0</v>
      </c>
      <c r="R32" s="352">
        <f t="shared" si="2"/>
        <v>0</v>
      </c>
      <c r="S32" s="353">
        <f t="shared" si="3"/>
        <v>0</v>
      </c>
    </row>
    <row r="33" spans="4:19" x14ac:dyDescent="0.15">
      <c r="D33"/>
      <c r="E33"/>
      <c r="F33"/>
      <c r="G33"/>
      <c r="H33"/>
      <c r="I33"/>
      <c r="J33"/>
      <c r="K33"/>
      <c r="L33"/>
      <c r="M33"/>
      <c r="N33"/>
      <c r="O33"/>
      <c r="Q33" s="322">
        <f t="shared" si="1"/>
        <v>0</v>
      </c>
      <c r="R33" s="352">
        <f t="shared" si="2"/>
        <v>0</v>
      </c>
      <c r="S33" s="353">
        <f t="shared" si="3"/>
        <v>0</v>
      </c>
    </row>
    <row r="34" spans="4:19" x14ac:dyDescent="0.15">
      <c r="D34"/>
      <c r="E34"/>
      <c r="F34"/>
      <c r="G34"/>
      <c r="H34"/>
      <c r="I34"/>
      <c r="J34"/>
      <c r="K34"/>
      <c r="L34"/>
      <c r="M34"/>
      <c r="N34"/>
      <c r="O34"/>
      <c r="Q34" s="322">
        <f t="shared" si="1"/>
        <v>0</v>
      </c>
      <c r="R34" s="352">
        <f t="shared" si="2"/>
        <v>0</v>
      </c>
      <c r="S34" s="353">
        <f t="shared" si="3"/>
        <v>0</v>
      </c>
    </row>
    <row r="35" spans="4:19" x14ac:dyDescent="0.15">
      <c r="D35"/>
      <c r="E35"/>
      <c r="F35"/>
      <c r="G35"/>
      <c r="H35"/>
      <c r="I35"/>
      <c r="J35"/>
      <c r="K35"/>
      <c r="L35"/>
      <c r="M35"/>
      <c r="N35"/>
      <c r="O35"/>
      <c r="Q35" s="322">
        <f t="shared" si="1"/>
        <v>0</v>
      </c>
      <c r="R35" s="352">
        <f t="shared" si="2"/>
        <v>0</v>
      </c>
      <c r="S35" s="353">
        <f t="shared" si="3"/>
        <v>0</v>
      </c>
    </row>
    <row r="36" spans="4:19" x14ac:dyDescent="0.15">
      <c r="D36"/>
      <c r="E36"/>
      <c r="F36"/>
      <c r="G36"/>
      <c r="H36"/>
      <c r="I36"/>
      <c r="J36"/>
      <c r="K36"/>
      <c r="L36"/>
      <c r="M36"/>
      <c r="N36"/>
      <c r="O36"/>
      <c r="Q36" s="322">
        <f t="shared" si="1"/>
        <v>0</v>
      </c>
      <c r="R36" s="352">
        <f t="shared" si="2"/>
        <v>0</v>
      </c>
      <c r="S36" s="353">
        <f t="shared" si="3"/>
        <v>0</v>
      </c>
    </row>
    <row r="37" spans="4:19" x14ac:dyDescent="0.15">
      <c r="D37"/>
      <c r="E37"/>
      <c r="F37"/>
      <c r="G37"/>
      <c r="H37"/>
      <c r="I37"/>
      <c r="J37"/>
      <c r="K37"/>
      <c r="L37"/>
      <c r="M37"/>
      <c r="N37"/>
      <c r="O37"/>
      <c r="Q37" s="322">
        <f t="shared" si="1"/>
        <v>0</v>
      </c>
      <c r="R37" s="352">
        <f t="shared" si="2"/>
        <v>0</v>
      </c>
      <c r="S37" s="353">
        <f t="shared" si="3"/>
        <v>0</v>
      </c>
    </row>
    <row r="38" spans="4:19" x14ac:dyDescent="0.15">
      <c r="D38"/>
      <c r="E38"/>
      <c r="F38"/>
      <c r="G38"/>
      <c r="H38"/>
      <c r="I38"/>
      <c r="J38"/>
      <c r="K38"/>
      <c r="L38"/>
      <c r="M38"/>
      <c r="N38"/>
      <c r="O38"/>
      <c r="Q38" s="322">
        <f t="shared" si="1"/>
        <v>0</v>
      </c>
      <c r="R38" s="352">
        <f t="shared" si="2"/>
        <v>0</v>
      </c>
      <c r="S38" s="353">
        <f t="shared" si="3"/>
        <v>0</v>
      </c>
    </row>
    <row r="39" spans="4:19" x14ac:dyDescent="0.15">
      <c r="D39"/>
      <c r="E39"/>
      <c r="F39"/>
      <c r="G39"/>
      <c r="H39"/>
      <c r="I39"/>
      <c r="J39"/>
      <c r="K39"/>
      <c r="L39"/>
      <c r="M39"/>
      <c r="N39"/>
      <c r="O39"/>
      <c r="Q39" s="322">
        <f t="shared" si="1"/>
        <v>0</v>
      </c>
      <c r="R39" s="352">
        <f t="shared" si="2"/>
        <v>0</v>
      </c>
      <c r="S39" s="353">
        <f t="shared" si="3"/>
        <v>0</v>
      </c>
    </row>
    <row r="40" spans="4:19" x14ac:dyDescent="0.15">
      <c r="D40"/>
      <c r="E40"/>
      <c r="F40"/>
      <c r="G40"/>
      <c r="H40"/>
      <c r="I40"/>
      <c r="J40"/>
      <c r="K40"/>
      <c r="L40"/>
      <c r="M40"/>
      <c r="N40"/>
      <c r="O40"/>
      <c r="Q40" s="322">
        <f t="shared" si="1"/>
        <v>0</v>
      </c>
      <c r="R40" s="352">
        <f t="shared" si="2"/>
        <v>0</v>
      </c>
      <c r="S40" s="353">
        <f t="shared" si="3"/>
        <v>0</v>
      </c>
    </row>
    <row r="41" spans="4:19" x14ac:dyDescent="0.15">
      <c r="D41"/>
      <c r="E41"/>
      <c r="F41"/>
      <c r="G41"/>
      <c r="H41"/>
      <c r="I41"/>
      <c r="J41"/>
      <c r="K41"/>
      <c r="L41"/>
      <c r="M41"/>
      <c r="N41"/>
      <c r="O41"/>
      <c r="Q41" s="322">
        <f t="shared" si="1"/>
        <v>0</v>
      </c>
      <c r="R41" s="352">
        <f t="shared" si="2"/>
        <v>0</v>
      </c>
      <c r="S41" s="353">
        <f t="shared" si="3"/>
        <v>0</v>
      </c>
    </row>
    <row r="42" spans="4:19" x14ac:dyDescent="0.15">
      <c r="D42"/>
      <c r="E42"/>
      <c r="F42"/>
      <c r="G42"/>
      <c r="H42"/>
      <c r="I42"/>
      <c r="J42"/>
      <c r="K42"/>
      <c r="L42"/>
      <c r="M42"/>
      <c r="N42"/>
      <c r="O42"/>
      <c r="Q42" s="322">
        <f t="shared" si="1"/>
        <v>0</v>
      </c>
      <c r="R42" s="352">
        <f t="shared" si="2"/>
        <v>0</v>
      </c>
      <c r="S42" s="353">
        <f t="shared" si="3"/>
        <v>0</v>
      </c>
    </row>
    <row r="43" spans="4:19" x14ac:dyDescent="0.15">
      <c r="D43"/>
      <c r="E43"/>
      <c r="F43"/>
      <c r="G43"/>
      <c r="H43"/>
      <c r="I43"/>
      <c r="J43"/>
      <c r="K43"/>
      <c r="L43"/>
      <c r="M43"/>
      <c r="N43"/>
      <c r="O43"/>
      <c r="Q43" s="322">
        <f t="shared" si="1"/>
        <v>0</v>
      </c>
      <c r="R43" s="352">
        <f t="shared" si="2"/>
        <v>0</v>
      </c>
      <c r="S43" s="353">
        <f t="shared" si="3"/>
        <v>0</v>
      </c>
    </row>
    <row r="44" spans="4:19" x14ac:dyDescent="0.15">
      <c r="D44"/>
      <c r="E44"/>
      <c r="F44"/>
      <c r="G44"/>
      <c r="H44"/>
      <c r="I44"/>
      <c r="J44"/>
      <c r="K44"/>
      <c r="L44"/>
      <c r="M44"/>
      <c r="N44"/>
      <c r="O44"/>
      <c r="Q44" s="322">
        <f t="shared" si="1"/>
        <v>0</v>
      </c>
      <c r="R44" s="352">
        <f t="shared" si="2"/>
        <v>0</v>
      </c>
      <c r="S44" s="353">
        <f t="shared" si="3"/>
        <v>0</v>
      </c>
    </row>
    <row r="45" spans="4:19" x14ac:dyDescent="0.15">
      <c r="D45"/>
      <c r="E45"/>
      <c r="F45"/>
      <c r="G45"/>
      <c r="H45"/>
      <c r="I45"/>
      <c r="J45"/>
      <c r="K45"/>
      <c r="L45"/>
      <c r="M45"/>
      <c r="N45"/>
      <c r="O45"/>
      <c r="Q45" s="322">
        <f t="shared" si="1"/>
        <v>0</v>
      </c>
      <c r="R45" s="352">
        <f t="shared" si="2"/>
        <v>0</v>
      </c>
      <c r="S45" s="353">
        <f t="shared" si="3"/>
        <v>0</v>
      </c>
    </row>
    <row r="46" spans="4:19" x14ac:dyDescent="0.15">
      <c r="D46"/>
      <c r="E46"/>
      <c r="F46"/>
      <c r="G46"/>
      <c r="H46"/>
      <c r="I46"/>
      <c r="J46"/>
      <c r="K46"/>
      <c r="L46"/>
      <c r="M46"/>
      <c r="N46"/>
      <c r="O46"/>
      <c r="Q46" s="322">
        <f t="shared" si="1"/>
        <v>0</v>
      </c>
      <c r="R46" s="352">
        <f t="shared" si="2"/>
        <v>0</v>
      </c>
      <c r="S46" s="353">
        <f t="shared" si="3"/>
        <v>0</v>
      </c>
    </row>
    <row r="47" spans="4:19" x14ac:dyDescent="0.15">
      <c r="D47"/>
      <c r="E47"/>
      <c r="F47"/>
      <c r="G47"/>
      <c r="H47"/>
      <c r="I47"/>
      <c r="J47"/>
      <c r="K47"/>
      <c r="L47"/>
      <c r="M47"/>
      <c r="N47"/>
      <c r="O47"/>
      <c r="Q47" s="322">
        <f t="shared" si="1"/>
        <v>0</v>
      </c>
      <c r="R47" s="352">
        <f t="shared" si="2"/>
        <v>0</v>
      </c>
      <c r="S47" s="353">
        <f t="shared" si="3"/>
        <v>0</v>
      </c>
    </row>
    <row r="48" spans="4:19" x14ac:dyDescent="0.15">
      <c r="D48"/>
      <c r="E48"/>
      <c r="F48"/>
      <c r="G48"/>
      <c r="H48"/>
      <c r="I48"/>
      <c r="J48"/>
      <c r="K48"/>
      <c r="L48"/>
      <c r="M48"/>
      <c r="N48"/>
      <c r="O48"/>
      <c r="Q48" s="322">
        <f t="shared" si="1"/>
        <v>0</v>
      </c>
      <c r="R48" s="352">
        <f t="shared" si="2"/>
        <v>0</v>
      </c>
      <c r="S48" s="353">
        <f t="shared" si="3"/>
        <v>0</v>
      </c>
    </row>
    <row r="49" spans="4:19" x14ac:dyDescent="0.15">
      <c r="D49"/>
      <c r="E49"/>
      <c r="F49"/>
      <c r="G49"/>
      <c r="H49"/>
      <c r="I49"/>
      <c r="J49"/>
      <c r="K49"/>
      <c r="L49"/>
      <c r="M49"/>
      <c r="N49"/>
      <c r="O49"/>
      <c r="Q49" s="322">
        <f t="shared" si="1"/>
        <v>0</v>
      </c>
      <c r="R49" s="352">
        <f t="shared" si="2"/>
        <v>0</v>
      </c>
      <c r="S49" s="353">
        <f t="shared" si="3"/>
        <v>0</v>
      </c>
    </row>
    <row r="50" spans="4:19" x14ac:dyDescent="0.15">
      <c r="D50"/>
      <c r="E50"/>
      <c r="F50"/>
      <c r="G50"/>
      <c r="H50"/>
      <c r="I50"/>
      <c r="J50"/>
      <c r="K50"/>
      <c r="L50"/>
      <c r="M50"/>
      <c r="N50"/>
      <c r="O50"/>
      <c r="Q50" s="322">
        <f t="shared" si="1"/>
        <v>0</v>
      </c>
      <c r="R50" s="352">
        <f t="shared" si="2"/>
        <v>0</v>
      </c>
      <c r="S50" s="353">
        <f t="shared" si="3"/>
        <v>0</v>
      </c>
    </row>
    <row r="51" spans="4:19" x14ac:dyDescent="0.15">
      <c r="D51"/>
      <c r="E51"/>
      <c r="F51"/>
      <c r="G51"/>
      <c r="H51"/>
      <c r="I51"/>
      <c r="J51"/>
      <c r="K51"/>
      <c r="L51"/>
      <c r="M51"/>
      <c r="N51"/>
      <c r="O51"/>
      <c r="Q51" s="322">
        <f t="shared" si="1"/>
        <v>0</v>
      </c>
      <c r="R51" s="352">
        <f t="shared" si="2"/>
        <v>0</v>
      </c>
      <c r="S51" s="353">
        <f t="shared" si="3"/>
        <v>0</v>
      </c>
    </row>
    <row r="52" spans="4:19" x14ac:dyDescent="0.15">
      <c r="D52"/>
      <c r="E52"/>
      <c r="F52"/>
      <c r="G52"/>
      <c r="H52"/>
      <c r="I52"/>
      <c r="J52"/>
      <c r="K52"/>
      <c r="L52"/>
      <c r="M52"/>
      <c r="N52"/>
      <c r="O52"/>
      <c r="Q52" s="322">
        <f t="shared" si="1"/>
        <v>0</v>
      </c>
      <c r="R52" s="352">
        <f t="shared" si="2"/>
        <v>0</v>
      </c>
      <c r="S52" s="353">
        <f t="shared" si="3"/>
        <v>0</v>
      </c>
    </row>
    <row r="53" spans="4:19" x14ac:dyDescent="0.15">
      <c r="D53"/>
      <c r="E53"/>
      <c r="F53"/>
      <c r="G53"/>
      <c r="H53"/>
      <c r="I53"/>
      <c r="J53"/>
      <c r="K53"/>
      <c r="L53"/>
      <c r="M53"/>
      <c r="N53"/>
      <c r="O53"/>
      <c r="Q53" s="322">
        <f t="shared" si="1"/>
        <v>0</v>
      </c>
      <c r="R53" s="352">
        <f t="shared" si="2"/>
        <v>0</v>
      </c>
      <c r="S53" s="353">
        <f t="shared" si="3"/>
        <v>0</v>
      </c>
    </row>
    <row r="54" spans="4:19" x14ac:dyDescent="0.15">
      <c r="D54"/>
      <c r="E54"/>
      <c r="F54"/>
      <c r="G54"/>
      <c r="H54"/>
      <c r="I54"/>
      <c r="J54"/>
      <c r="K54"/>
      <c r="L54"/>
      <c r="M54"/>
      <c r="N54"/>
      <c r="O54"/>
      <c r="Q54" s="322">
        <f t="shared" si="1"/>
        <v>0</v>
      </c>
      <c r="R54" s="352">
        <f t="shared" si="2"/>
        <v>0</v>
      </c>
      <c r="S54" s="353">
        <f t="shared" si="3"/>
        <v>0</v>
      </c>
    </row>
    <row r="55" spans="4:19" x14ac:dyDescent="0.15">
      <c r="D55"/>
      <c r="E55"/>
      <c r="F55"/>
      <c r="G55"/>
      <c r="H55"/>
      <c r="I55"/>
      <c r="J55"/>
      <c r="K55"/>
      <c r="L55"/>
      <c r="M55"/>
      <c r="N55"/>
      <c r="O55"/>
      <c r="Q55" s="322">
        <f t="shared" si="1"/>
        <v>0</v>
      </c>
      <c r="R55" s="352">
        <f t="shared" si="2"/>
        <v>0</v>
      </c>
      <c r="S55" s="353">
        <f t="shared" si="3"/>
        <v>0</v>
      </c>
    </row>
    <row r="56" spans="4:19" x14ac:dyDescent="0.15">
      <c r="D56"/>
      <c r="E56"/>
      <c r="F56"/>
      <c r="G56"/>
      <c r="H56"/>
      <c r="I56"/>
      <c r="J56"/>
      <c r="K56"/>
      <c r="L56"/>
      <c r="M56"/>
      <c r="N56"/>
      <c r="O56"/>
      <c r="Q56" s="322">
        <f t="shared" si="1"/>
        <v>0</v>
      </c>
      <c r="R56" s="352">
        <f t="shared" si="2"/>
        <v>0</v>
      </c>
      <c r="S56" s="353">
        <f t="shared" si="3"/>
        <v>0</v>
      </c>
    </row>
    <row r="57" spans="4:19" x14ac:dyDescent="0.15">
      <c r="D57"/>
      <c r="E57"/>
      <c r="F57"/>
      <c r="G57"/>
      <c r="H57"/>
      <c r="I57"/>
      <c r="J57"/>
      <c r="K57"/>
      <c r="L57"/>
      <c r="M57"/>
      <c r="N57"/>
      <c r="O57"/>
      <c r="Q57" s="322">
        <f t="shared" si="1"/>
        <v>0</v>
      </c>
      <c r="R57" s="352">
        <f t="shared" si="2"/>
        <v>0</v>
      </c>
      <c r="S57" s="353">
        <f t="shared" si="3"/>
        <v>0</v>
      </c>
    </row>
    <row r="58" spans="4:19" x14ac:dyDescent="0.15">
      <c r="D58"/>
      <c r="E58"/>
      <c r="F58"/>
      <c r="G58"/>
      <c r="H58"/>
      <c r="I58"/>
      <c r="J58"/>
      <c r="K58"/>
      <c r="L58"/>
      <c r="M58"/>
      <c r="N58"/>
      <c r="O58"/>
      <c r="Q58" s="322">
        <f t="shared" si="1"/>
        <v>0</v>
      </c>
      <c r="R58" s="352">
        <f t="shared" si="2"/>
        <v>0</v>
      </c>
      <c r="S58" s="353">
        <f t="shared" si="3"/>
        <v>0</v>
      </c>
    </row>
    <row r="59" spans="4:19" x14ac:dyDescent="0.15">
      <c r="D59"/>
      <c r="E59"/>
      <c r="F59"/>
      <c r="G59"/>
      <c r="H59"/>
      <c r="I59"/>
      <c r="J59"/>
      <c r="K59"/>
      <c r="L59"/>
      <c r="M59"/>
      <c r="N59"/>
      <c r="O59"/>
      <c r="Q59" s="322">
        <f t="shared" si="1"/>
        <v>0</v>
      </c>
      <c r="R59" s="352">
        <f t="shared" si="2"/>
        <v>0</v>
      </c>
      <c r="S59" s="353">
        <f t="shared" si="3"/>
        <v>0</v>
      </c>
    </row>
    <row r="60" spans="4:19" x14ac:dyDescent="0.15">
      <c r="D60"/>
      <c r="E60"/>
      <c r="F60"/>
      <c r="G60"/>
      <c r="H60"/>
      <c r="I60"/>
      <c r="J60"/>
      <c r="K60"/>
      <c r="L60"/>
      <c r="M60"/>
      <c r="N60"/>
      <c r="O60"/>
      <c r="Q60" s="322">
        <f t="shared" si="1"/>
        <v>0</v>
      </c>
      <c r="R60" s="352">
        <f t="shared" si="2"/>
        <v>0</v>
      </c>
      <c r="S60" s="353">
        <f t="shared" si="3"/>
        <v>0</v>
      </c>
    </row>
    <row r="61" spans="4:19" x14ac:dyDescent="0.15">
      <c r="D61"/>
      <c r="E61"/>
      <c r="F61"/>
      <c r="G61"/>
      <c r="H61"/>
      <c r="I61"/>
      <c r="J61"/>
      <c r="K61"/>
      <c r="L61"/>
      <c r="M61"/>
      <c r="N61"/>
      <c r="O61"/>
      <c r="Q61" s="322">
        <f t="shared" si="1"/>
        <v>0</v>
      </c>
      <c r="R61" s="352">
        <f t="shared" si="2"/>
        <v>0</v>
      </c>
      <c r="S61" s="353">
        <f t="shared" si="3"/>
        <v>0</v>
      </c>
    </row>
    <row r="62" spans="4:19" x14ac:dyDescent="0.15">
      <c r="D62"/>
      <c r="E62"/>
      <c r="F62"/>
      <c r="G62"/>
      <c r="H62"/>
      <c r="I62"/>
      <c r="J62"/>
      <c r="K62"/>
      <c r="L62"/>
      <c r="M62"/>
      <c r="N62"/>
      <c r="O62"/>
      <c r="Q62" s="322">
        <f t="shared" si="1"/>
        <v>0</v>
      </c>
      <c r="R62" s="352">
        <f t="shared" si="2"/>
        <v>0</v>
      </c>
      <c r="S62" s="353">
        <f t="shared" si="3"/>
        <v>0</v>
      </c>
    </row>
    <row r="63" spans="4:19" x14ac:dyDescent="0.15">
      <c r="D63"/>
      <c r="E63"/>
      <c r="F63"/>
      <c r="G63"/>
      <c r="H63"/>
      <c r="I63"/>
      <c r="J63"/>
      <c r="K63"/>
      <c r="L63"/>
      <c r="M63"/>
      <c r="N63"/>
      <c r="O63"/>
      <c r="Q63" s="322">
        <f t="shared" si="1"/>
        <v>0</v>
      </c>
      <c r="R63" s="352">
        <f t="shared" si="2"/>
        <v>0</v>
      </c>
      <c r="S63" s="353">
        <f t="shared" si="3"/>
        <v>0</v>
      </c>
    </row>
    <row r="64" spans="4:19" x14ac:dyDescent="0.15">
      <c r="D64"/>
      <c r="E64"/>
      <c r="F64"/>
      <c r="G64"/>
      <c r="H64"/>
      <c r="I64"/>
      <c r="J64"/>
      <c r="K64"/>
      <c r="L64"/>
      <c r="M64"/>
      <c r="N64"/>
      <c r="O64"/>
      <c r="Q64" s="322">
        <f t="shared" si="1"/>
        <v>0</v>
      </c>
      <c r="R64" s="352">
        <f t="shared" si="2"/>
        <v>0</v>
      </c>
      <c r="S64" s="353">
        <f t="shared" si="3"/>
        <v>0</v>
      </c>
    </row>
    <row r="65" spans="4:19" x14ac:dyDescent="0.15">
      <c r="D65"/>
      <c r="E65"/>
      <c r="F65"/>
      <c r="G65"/>
      <c r="H65"/>
      <c r="I65"/>
      <c r="J65"/>
      <c r="K65"/>
      <c r="L65"/>
      <c r="M65"/>
      <c r="N65"/>
      <c r="O65"/>
      <c r="Q65" s="322">
        <f t="shared" si="1"/>
        <v>0</v>
      </c>
      <c r="R65" s="352">
        <f t="shared" si="2"/>
        <v>0</v>
      </c>
      <c r="S65" s="353">
        <f t="shared" si="3"/>
        <v>0</v>
      </c>
    </row>
    <row r="66" spans="4:19" x14ac:dyDescent="0.15">
      <c r="D66"/>
      <c r="E66"/>
      <c r="F66"/>
      <c r="G66"/>
      <c r="H66"/>
      <c r="I66"/>
      <c r="J66"/>
      <c r="K66"/>
      <c r="L66"/>
      <c r="M66"/>
      <c r="N66"/>
      <c r="O66"/>
      <c r="Q66" s="322">
        <f t="shared" si="1"/>
        <v>0</v>
      </c>
      <c r="R66" s="352">
        <f t="shared" si="2"/>
        <v>0</v>
      </c>
      <c r="S66" s="353">
        <f t="shared" si="3"/>
        <v>0</v>
      </c>
    </row>
    <row r="67" spans="4:19" x14ac:dyDescent="0.15">
      <c r="D67"/>
      <c r="E67"/>
      <c r="F67"/>
      <c r="G67"/>
      <c r="H67"/>
      <c r="I67"/>
      <c r="J67"/>
      <c r="K67"/>
      <c r="L67"/>
      <c r="M67"/>
      <c r="N67"/>
      <c r="O67"/>
      <c r="Q67" s="322">
        <f t="shared" si="1"/>
        <v>0</v>
      </c>
      <c r="R67" s="352">
        <f t="shared" si="2"/>
        <v>0</v>
      </c>
      <c r="S67" s="353">
        <f t="shared" si="3"/>
        <v>0</v>
      </c>
    </row>
    <row r="68" spans="4:19" x14ac:dyDescent="0.15">
      <c r="D68"/>
      <c r="E68"/>
      <c r="F68"/>
      <c r="G68"/>
      <c r="H68"/>
      <c r="I68"/>
      <c r="J68"/>
      <c r="K68"/>
      <c r="L68"/>
      <c r="M68"/>
      <c r="N68"/>
      <c r="O68"/>
      <c r="Q68" s="322">
        <f t="shared" si="1"/>
        <v>0</v>
      </c>
      <c r="R68" s="352">
        <f t="shared" si="2"/>
        <v>0</v>
      </c>
      <c r="S68" s="353">
        <f t="shared" si="3"/>
        <v>0</v>
      </c>
    </row>
    <row r="69" spans="4:19" x14ac:dyDescent="0.15">
      <c r="D69"/>
      <c r="E69"/>
      <c r="F69"/>
      <c r="G69"/>
      <c r="H69"/>
      <c r="I69"/>
      <c r="J69"/>
      <c r="K69"/>
      <c r="L69"/>
      <c r="M69"/>
      <c r="N69"/>
      <c r="O69"/>
      <c r="Q69" s="322">
        <f t="shared" si="1"/>
        <v>0</v>
      </c>
      <c r="R69" s="352">
        <f t="shared" si="2"/>
        <v>0</v>
      </c>
      <c r="S69" s="353">
        <f t="shared" si="3"/>
        <v>0</v>
      </c>
    </row>
    <row r="70" spans="4:19" x14ac:dyDescent="0.15">
      <c r="D70"/>
      <c r="E70"/>
      <c r="F70"/>
      <c r="G70"/>
      <c r="H70"/>
      <c r="I70"/>
      <c r="J70"/>
      <c r="K70"/>
      <c r="L70"/>
      <c r="M70"/>
      <c r="N70"/>
      <c r="O70"/>
      <c r="Q70" s="322">
        <f t="shared" ref="Q70:Q133" si="4">SUM(D70:O70)</f>
        <v>0</v>
      </c>
      <c r="R70" s="352">
        <f t="shared" ref="R70:R133" si="5">IF($Q$2=0,"",Q70/$Q$2)</f>
        <v>0</v>
      </c>
      <c r="S70" s="353">
        <f t="shared" ref="S70:S133" si="6">Q70/12</f>
        <v>0</v>
      </c>
    </row>
    <row r="71" spans="4:19" x14ac:dyDescent="0.15">
      <c r="D71"/>
      <c r="E71"/>
      <c r="F71"/>
      <c r="G71"/>
      <c r="H71"/>
      <c r="I71"/>
      <c r="J71"/>
      <c r="K71"/>
      <c r="L71"/>
      <c r="M71"/>
      <c r="N71"/>
      <c r="O71"/>
      <c r="Q71" s="322">
        <f t="shared" si="4"/>
        <v>0</v>
      </c>
      <c r="R71" s="352">
        <f t="shared" si="5"/>
        <v>0</v>
      </c>
      <c r="S71" s="353">
        <f t="shared" si="6"/>
        <v>0</v>
      </c>
    </row>
    <row r="72" spans="4:19" x14ac:dyDescent="0.15">
      <c r="D72"/>
      <c r="E72"/>
      <c r="F72"/>
      <c r="G72"/>
      <c r="H72"/>
      <c r="I72"/>
      <c r="J72"/>
      <c r="K72"/>
      <c r="L72"/>
      <c r="M72"/>
      <c r="N72"/>
      <c r="O72"/>
      <c r="Q72" s="322">
        <f t="shared" si="4"/>
        <v>0</v>
      </c>
      <c r="R72" s="352">
        <f t="shared" si="5"/>
        <v>0</v>
      </c>
      <c r="S72" s="353">
        <f t="shared" si="6"/>
        <v>0</v>
      </c>
    </row>
    <row r="73" spans="4:19" x14ac:dyDescent="0.15">
      <c r="D73"/>
      <c r="E73"/>
      <c r="F73"/>
      <c r="G73"/>
      <c r="H73"/>
      <c r="I73"/>
      <c r="J73"/>
      <c r="K73"/>
      <c r="L73"/>
      <c r="M73"/>
      <c r="N73"/>
      <c r="O73"/>
      <c r="Q73" s="322">
        <f t="shared" si="4"/>
        <v>0</v>
      </c>
      <c r="R73" s="352">
        <f t="shared" si="5"/>
        <v>0</v>
      </c>
      <c r="S73" s="353">
        <f t="shared" si="6"/>
        <v>0</v>
      </c>
    </row>
    <row r="74" spans="4:19" x14ac:dyDescent="0.15">
      <c r="D74"/>
      <c r="E74"/>
      <c r="F74"/>
      <c r="G74"/>
      <c r="H74"/>
      <c r="I74"/>
      <c r="J74"/>
      <c r="K74"/>
      <c r="L74"/>
      <c r="M74"/>
      <c r="N74"/>
      <c r="O74"/>
      <c r="Q74" s="322">
        <f t="shared" si="4"/>
        <v>0</v>
      </c>
      <c r="R74" s="352">
        <f t="shared" si="5"/>
        <v>0</v>
      </c>
      <c r="S74" s="353">
        <f t="shared" si="6"/>
        <v>0</v>
      </c>
    </row>
    <row r="75" spans="4:19" x14ac:dyDescent="0.15">
      <c r="D75"/>
      <c r="E75"/>
      <c r="F75"/>
      <c r="G75"/>
      <c r="H75"/>
      <c r="I75"/>
      <c r="J75"/>
      <c r="K75"/>
      <c r="L75"/>
      <c r="M75"/>
      <c r="N75"/>
      <c r="O75"/>
      <c r="Q75" s="322">
        <f t="shared" si="4"/>
        <v>0</v>
      </c>
      <c r="R75" s="352">
        <f t="shared" si="5"/>
        <v>0</v>
      </c>
      <c r="S75" s="353">
        <f t="shared" si="6"/>
        <v>0</v>
      </c>
    </row>
    <row r="76" spans="4:19" x14ac:dyDescent="0.15">
      <c r="D76"/>
      <c r="E76"/>
      <c r="F76"/>
      <c r="G76"/>
      <c r="H76"/>
      <c r="I76"/>
      <c r="J76"/>
      <c r="K76"/>
      <c r="L76"/>
      <c r="M76"/>
      <c r="N76"/>
      <c r="O76"/>
      <c r="Q76" s="322">
        <f t="shared" si="4"/>
        <v>0</v>
      </c>
      <c r="R76" s="352">
        <f t="shared" si="5"/>
        <v>0</v>
      </c>
      <c r="S76" s="353">
        <f t="shared" si="6"/>
        <v>0</v>
      </c>
    </row>
    <row r="77" spans="4:19" x14ac:dyDescent="0.15">
      <c r="D77"/>
      <c r="E77"/>
      <c r="F77"/>
      <c r="G77"/>
      <c r="H77"/>
      <c r="I77"/>
      <c r="J77"/>
      <c r="K77"/>
      <c r="L77"/>
      <c r="M77"/>
      <c r="N77"/>
      <c r="O77"/>
      <c r="Q77" s="322">
        <f t="shared" si="4"/>
        <v>0</v>
      </c>
      <c r="R77" s="352">
        <f t="shared" si="5"/>
        <v>0</v>
      </c>
      <c r="S77" s="353">
        <f t="shared" si="6"/>
        <v>0</v>
      </c>
    </row>
    <row r="78" spans="4:19" x14ac:dyDescent="0.15">
      <c r="D78"/>
      <c r="E78"/>
      <c r="F78"/>
      <c r="G78"/>
      <c r="H78"/>
      <c r="I78"/>
      <c r="J78"/>
      <c r="K78"/>
      <c r="L78"/>
      <c r="M78"/>
      <c r="N78"/>
      <c r="O78"/>
      <c r="Q78" s="322">
        <f t="shared" si="4"/>
        <v>0</v>
      </c>
      <c r="R78" s="352">
        <f t="shared" si="5"/>
        <v>0</v>
      </c>
      <c r="S78" s="353">
        <f t="shared" si="6"/>
        <v>0</v>
      </c>
    </row>
    <row r="79" spans="4:19" x14ac:dyDescent="0.15">
      <c r="D79"/>
      <c r="E79"/>
      <c r="F79"/>
      <c r="G79"/>
      <c r="H79"/>
      <c r="I79"/>
      <c r="J79"/>
      <c r="K79"/>
      <c r="L79"/>
      <c r="M79"/>
      <c r="N79"/>
      <c r="O79"/>
      <c r="Q79" s="322">
        <f t="shared" si="4"/>
        <v>0</v>
      </c>
      <c r="R79" s="352">
        <f t="shared" si="5"/>
        <v>0</v>
      </c>
      <c r="S79" s="353">
        <f t="shared" si="6"/>
        <v>0</v>
      </c>
    </row>
    <row r="80" spans="4:19" x14ac:dyDescent="0.15">
      <c r="D80"/>
      <c r="E80"/>
      <c r="F80"/>
      <c r="G80"/>
      <c r="H80"/>
      <c r="I80"/>
      <c r="J80"/>
      <c r="K80"/>
      <c r="L80"/>
      <c r="M80"/>
      <c r="N80"/>
      <c r="O80"/>
      <c r="Q80" s="322">
        <f t="shared" si="4"/>
        <v>0</v>
      </c>
      <c r="R80" s="352">
        <f t="shared" si="5"/>
        <v>0</v>
      </c>
      <c r="S80" s="353">
        <f t="shared" si="6"/>
        <v>0</v>
      </c>
    </row>
    <row r="81" spans="4:19" x14ac:dyDescent="0.15">
      <c r="D81"/>
      <c r="E81"/>
      <c r="F81"/>
      <c r="G81"/>
      <c r="H81"/>
      <c r="I81"/>
      <c r="J81"/>
      <c r="K81"/>
      <c r="L81"/>
      <c r="M81"/>
      <c r="N81"/>
      <c r="O81"/>
      <c r="Q81" s="322">
        <f t="shared" si="4"/>
        <v>0</v>
      </c>
      <c r="R81" s="352">
        <f t="shared" si="5"/>
        <v>0</v>
      </c>
      <c r="S81" s="353">
        <f t="shared" si="6"/>
        <v>0</v>
      </c>
    </row>
    <row r="82" spans="4:19" x14ac:dyDescent="0.15">
      <c r="D82"/>
      <c r="E82"/>
      <c r="F82"/>
      <c r="G82"/>
      <c r="H82"/>
      <c r="I82"/>
      <c r="J82"/>
      <c r="K82"/>
      <c r="L82"/>
      <c r="M82"/>
      <c r="N82"/>
      <c r="O82"/>
      <c r="Q82" s="322">
        <f t="shared" si="4"/>
        <v>0</v>
      </c>
      <c r="R82" s="352">
        <f t="shared" si="5"/>
        <v>0</v>
      </c>
      <c r="S82" s="353">
        <f t="shared" si="6"/>
        <v>0</v>
      </c>
    </row>
    <row r="83" spans="4:19" x14ac:dyDescent="0.15">
      <c r="D83"/>
      <c r="E83"/>
      <c r="F83"/>
      <c r="G83"/>
      <c r="H83"/>
      <c r="I83"/>
      <c r="J83"/>
      <c r="K83"/>
      <c r="L83"/>
      <c r="M83"/>
      <c r="N83"/>
      <c r="O83"/>
      <c r="Q83" s="322">
        <f t="shared" si="4"/>
        <v>0</v>
      </c>
      <c r="R83" s="352">
        <f t="shared" si="5"/>
        <v>0</v>
      </c>
      <c r="S83" s="353">
        <f t="shared" si="6"/>
        <v>0</v>
      </c>
    </row>
    <row r="84" spans="4:19" x14ac:dyDescent="0.15">
      <c r="D84"/>
      <c r="E84"/>
      <c r="F84"/>
      <c r="G84"/>
      <c r="H84"/>
      <c r="I84"/>
      <c r="J84"/>
      <c r="K84"/>
      <c r="L84"/>
      <c r="M84"/>
      <c r="N84"/>
      <c r="O84"/>
      <c r="Q84" s="322">
        <f t="shared" si="4"/>
        <v>0</v>
      </c>
      <c r="R84" s="352">
        <f t="shared" si="5"/>
        <v>0</v>
      </c>
      <c r="S84" s="353">
        <f t="shared" si="6"/>
        <v>0</v>
      </c>
    </row>
    <row r="85" spans="4:19" x14ac:dyDescent="0.15">
      <c r="D85"/>
      <c r="E85"/>
      <c r="F85"/>
      <c r="G85"/>
      <c r="H85"/>
      <c r="I85"/>
      <c r="J85"/>
      <c r="K85"/>
      <c r="L85"/>
      <c r="M85"/>
      <c r="N85"/>
      <c r="O85"/>
      <c r="Q85" s="322">
        <f t="shared" si="4"/>
        <v>0</v>
      </c>
      <c r="R85" s="352">
        <f t="shared" si="5"/>
        <v>0</v>
      </c>
      <c r="S85" s="353">
        <f t="shared" si="6"/>
        <v>0</v>
      </c>
    </row>
    <row r="86" spans="4:19" x14ac:dyDescent="0.15">
      <c r="D86"/>
      <c r="E86"/>
      <c r="F86"/>
      <c r="G86"/>
      <c r="H86"/>
      <c r="I86"/>
      <c r="J86"/>
      <c r="K86"/>
      <c r="L86"/>
      <c r="M86"/>
      <c r="N86"/>
      <c r="O86"/>
      <c r="Q86" s="322">
        <f t="shared" si="4"/>
        <v>0</v>
      </c>
      <c r="R86" s="352">
        <f t="shared" si="5"/>
        <v>0</v>
      </c>
      <c r="S86" s="353">
        <f t="shared" si="6"/>
        <v>0</v>
      </c>
    </row>
    <row r="87" spans="4:19" x14ac:dyDescent="0.15">
      <c r="D87"/>
      <c r="E87"/>
      <c r="F87"/>
      <c r="G87"/>
      <c r="H87"/>
      <c r="I87"/>
      <c r="J87"/>
      <c r="K87"/>
      <c r="L87"/>
      <c r="M87"/>
      <c r="N87"/>
      <c r="O87"/>
      <c r="Q87" s="322">
        <f t="shared" si="4"/>
        <v>0</v>
      </c>
      <c r="R87" s="352">
        <f t="shared" si="5"/>
        <v>0</v>
      </c>
      <c r="S87" s="353">
        <f t="shared" si="6"/>
        <v>0</v>
      </c>
    </row>
    <row r="88" spans="4:19" x14ac:dyDescent="0.15">
      <c r="D88"/>
      <c r="E88"/>
      <c r="F88"/>
      <c r="G88"/>
      <c r="H88"/>
      <c r="I88"/>
      <c r="J88"/>
      <c r="K88"/>
      <c r="L88"/>
      <c r="M88"/>
      <c r="N88"/>
      <c r="O88"/>
      <c r="Q88" s="322">
        <f t="shared" si="4"/>
        <v>0</v>
      </c>
      <c r="R88" s="352">
        <f t="shared" si="5"/>
        <v>0</v>
      </c>
      <c r="S88" s="353">
        <f t="shared" si="6"/>
        <v>0</v>
      </c>
    </row>
    <row r="89" spans="4:19" x14ac:dyDescent="0.15">
      <c r="D89"/>
      <c r="E89"/>
      <c r="F89"/>
      <c r="G89"/>
      <c r="H89"/>
      <c r="I89"/>
      <c r="J89"/>
      <c r="K89"/>
      <c r="L89"/>
      <c r="M89"/>
      <c r="N89"/>
      <c r="O89"/>
      <c r="Q89" s="322">
        <f t="shared" si="4"/>
        <v>0</v>
      </c>
      <c r="R89" s="352">
        <f t="shared" si="5"/>
        <v>0</v>
      </c>
      <c r="S89" s="353">
        <f t="shared" si="6"/>
        <v>0</v>
      </c>
    </row>
    <row r="90" spans="4:19" x14ac:dyDescent="0.15">
      <c r="D90"/>
      <c r="E90"/>
      <c r="F90"/>
      <c r="G90"/>
      <c r="H90"/>
      <c r="I90"/>
      <c r="J90"/>
      <c r="K90"/>
      <c r="L90"/>
      <c r="M90"/>
      <c r="N90"/>
      <c r="O90"/>
      <c r="Q90" s="322">
        <f t="shared" si="4"/>
        <v>0</v>
      </c>
      <c r="R90" s="352">
        <f t="shared" si="5"/>
        <v>0</v>
      </c>
      <c r="S90" s="353">
        <f t="shared" si="6"/>
        <v>0</v>
      </c>
    </row>
    <row r="91" spans="4:19" x14ac:dyDescent="0.15">
      <c r="D91"/>
      <c r="E91"/>
      <c r="F91"/>
      <c r="G91"/>
      <c r="H91"/>
      <c r="I91"/>
      <c r="J91"/>
      <c r="K91"/>
      <c r="L91"/>
      <c r="M91"/>
      <c r="N91"/>
      <c r="O91"/>
      <c r="Q91" s="322">
        <f t="shared" si="4"/>
        <v>0</v>
      </c>
      <c r="R91" s="352">
        <f t="shared" si="5"/>
        <v>0</v>
      </c>
      <c r="S91" s="353">
        <f t="shared" si="6"/>
        <v>0</v>
      </c>
    </row>
    <row r="92" spans="4:19" x14ac:dyDescent="0.15">
      <c r="D92"/>
      <c r="E92"/>
      <c r="F92"/>
      <c r="G92"/>
      <c r="H92"/>
      <c r="I92"/>
      <c r="J92"/>
      <c r="K92"/>
      <c r="L92"/>
      <c r="M92"/>
      <c r="N92"/>
      <c r="O92"/>
      <c r="Q92" s="322">
        <f t="shared" si="4"/>
        <v>0</v>
      </c>
      <c r="R92" s="352">
        <f t="shared" si="5"/>
        <v>0</v>
      </c>
      <c r="S92" s="353">
        <f t="shared" si="6"/>
        <v>0</v>
      </c>
    </row>
    <row r="93" spans="4:19" x14ac:dyDescent="0.15">
      <c r="D93"/>
      <c r="E93"/>
      <c r="F93"/>
      <c r="G93"/>
      <c r="H93"/>
      <c r="I93"/>
      <c r="J93"/>
      <c r="K93"/>
      <c r="L93"/>
      <c r="M93"/>
      <c r="N93"/>
      <c r="O93"/>
      <c r="Q93" s="322">
        <f t="shared" si="4"/>
        <v>0</v>
      </c>
      <c r="R93" s="352">
        <f t="shared" si="5"/>
        <v>0</v>
      </c>
      <c r="S93" s="353">
        <f t="shared" si="6"/>
        <v>0</v>
      </c>
    </row>
    <row r="94" spans="4:19" x14ac:dyDescent="0.15">
      <c r="D94"/>
      <c r="E94"/>
      <c r="F94"/>
      <c r="G94"/>
      <c r="H94"/>
      <c r="I94"/>
      <c r="J94"/>
      <c r="K94"/>
      <c r="L94"/>
      <c r="M94"/>
      <c r="N94"/>
      <c r="O94"/>
      <c r="Q94" s="322">
        <f t="shared" si="4"/>
        <v>0</v>
      </c>
      <c r="R94" s="352">
        <f t="shared" si="5"/>
        <v>0</v>
      </c>
      <c r="S94" s="353">
        <f t="shared" si="6"/>
        <v>0</v>
      </c>
    </row>
    <row r="95" spans="4:19" x14ac:dyDescent="0.15">
      <c r="D95"/>
      <c r="E95"/>
      <c r="F95"/>
      <c r="G95"/>
      <c r="H95"/>
      <c r="I95"/>
      <c r="J95"/>
      <c r="K95"/>
      <c r="L95"/>
      <c r="M95"/>
      <c r="N95"/>
      <c r="O95"/>
      <c r="Q95" s="322">
        <f t="shared" si="4"/>
        <v>0</v>
      </c>
      <c r="R95" s="352">
        <f t="shared" si="5"/>
        <v>0</v>
      </c>
      <c r="S95" s="353">
        <f t="shared" si="6"/>
        <v>0</v>
      </c>
    </row>
    <row r="96" spans="4:19" x14ac:dyDescent="0.15">
      <c r="D96"/>
      <c r="E96"/>
      <c r="F96"/>
      <c r="G96"/>
      <c r="H96"/>
      <c r="I96"/>
      <c r="J96"/>
      <c r="K96"/>
      <c r="L96"/>
      <c r="M96"/>
      <c r="N96"/>
      <c r="O96"/>
      <c r="Q96" s="322">
        <f t="shared" si="4"/>
        <v>0</v>
      </c>
      <c r="R96" s="352">
        <f t="shared" si="5"/>
        <v>0</v>
      </c>
      <c r="S96" s="353">
        <f t="shared" si="6"/>
        <v>0</v>
      </c>
    </row>
    <row r="97" spans="4:19" x14ac:dyDescent="0.15">
      <c r="D97"/>
      <c r="E97"/>
      <c r="F97"/>
      <c r="G97"/>
      <c r="H97"/>
      <c r="I97"/>
      <c r="J97"/>
      <c r="K97"/>
      <c r="L97"/>
      <c r="M97"/>
      <c r="N97"/>
      <c r="O97"/>
      <c r="Q97" s="322">
        <f t="shared" si="4"/>
        <v>0</v>
      </c>
      <c r="R97" s="352">
        <f t="shared" si="5"/>
        <v>0</v>
      </c>
      <c r="S97" s="353">
        <f t="shared" si="6"/>
        <v>0</v>
      </c>
    </row>
    <row r="98" spans="4:19" x14ac:dyDescent="0.15">
      <c r="D98"/>
      <c r="E98"/>
      <c r="F98"/>
      <c r="G98"/>
      <c r="H98"/>
      <c r="I98"/>
      <c r="J98"/>
      <c r="K98"/>
      <c r="L98"/>
      <c r="M98"/>
      <c r="N98"/>
      <c r="O98"/>
      <c r="Q98" s="322">
        <f t="shared" si="4"/>
        <v>0</v>
      </c>
      <c r="R98" s="352">
        <f t="shared" si="5"/>
        <v>0</v>
      </c>
      <c r="S98" s="353">
        <f t="shared" si="6"/>
        <v>0</v>
      </c>
    </row>
    <row r="99" spans="4:19" x14ac:dyDescent="0.15">
      <c r="D99"/>
      <c r="E99"/>
      <c r="F99"/>
      <c r="G99"/>
      <c r="H99"/>
      <c r="I99"/>
      <c r="J99"/>
      <c r="K99"/>
      <c r="L99"/>
      <c r="M99"/>
      <c r="N99"/>
      <c r="O99"/>
      <c r="Q99" s="322">
        <f t="shared" si="4"/>
        <v>0</v>
      </c>
      <c r="R99" s="352">
        <f t="shared" si="5"/>
        <v>0</v>
      </c>
      <c r="S99" s="353">
        <f t="shared" si="6"/>
        <v>0</v>
      </c>
    </row>
    <row r="100" spans="4:19" x14ac:dyDescent="0.15">
      <c r="D100"/>
      <c r="E100"/>
      <c r="F100"/>
      <c r="G100"/>
      <c r="H100"/>
      <c r="I100"/>
      <c r="J100"/>
      <c r="K100"/>
      <c r="L100"/>
      <c r="M100"/>
      <c r="N100"/>
      <c r="O100"/>
      <c r="Q100" s="322">
        <f t="shared" si="4"/>
        <v>0</v>
      </c>
      <c r="R100" s="352">
        <f t="shared" si="5"/>
        <v>0</v>
      </c>
      <c r="S100" s="353">
        <f t="shared" si="6"/>
        <v>0</v>
      </c>
    </row>
    <row r="101" spans="4:19" x14ac:dyDescent="0.15">
      <c r="D101"/>
      <c r="E101"/>
      <c r="F101"/>
      <c r="G101"/>
      <c r="H101"/>
      <c r="I101"/>
      <c r="J101"/>
      <c r="K101"/>
      <c r="L101"/>
      <c r="M101"/>
      <c r="N101"/>
      <c r="O101"/>
      <c r="Q101" s="322">
        <f t="shared" si="4"/>
        <v>0</v>
      </c>
      <c r="R101" s="352">
        <f t="shared" si="5"/>
        <v>0</v>
      </c>
      <c r="S101" s="353">
        <f t="shared" si="6"/>
        <v>0</v>
      </c>
    </row>
    <row r="102" spans="4:19" x14ac:dyDescent="0.15">
      <c r="D102"/>
      <c r="E102"/>
      <c r="F102"/>
      <c r="G102"/>
      <c r="H102"/>
      <c r="I102"/>
      <c r="J102"/>
      <c r="K102"/>
      <c r="L102"/>
      <c r="M102"/>
      <c r="N102"/>
      <c r="O102"/>
      <c r="Q102" s="322">
        <f t="shared" si="4"/>
        <v>0</v>
      </c>
      <c r="R102" s="352">
        <f t="shared" si="5"/>
        <v>0</v>
      </c>
      <c r="S102" s="353">
        <f t="shared" si="6"/>
        <v>0</v>
      </c>
    </row>
    <row r="103" spans="4:19" x14ac:dyDescent="0.15">
      <c r="D103"/>
      <c r="E103"/>
      <c r="F103"/>
      <c r="G103"/>
      <c r="H103"/>
      <c r="I103"/>
      <c r="J103"/>
      <c r="K103"/>
      <c r="L103"/>
      <c r="M103"/>
      <c r="N103"/>
      <c r="O103"/>
      <c r="Q103" s="322">
        <f t="shared" si="4"/>
        <v>0</v>
      </c>
      <c r="R103" s="352">
        <f t="shared" si="5"/>
        <v>0</v>
      </c>
      <c r="S103" s="353">
        <f t="shared" si="6"/>
        <v>0</v>
      </c>
    </row>
    <row r="104" spans="4:19" x14ac:dyDescent="0.15">
      <c r="D104"/>
      <c r="E104"/>
      <c r="F104"/>
      <c r="G104"/>
      <c r="H104"/>
      <c r="I104"/>
      <c r="J104"/>
      <c r="K104"/>
      <c r="L104"/>
      <c r="M104"/>
      <c r="N104"/>
      <c r="O104"/>
      <c r="Q104" s="322">
        <f t="shared" si="4"/>
        <v>0</v>
      </c>
      <c r="R104" s="352">
        <f t="shared" si="5"/>
        <v>0</v>
      </c>
      <c r="S104" s="353">
        <f t="shared" si="6"/>
        <v>0</v>
      </c>
    </row>
    <row r="105" spans="4:19" x14ac:dyDescent="0.15">
      <c r="D105"/>
      <c r="E105"/>
      <c r="F105"/>
      <c r="G105"/>
      <c r="H105"/>
      <c r="I105"/>
      <c r="J105"/>
      <c r="K105"/>
      <c r="L105"/>
      <c r="M105"/>
      <c r="N105"/>
      <c r="O105"/>
      <c r="Q105" s="322">
        <f t="shared" si="4"/>
        <v>0</v>
      </c>
      <c r="R105" s="352">
        <f t="shared" si="5"/>
        <v>0</v>
      </c>
      <c r="S105" s="353">
        <f t="shared" si="6"/>
        <v>0</v>
      </c>
    </row>
    <row r="106" spans="4:19" x14ac:dyDescent="0.15">
      <c r="D106"/>
      <c r="E106"/>
      <c r="F106"/>
      <c r="G106"/>
      <c r="H106"/>
      <c r="I106"/>
      <c r="J106"/>
      <c r="K106"/>
      <c r="L106"/>
      <c r="M106"/>
      <c r="N106"/>
      <c r="O106"/>
      <c r="Q106" s="322">
        <f t="shared" si="4"/>
        <v>0</v>
      </c>
      <c r="R106" s="352">
        <f t="shared" si="5"/>
        <v>0</v>
      </c>
      <c r="S106" s="353">
        <f t="shared" si="6"/>
        <v>0</v>
      </c>
    </row>
    <row r="107" spans="4:19" x14ac:dyDescent="0.15">
      <c r="D107"/>
      <c r="E107"/>
      <c r="F107"/>
      <c r="G107"/>
      <c r="H107"/>
      <c r="I107"/>
      <c r="J107"/>
      <c r="K107"/>
      <c r="L107"/>
      <c r="M107"/>
      <c r="N107"/>
      <c r="O107"/>
      <c r="Q107" s="322">
        <f t="shared" si="4"/>
        <v>0</v>
      </c>
      <c r="R107" s="352">
        <f t="shared" si="5"/>
        <v>0</v>
      </c>
      <c r="S107" s="353">
        <f t="shared" si="6"/>
        <v>0</v>
      </c>
    </row>
    <row r="108" spans="4:19" x14ac:dyDescent="0.15">
      <c r="D108"/>
      <c r="E108"/>
      <c r="F108"/>
      <c r="G108"/>
      <c r="H108"/>
      <c r="I108"/>
      <c r="J108"/>
      <c r="K108"/>
      <c r="L108"/>
      <c r="M108"/>
      <c r="N108"/>
      <c r="O108"/>
      <c r="Q108" s="322">
        <f t="shared" si="4"/>
        <v>0</v>
      </c>
      <c r="R108" s="352">
        <f t="shared" si="5"/>
        <v>0</v>
      </c>
      <c r="S108" s="353">
        <f t="shared" si="6"/>
        <v>0</v>
      </c>
    </row>
    <row r="109" spans="4:19" x14ac:dyDescent="0.15">
      <c r="D109"/>
      <c r="E109"/>
      <c r="F109"/>
      <c r="G109"/>
      <c r="H109"/>
      <c r="I109"/>
      <c r="J109"/>
      <c r="K109"/>
      <c r="L109"/>
      <c r="M109"/>
      <c r="N109"/>
      <c r="O109"/>
      <c r="Q109" s="322">
        <f t="shared" si="4"/>
        <v>0</v>
      </c>
      <c r="R109" s="352">
        <f t="shared" si="5"/>
        <v>0</v>
      </c>
      <c r="S109" s="353">
        <f t="shared" si="6"/>
        <v>0</v>
      </c>
    </row>
    <row r="110" spans="4:19" x14ac:dyDescent="0.15">
      <c r="D110"/>
      <c r="E110"/>
      <c r="F110"/>
      <c r="G110"/>
      <c r="H110"/>
      <c r="I110"/>
      <c r="J110"/>
      <c r="K110"/>
      <c r="L110"/>
      <c r="M110"/>
      <c r="N110"/>
      <c r="O110"/>
      <c r="Q110" s="322">
        <f t="shared" si="4"/>
        <v>0</v>
      </c>
      <c r="R110" s="352">
        <f t="shared" si="5"/>
        <v>0</v>
      </c>
      <c r="S110" s="353">
        <f t="shared" si="6"/>
        <v>0</v>
      </c>
    </row>
    <row r="111" spans="4:19" x14ac:dyDescent="0.15">
      <c r="D111"/>
      <c r="E111"/>
      <c r="F111"/>
      <c r="G111"/>
      <c r="H111"/>
      <c r="I111"/>
      <c r="J111"/>
      <c r="K111"/>
      <c r="L111"/>
      <c r="M111"/>
      <c r="N111"/>
      <c r="O111"/>
      <c r="Q111" s="322">
        <f t="shared" si="4"/>
        <v>0</v>
      </c>
      <c r="R111" s="352">
        <f t="shared" si="5"/>
        <v>0</v>
      </c>
      <c r="S111" s="353">
        <f t="shared" si="6"/>
        <v>0</v>
      </c>
    </row>
    <row r="112" spans="4:19" x14ac:dyDescent="0.15">
      <c r="D112"/>
      <c r="E112"/>
      <c r="F112"/>
      <c r="G112"/>
      <c r="H112"/>
      <c r="I112"/>
      <c r="J112"/>
      <c r="K112"/>
      <c r="L112"/>
      <c r="M112"/>
      <c r="N112"/>
      <c r="O112"/>
      <c r="Q112" s="322">
        <f t="shared" si="4"/>
        <v>0</v>
      </c>
      <c r="R112" s="352">
        <f t="shared" si="5"/>
        <v>0</v>
      </c>
      <c r="S112" s="353">
        <f t="shared" si="6"/>
        <v>0</v>
      </c>
    </row>
    <row r="113" spans="4:19" x14ac:dyDescent="0.15">
      <c r="D113"/>
      <c r="E113"/>
      <c r="F113"/>
      <c r="G113"/>
      <c r="H113"/>
      <c r="I113"/>
      <c r="J113"/>
      <c r="K113"/>
      <c r="L113"/>
      <c r="M113"/>
      <c r="N113"/>
      <c r="O113"/>
      <c r="Q113" s="322">
        <f t="shared" si="4"/>
        <v>0</v>
      </c>
      <c r="R113" s="352">
        <f t="shared" si="5"/>
        <v>0</v>
      </c>
      <c r="S113" s="353">
        <f t="shared" si="6"/>
        <v>0</v>
      </c>
    </row>
    <row r="114" spans="4:19" x14ac:dyDescent="0.15">
      <c r="D114"/>
      <c r="E114"/>
      <c r="F114"/>
      <c r="G114"/>
      <c r="H114"/>
      <c r="I114"/>
      <c r="J114"/>
      <c r="K114"/>
      <c r="L114"/>
      <c r="M114"/>
      <c r="N114"/>
      <c r="O114"/>
      <c r="Q114" s="322">
        <f t="shared" si="4"/>
        <v>0</v>
      </c>
      <c r="R114" s="352">
        <f t="shared" si="5"/>
        <v>0</v>
      </c>
      <c r="S114" s="353">
        <f t="shared" si="6"/>
        <v>0</v>
      </c>
    </row>
    <row r="115" spans="4:19" x14ac:dyDescent="0.15">
      <c r="D115"/>
      <c r="E115"/>
      <c r="F115"/>
      <c r="G115"/>
      <c r="H115"/>
      <c r="I115"/>
      <c r="J115"/>
      <c r="K115"/>
      <c r="L115"/>
      <c r="M115"/>
      <c r="N115"/>
      <c r="O115"/>
      <c r="Q115" s="322">
        <f t="shared" si="4"/>
        <v>0</v>
      </c>
      <c r="R115" s="352">
        <f t="shared" si="5"/>
        <v>0</v>
      </c>
      <c r="S115" s="353">
        <f t="shared" si="6"/>
        <v>0</v>
      </c>
    </row>
    <row r="116" spans="4:19" x14ac:dyDescent="0.15">
      <c r="D116"/>
      <c r="E116"/>
      <c r="F116"/>
      <c r="G116"/>
      <c r="H116"/>
      <c r="I116"/>
      <c r="J116"/>
      <c r="K116"/>
      <c r="L116"/>
      <c r="M116"/>
      <c r="N116"/>
      <c r="O116"/>
      <c r="Q116" s="322">
        <f t="shared" si="4"/>
        <v>0</v>
      </c>
      <c r="R116" s="352">
        <f t="shared" si="5"/>
        <v>0</v>
      </c>
      <c r="S116" s="353">
        <f t="shared" si="6"/>
        <v>0</v>
      </c>
    </row>
    <row r="117" spans="4:19" x14ac:dyDescent="0.15">
      <c r="D117"/>
      <c r="E117"/>
      <c r="F117"/>
      <c r="G117"/>
      <c r="H117"/>
      <c r="I117"/>
      <c r="J117"/>
      <c r="K117"/>
      <c r="L117"/>
      <c r="M117"/>
      <c r="N117"/>
      <c r="O117"/>
      <c r="Q117" s="322">
        <f t="shared" si="4"/>
        <v>0</v>
      </c>
      <c r="R117" s="352">
        <f t="shared" si="5"/>
        <v>0</v>
      </c>
      <c r="S117" s="353">
        <f t="shared" si="6"/>
        <v>0</v>
      </c>
    </row>
    <row r="118" spans="4:19" x14ac:dyDescent="0.15">
      <c r="D118"/>
      <c r="E118"/>
      <c r="F118"/>
      <c r="G118"/>
      <c r="H118"/>
      <c r="I118"/>
      <c r="J118"/>
      <c r="K118"/>
      <c r="L118"/>
      <c r="M118"/>
      <c r="N118"/>
      <c r="O118"/>
      <c r="Q118" s="322">
        <f t="shared" si="4"/>
        <v>0</v>
      </c>
      <c r="R118" s="352">
        <f t="shared" si="5"/>
        <v>0</v>
      </c>
      <c r="S118" s="353">
        <f t="shared" si="6"/>
        <v>0</v>
      </c>
    </row>
    <row r="119" spans="4:19" x14ac:dyDescent="0.15">
      <c r="D119"/>
      <c r="E119"/>
      <c r="F119"/>
      <c r="G119"/>
      <c r="H119"/>
      <c r="I119"/>
      <c r="J119"/>
      <c r="K119"/>
      <c r="L119"/>
      <c r="M119"/>
      <c r="N119"/>
      <c r="O119"/>
      <c r="Q119" s="322">
        <f t="shared" si="4"/>
        <v>0</v>
      </c>
      <c r="R119" s="352">
        <f t="shared" si="5"/>
        <v>0</v>
      </c>
      <c r="S119" s="353">
        <f t="shared" si="6"/>
        <v>0</v>
      </c>
    </row>
    <row r="120" spans="4:19" x14ac:dyDescent="0.15">
      <c r="D120"/>
      <c r="E120"/>
      <c r="F120"/>
      <c r="G120"/>
      <c r="H120"/>
      <c r="I120"/>
      <c r="J120"/>
      <c r="K120"/>
      <c r="L120"/>
      <c r="M120"/>
      <c r="N120"/>
      <c r="O120"/>
      <c r="Q120" s="322">
        <f t="shared" si="4"/>
        <v>0</v>
      </c>
      <c r="R120" s="352">
        <f t="shared" si="5"/>
        <v>0</v>
      </c>
      <c r="S120" s="353">
        <f t="shared" si="6"/>
        <v>0</v>
      </c>
    </row>
    <row r="121" spans="4:19" x14ac:dyDescent="0.15">
      <c r="D121"/>
      <c r="E121"/>
      <c r="F121"/>
      <c r="G121"/>
      <c r="H121"/>
      <c r="I121"/>
      <c r="J121"/>
      <c r="K121"/>
      <c r="L121"/>
      <c r="M121"/>
      <c r="N121"/>
      <c r="O121"/>
      <c r="Q121" s="322">
        <f t="shared" si="4"/>
        <v>0</v>
      </c>
      <c r="R121" s="352">
        <f t="shared" si="5"/>
        <v>0</v>
      </c>
      <c r="S121" s="353">
        <f t="shared" si="6"/>
        <v>0</v>
      </c>
    </row>
    <row r="122" spans="4:19" x14ac:dyDescent="0.15">
      <c r="D122"/>
      <c r="E122"/>
      <c r="F122"/>
      <c r="G122"/>
      <c r="H122"/>
      <c r="I122"/>
      <c r="J122"/>
      <c r="K122"/>
      <c r="L122"/>
      <c r="M122"/>
      <c r="N122"/>
      <c r="O122"/>
      <c r="Q122" s="322">
        <f t="shared" si="4"/>
        <v>0</v>
      </c>
      <c r="R122" s="352">
        <f t="shared" si="5"/>
        <v>0</v>
      </c>
      <c r="S122" s="353">
        <f t="shared" si="6"/>
        <v>0</v>
      </c>
    </row>
    <row r="123" spans="4:19" x14ac:dyDescent="0.15">
      <c r="D123"/>
      <c r="E123"/>
      <c r="F123"/>
      <c r="G123"/>
      <c r="H123"/>
      <c r="I123"/>
      <c r="J123"/>
      <c r="K123"/>
      <c r="L123"/>
      <c r="M123"/>
      <c r="N123"/>
      <c r="O123"/>
      <c r="Q123" s="322">
        <f t="shared" si="4"/>
        <v>0</v>
      </c>
      <c r="R123" s="352">
        <f t="shared" si="5"/>
        <v>0</v>
      </c>
      <c r="S123" s="353">
        <f t="shared" si="6"/>
        <v>0</v>
      </c>
    </row>
    <row r="124" spans="4:19" x14ac:dyDescent="0.15">
      <c r="D124"/>
      <c r="E124"/>
      <c r="F124"/>
      <c r="G124"/>
      <c r="H124"/>
      <c r="I124"/>
      <c r="J124"/>
      <c r="K124"/>
      <c r="L124"/>
      <c r="M124"/>
      <c r="N124"/>
      <c r="O124"/>
      <c r="Q124" s="322">
        <f t="shared" si="4"/>
        <v>0</v>
      </c>
      <c r="R124" s="352">
        <f t="shared" si="5"/>
        <v>0</v>
      </c>
      <c r="S124" s="353">
        <f t="shared" si="6"/>
        <v>0</v>
      </c>
    </row>
    <row r="125" spans="4:19" x14ac:dyDescent="0.15">
      <c r="D125"/>
      <c r="E125"/>
      <c r="F125"/>
      <c r="G125"/>
      <c r="H125"/>
      <c r="I125"/>
      <c r="J125"/>
      <c r="K125"/>
      <c r="L125"/>
      <c r="M125"/>
      <c r="N125"/>
      <c r="O125"/>
      <c r="Q125" s="322">
        <f t="shared" si="4"/>
        <v>0</v>
      </c>
      <c r="R125" s="352">
        <f t="shared" si="5"/>
        <v>0</v>
      </c>
      <c r="S125" s="353">
        <f t="shared" si="6"/>
        <v>0</v>
      </c>
    </row>
    <row r="126" spans="4:19" x14ac:dyDescent="0.15">
      <c r="D126"/>
      <c r="E126"/>
      <c r="F126"/>
      <c r="G126"/>
      <c r="H126"/>
      <c r="I126"/>
      <c r="J126"/>
      <c r="K126"/>
      <c r="L126"/>
      <c r="M126"/>
      <c r="N126"/>
      <c r="O126"/>
      <c r="Q126" s="322">
        <f t="shared" si="4"/>
        <v>0</v>
      </c>
      <c r="R126" s="352">
        <f t="shared" si="5"/>
        <v>0</v>
      </c>
      <c r="S126" s="353">
        <f t="shared" si="6"/>
        <v>0</v>
      </c>
    </row>
    <row r="127" spans="4:19" x14ac:dyDescent="0.15">
      <c r="D127"/>
      <c r="E127"/>
      <c r="F127"/>
      <c r="G127"/>
      <c r="H127"/>
      <c r="I127"/>
      <c r="J127"/>
      <c r="K127"/>
      <c r="L127"/>
      <c r="M127"/>
      <c r="N127"/>
      <c r="O127"/>
      <c r="Q127" s="322">
        <f t="shared" si="4"/>
        <v>0</v>
      </c>
      <c r="R127" s="352">
        <f t="shared" si="5"/>
        <v>0</v>
      </c>
      <c r="S127" s="353">
        <f t="shared" si="6"/>
        <v>0</v>
      </c>
    </row>
    <row r="128" spans="4:19" x14ac:dyDescent="0.15">
      <c r="D128"/>
      <c r="E128"/>
      <c r="F128"/>
      <c r="G128"/>
      <c r="H128"/>
      <c r="I128"/>
      <c r="J128"/>
      <c r="K128"/>
      <c r="L128"/>
      <c r="M128"/>
      <c r="N128"/>
      <c r="O128"/>
      <c r="Q128" s="322">
        <f t="shared" si="4"/>
        <v>0</v>
      </c>
      <c r="R128" s="352">
        <f t="shared" si="5"/>
        <v>0</v>
      </c>
      <c r="S128" s="353">
        <f t="shared" si="6"/>
        <v>0</v>
      </c>
    </row>
    <row r="129" spans="4:19" x14ac:dyDescent="0.15">
      <c r="D129"/>
      <c r="E129"/>
      <c r="F129"/>
      <c r="G129"/>
      <c r="H129"/>
      <c r="I129"/>
      <c r="J129"/>
      <c r="K129"/>
      <c r="L129"/>
      <c r="M129"/>
      <c r="N129"/>
      <c r="O129"/>
      <c r="Q129" s="322">
        <f t="shared" si="4"/>
        <v>0</v>
      </c>
      <c r="R129" s="352">
        <f t="shared" si="5"/>
        <v>0</v>
      </c>
      <c r="S129" s="353">
        <f t="shared" si="6"/>
        <v>0</v>
      </c>
    </row>
    <row r="130" spans="4:19" x14ac:dyDescent="0.15">
      <c r="D130"/>
      <c r="E130"/>
      <c r="F130"/>
      <c r="G130"/>
      <c r="H130"/>
      <c r="I130"/>
      <c r="J130"/>
      <c r="K130"/>
      <c r="L130"/>
      <c r="M130"/>
      <c r="N130"/>
      <c r="O130"/>
      <c r="Q130" s="322">
        <f t="shared" si="4"/>
        <v>0</v>
      </c>
      <c r="R130" s="352">
        <f t="shared" si="5"/>
        <v>0</v>
      </c>
      <c r="S130" s="353">
        <f t="shared" si="6"/>
        <v>0</v>
      </c>
    </row>
    <row r="131" spans="4:19" x14ac:dyDescent="0.15">
      <c r="D131"/>
      <c r="E131"/>
      <c r="F131"/>
      <c r="G131"/>
      <c r="H131"/>
      <c r="I131"/>
      <c r="J131"/>
      <c r="K131"/>
      <c r="L131"/>
      <c r="M131"/>
      <c r="N131"/>
      <c r="O131"/>
      <c r="Q131" s="322">
        <f t="shared" si="4"/>
        <v>0</v>
      </c>
      <c r="R131" s="352">
        <f t="shared" si="5"/>
        <v>0</v>
      </c>
      <c r="S131" s="353">
        <f t="shared" si="6"/>
        <v>0</v>
      </c>
    </row>
    <row r="132" spans="4:19" x14ac:dyDescent="0.15">
      <c r="D132"/>
      <c r="E132"/>
      <c r="F132"/>
      <c r="G132"/>
      <c r="H132"/>
      <c r="I132"/>
      <c r="J132"/>
      <c r="K132"/>
      <c r="L132"/>
      <c r="M132"/>
      <c r="N132"/>
      <c r="O132"/>
      <c r="Q132" s="322">
        <f t="shared" si="4"/>
        <v>0</v>
      </c>
      <c r="R132" s="352">
        <f t="shared" si="5"/>
        <v>0</v>
      </c>
      <c r="S132" s="353">
        <f t="shared" si="6"/>
        <v>0</v>
      </c>
    </row>
    <row r="133" spans="4:19" x14ac:dyDescent="0.15">
      <c r="D133"/>
      <c r="E133"/>
      <c r="F133"/>
      <c r="G133"/>
      <c r="H133"/>
      <c r="I133"/>
      <c r="J133"/>
      <c r="K133"/>
      <c r="L133"/>
      <c r="M133"/>
      <c r="N133"/>
      <c r="O133"/>
      <c r="Q133" s="322">
        <f t="shared" si="4"/>
        <v>0</v>
      </c>
      <c r="R133" s="352">
        <f t="shared" si="5"/>
        <v>0</v>
      </c>
      <c r="S133" s="353">
        <f t="shared" si="6"/>
        <v>0</v>
      </c>
    </row>
    <row r="134" spans="4:19" x14ac:dyDescent="0.15">
      <c r="D134"/>
      <c r="E134"/>
      <c r="F134"/>
      <c r="G134"/>
      <c r="H134"/>
      <c r="I134"/>
      <c r="J134"/>
      <c r="K134"/>
      <c r="L134"/>
      <c r="M134"/>
      <c r="N134"/>
      <c r="O134"/>
      <c r="Q134" s="322">
        <f>SUM(D134:O134)</f>
        <v>0</v>
      </c>
      <c r="R134" s="352">
        <f t="shared" ref="R134:R136" si="7">IF($Q$2=0,"",Q134/$Q$2)</f>
        <v>0</v>
      </c>
      <c r="S134" s="353">
        <f t="shared" ref="S134:S138" si="8">Q134/12</f>
        <v>0</v>
      </c>
    </row>
    <row r="135" spans="4:19" x14ac:dyDescent="0.15">
      <c r="D135"/>
      <c r="E135"/>
      <c r="F135"/>
      <c r="G135"/>
      <c r="H135"/>
      <c r="I135"/>
      <c r="J135"/>
      <c r="K135"/>
      <c r="L135"/>
      <c r="M135"/>
      <c r="N135"/>
      <c r="O135"/>
      <c r="Q135" s="322">
        <f>SUM(D135:O135)</f>
        <v>0</v>
      </c>
      <c r="R135" s="352">
        <f t="shared" si="7"/>
        <v>0</v>
      </c>
      <c r="S135" s="353">
        <f t="shared" si="8"/>
        <v>0</v>
      </c>
    </row>
    <row r="136" spans="4:19" x14ac:dyDescent="0.15">
      <c r="D136"/>
      <c r="E136"/>
      <c r="F136"/>
      <c r="G136"/>
      <c r="H136"/>
      <c r="I136"/>
      <c r="J136"/>
      <c r="K136"/>
      <c r="L136"/>
      <c r="M136"/>
      <c r="N136"/>
      <c r="O136"/>
      <c r="Q136" s="322">
        <f>SUM(D136:O136)</f>
        <v>0</v>
      </c>
      <c r="R136" s="352">
        <f t="shared" si="7"/>
        <v>0</v>
      </c>
      <c r="S136" s="353">
        <f t="shared" si="8"/>
        <v>0</v>
      </c>
    </row>
    <row r="137" spans="4:19" x14ac:dyDescent="0.15">
      <c r="D137"/>
      <c r="E137"/>
      <c r="F137"/>
      <c r="G137"/>
      <c r="H137"/>
      <c r="I137"/>
      <c r="J137"/>
      <c r="K137"/>
      <c r="L137"/>
      <c r="M137"/>
      <c r="N137"/>
      <c r="O137"/>
      <c r="Q137" s="322">
        <f>SUM(D137:O137)</f>
        <v>0</v>
      </c>
      <c r="R137" s="352">
        <f t="shared" ref="R137" si="9">IF($Q$2=0,"",Q137/$Q$2)</f>
        <v>0</v>
      </c>
      <c r="S137" s="353">
        <f t="shared" si="8"/>
        <v>0</v>
      </c>
    </row>
    <row r="138" spans="4:19" ht="14.25" thickBot="1" x14ac:dyDescent="0.2">
      <c r="D138"/>
      <c r="E138"/>
      <c r="F138"/>
      <c r="G138"/>
      <c r="H138"/>
      <c r="I138"/>
      <c r="J138"/>
      <c r="K138"/>
      <c r="L138"/>
      <c r="M138"/>
      <c r="N138"/>
      <c r="O138"/>
      <c r="Q138" s="323">
        <f>SUM(D138:O138)</f>
        <v>0</v>
      </c>
      <c r="R138" s="354">
        <f t="shared" ref="R138" si="10">IF($Q$2=0,"",Q138/$Q$2)</f>
        <v>0</v>
      </c>
      <c r="S138" s="355">
        <f t="shared" si="8"/>
        <v>0</v>
      </c>
    </row>
  </sheetData>
  <phoneticPr fontId="2"/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70657" r:id="rId4" name="CommandButton1">
          <controlPr defaultSize="0" autoLine="0" autoPict="0" r:id="rId5">
            <anchor moveWithCells="1">
              <from>
                <xdr:col>30</xdr:col>
                <xdr:colOff>504825</xdr:colOff>
                <xdr:row>1</xdr:row>
                <xdr:rowOff>171450</xdr:rowOff>
              </from>
              <to>
                <xdr:col>33</xdr:col>
                <xdr:colOff>466725</xdr:colOff>
                <xdr:row>3</xdr:row>
                <xdr:rowOff>123825</xdr:rowOff>
              </to>
            </anchor>
          </controlPr>
        </control>
      </mc:Choice>
      <mc:Fallback>
        <control shapeId="70657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B1:AI155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B30" sqref="AB30"/>
    </sheetView>
  </sheetViews>
  <sheetFormatPr defaultRowHeight="13.5" x14ac:dyDescent="0.15"/>
  <cols>
    <col min="1" max="1" width="2.875" customWidth="1"/>
    <col min="2" max="2" width="7.5" style="144" customWidth="1"/>
    <col min="3" max="3" width="12.125" style="25" customWidth="1"/>
    <col min="4" max="4" width="9.125" customWidth="1"/>
    <col min="5" max="5" width="6.125" customWidth="1"/>
    <col min="6" max="6" width="6.625" customWidth="1"/>
    <col min="7" max="7" width="21.375" customWidth="1"/>
    <col min="8" max="8" width="5.5" customWidth="1"/>
    <col min="9" max="9" width="27.625" customWidth="1"/>
    <col min="12" max="12" width="26.875" customWidth="1"/>
    <col min="13" max="13" width="8.375" customWidth="1"/>
    <col min="14" max="14" width="10.625" style="2" customWidth="1"/>
    <col min="15" max="15" width="6.5" customWidth="1"/>
    <col min="16" max="16" width="6.875" style="182" customWidth="1"/>
    <col min="17" max="17" width="10.625" style="2" customWidth="1"/>
    <col min="18" max="18" width="12.875" style="2" customWidth="1"/>
    <col min="19" max="19" width="9" style="2"/>
    <col min="20" max="20" width="4.875" customWidth="1"/>
    <col min="21" max="21" width="3.875" style="2" customWidth="1"/>
    <col min="23" max="23" width="15.375" customWidth="1"/>
    <col min="24" max="24" width="5.125" customWidth="1"/>
    <col min="25" max="25" width="4.875" customWidth="1"/>
    <col min="26" max="26" width="4.375" customWidth="1"/>
    <col min="31" max="31" width="11.375" customWidth="1"/>
  </cols>
  <sheetData>
    <row r="1" spans="2:35" x14ac:dyDescent="0.15">
      <c r="E1" s="572"/>
      <c r="F1" s="572"/>
      <c r="G1" s="35" t="s">
        <v>334</v>
      </c>
      <c r="I1" s="35" t="s">
        <v>335</v>
      </c>
    </row>
    <row r="2" spans="2:35" ht="18" thickBot="1" x14ac:dyDescent="0.25">
      <c r="B2" s="618" t="s">
        <v>336</v>
      </c>
      <c r="C2" s="618"/>
      <c r="E2" s="572" t="s">
        <v>333</v>
      </c>
      <c r="F2" s="572"/>
      <c r="G2" s="41">
        <v>41275</v>
      </c>
      <c r="I2" s="41">
        <v>42735</v>
      </c>
      <c r="AE2">
        <v>14468943</v>
      </c>
      <c r="AI2">
        <v>68</v>
      </c>
    </row>
    <row r="3" spans="2:35" ht="14.25" thickBot="1" x14ac:dyDescent="0.2"/>
    <row r="4" spans="2:35" x14ac:dyDescent="0.15">
      <c r="B4" s="203" t="s">
        <v>326</v>
      </c>
      <c r="C4" s="234" t="s">
        <v>0</v>
      </c>
      <c r="D4" s="204" t="s">
        <v>10</v>
      </c>
      <c r="E4" s="205" t="s">
        <v>11</v>
      </c>
      <c r="F4" s="206" t="s">
        <v>13</v>
      </c>
      <c r="G4" s="205" t="s">
        <v>1</v>
      </c>
      <c r="H4" s="204" t="s">
        <v>17</v>
      </c>
      <c r="I4" s="205" t="s">
        <v>7</v>
      </c>
      <c r="J4" s="205" t="s">
        <v>308</v>
      </c>
      <c r="K4" s="205" t="s">
        <v>259</v>
      </c>
      <c r="L4" s="206" t="s">
        <v>18</v>
      </c>
      <c r="M4" s="206" t="s">
        <v>19</v>
      </c>
      <c r="N4" s="207" t="s">
        <v>9</v>
      </c>
      <c r="O4" s="205" t="s">
        <v>8</v>
      </c>
      <c r="P4" s="208" t="s">
        <v>3</v>
      </c>
      <c r="Q4" s="207" t="s">
        <v>2</v>
      </c>
      <c r="R4" s="207" t="s">
        <v>4</v>
      </c>
      <c r="S4" s="207" t="s">
        <v>325</v>
      </c>
      <c r="T4" s="209" t="s">
        <v>1456</v>
      </c>
      <c r="U4" s="209" t="s">
        <v>1457</v>
      </c>
      <c r="V4" s="209" t="s">
        <v>1458</v>
      </c>
      <c r="W4" s="207" t="s">
        <v>1454</v>
      </c>
      <c r="X4" s="207" t="s">
        <v>1455</v>
      </c>
      <c r="Y4" s="207" t="s">
        <v>1229</v>
      </c>
      <c r="Z4" s="210" t="s">
        <v>1460</v>
      </c>
    </row>
    <row r="5" spans="2:35" x14ac:dyDescent="0.15">
      <c r="B5"/>
      <c r="M5" s="1"/>
      <c r="N5"/>
      <c r="P5"/>
      <c r="Q5"/>
      <c r="R5"/>
      <c r="S5"/>
      <c r="U5"/>
      <c r="AD5" t="s">
        <v>2316</v>
      </c>
      <c r="AE5" s="2">
        <v>11503092</v>
      </c>
      <c r="AI5">
        <v>68</v>
      </c>
    </row>
    <row r="6" spans="2:35" x14ac:dyDescent="0.15">
      <c r="B6"/>
      <c r="N6"/>
      <c r="P6"/>
      <c r="Q6"/>
      <c r="R6"/>
      <c r="S6"/>
      <c r="U6"/>
      <c r="AD6" t="s">
        <v>2317</v>
      </c>
      <c r="AE6" s="2">
        <v>13909610</v>
      </c>
      <c r="AI6">
        <v>117</v>
      </c>
    </row>
    <row r="7" spans="2:35" x14ac:dyDescent="0.15">
      <c r="B7"/>
      <c r="N7"/>
      <c r="P7"/>
      <c r="Q7"/>
      <c r="R7"/>
      <c r="S7"/>
      <c r="U7"/>
      <c r="AD7" t="s">
        <v>2318</v>
      </c>
      <c r="AE7" s="2">
        <v>11090190</v>
      </c>
      <c r="AI7">
        <v>87</v>
      </c>
    </row>
    <row r="8" spans="2:35" x14ac:dyDescent="0.15">
      <c r="B8"/>
      <c r="N8"/>
      <c r="P8"/>
      <c r="Q8"/>
      <c r="R8"/>
      <c r="S8"/>
      <c r="U8"/>
      <c r="AD8" t="s">
        <v>2319</v>
      </c>
      <c r="AE8" s="2">
        <v>11167890</v>
      </c>
      <c r="AI8">
        <v>70</v>
      </c>
    </row>
    <row r="9" spans="2:35" x14ac:dyDescent="0.15">
      <c r="B9"/>
      <c r="N9"/>
      <c r="P9"/>
      <c r="Q9"/>
      <c r="R9"/>
      <c r="S9"/>
      <c r="U9"/>
    </row>
    <row r="10" spans="2:35" x14ac:dyDescent="0.15">
      <c r="B10"/>
      <c r="N10"/>
      <c r="P10"/>
      <c r="Q10"/>
      <c r="R10"/>
      <c r="S10"/>
      <c r="U10"/>
      <c r="AE10">
        <v>28894288</v>
      </c>
    </row>
    <row r="11" spans="2:35" x14ac:dyDescent="0.15">
      <c r="B11"/>
      <c r="N11"/>
      <c r="P11"/>
      <c r="Q11"/>
      <c r="R11"/>
      <c r="S11"/>
      <c r="U11"/>
      <c r="AE11">
        <v>19600606</v>
      </c>
    </row>
    <row r="12" spans="2:35" x14ac:dyDescent="0.15">
      <c r="B12"/>
      <c r="N12"/>
      <c r="P12"/>
      <c r="Q12"/>
      <c r="R12"/>
      <c r="S12"/>
      <c r="U12"/>
      <c r="AE12">
        <v>8532117</v>
      </c>
    </row>
    <row r="13" spans="2:35" x14ac:dyDescent="0.15">
      <c r="B13"/>
      <c r="N13"/>
      <c r="P13"/>
      <c r="Q13"/>
      <c r="R13"/>
      <c r="S13"/>
      <c r="U13"/>
      <c r="AE13">
        <v>14468943</v>
      </c>
    </row>
    <row r="14" spans="2:35" x14ac:dyDescent="0.15">
      <c r="B14"/>
      <c r="N14"/>
      <c r="P14"/>
      <c r="Q14"/>
      <c r="R14"/>
      <c r="S14"/>
      <c r="U14"/>
    </row>
    <row r="15" spans="2:35" x14ac:dyDescent="0.15">
      <c r="B15"/>
      <c r="N15"/>
      <c r="P15"/>
      <c r="Q15"/>
      <c r="R15"/>
      <c r="S15"/>
      <c r="U15"/>
    </row>
    <row r="16" spans="2:35" x14ac:dyDescent="0.15">
      <c r="B16"/>
      <c r="N16"/>
      <c r="P16"/>
      <c r="Q16"/>
      <c r="R16"/>
      <c r="S16"/>
      <c r="U16"/>
    </row>
    <row r="17" spans="2:21" x14ac:dyDescent="0.15">
      <c r="B17"/>
      <c r="N17"/>
      <c r="P17"/>
      <c r="Q17"/>
      <c r="R17"/>
      <c r="S17"/>
      <c r="U17"/>
    </row>
    <row r="18" spans="2:21" x14ac:dyDescent="0.15">
      <c r="B18"/>
      <c r="N18"/>
      <c r="P18"/>
      <c r="Q18"/>
      <c r="R18"/>
      <c r="S18"/>
      <c r="U18"/>
    </row>
    <row r="19" spans="2:21" x14ac:dyDescent="0.15">
      <c r="B19"/>
      <c r="N19"/>
      <c r="P19"/>
      <c r="Q19"/>
      <c r="R19"/>
      <c r="S19"/>
      <c r="U19"/>
    </row>
    <row r="20" spans="2:21" x14ac:dyDescent="0.15">
      <c r="B20"/>
      <c r="N20"/>
      <c r="P20"/>
      <c r="Q20"/>
      <c r="R20"/>
      <c r="S20"/>
      <c r="U20"/>
    </row>
    <row r="21" spans="2:21" x14ac:dyDescent="0.15">
      <c r="B21"/>
      <c r="N21"/>
      <c r="P21"/>
      <c r="Q21"/>
      <c r="R21"/>
      <c r="S21"/>
      <c r="U21"/>
    </row>
    <row r="22" spans="2:21" x14ac:dyDescent="0.15">
      <c r="B22"/>
      <c r="N22"/>
      <c r="P22"/>
      <c r="Q22"/>
      <c r="R22"/>
      <c r="S22"/>
      <c r="U22"/>
    </row>
    <row r="23" spans="2:21" x14ac:dyDescent="0.15">
      <c r="B23"/>
      <c r="N23"/>
      <c r="P23"/>
      <c r="Q23"/>
      <c r="R23"/>
      <c r="S23"/>
      <c r="U23"/>
    </row>
    <row r="24" spans="2:21" x14ac:dyDescent="0.15">
      <c r="B24"/>
      <c r="N24"/>
      <c r="P24"/>
      <c r="Q24"/>
      <c r="R24"/>
      <c r="S24"/>
      <c r="U24"/>
    </row>
    <row r="25" spans="2:21" x14ac:dyDescent="0.15">
      <c r="B25"/>
      <c r="N25"/>
      <c r="P25"/>
      <c r="Q25"/>
      <c r="R25"/>
      <c r="S25"/>
      <c r="U25"/>
    </row>
    <row r="26" spans="2:21" x14ac:dyDescent="0.15">
      <c r="B26"/>
      <c r="N26"/>
      <c r="P26"/>
      <c r="Q26"/>
      <c r="R26"/>
      <c r="S26"/>
      <c r="U26"/>
    </row>
    <row r="27" spans="2:21" x14ac:dyDescent="0.15">
      <c r="B27"/>
      <c r="N27"/>
      <c r="P27"/>
      <c r="Q27"/>
      <c r="R27"/>
      <c r="S27"/>
      <c r="U27"/>
    </row>
    <row r="28" spans="2:21" x14ac:dyDescent="0.15">
      <c r="B28"/>
      <c r="N28"/>
      <c r="P28"/>
      <c r="Q28"/>
      <c r="R28"/>
      <c r="S28"/>
      <c r="U28"/>
    </row>
    <row r="29" spans="2:21" x14ac:dyDescent="0.15">
      <c r="B29"/>
      <c r="N29"/>
      <c r="P29"/>
      <c r="Q29"/>
      <c r="R29"/>
      <c r="S29"/>
      <c r="U29"/>
    </row>
    <row r="30" spans="2:21" x14ac:dyDescent="0.15">
      <c r="B30"/>
      <c r="N30"/>
      <c r="P30"/>
      <c r="Q30"/>
      <c r="R30"/>
      <c r="S30"/>
      <c r="U30"/>
    </row>
    <row r="31" spans="2:21" x14ac:dyDescent="0.15">
      <c r="B31"/>
      <c r="N31"/>
      <c r="P31"/>
      <c r="Q31"/>
      <c r="R31"/>
      <c r="S31"/>
      <c r="U31"/>
    </row>
    <row r="32" spans="2:21" x14ac:dyDescent="0.15">
      <c r="B32"/>
      <c r="N32"/>
      <c r="P32"/>
      <c r="Q32"/>
      <c r="R32"/>
      <c r="S32"/>
      <c r="U32"/>
    </row>
    <row r="33" spans="2:21" x14ac:dyDescent="0.15">
      <c r="B33"/>
      <c r="N33"/>
      <c r="P33"/>
      <c r="Q33"/>
      <c r="R33"/>
      <c r="S33"/>
      <c r="U33"/>
    </row>
    <row r="34" spans="2:21" x14ac:dyDescent="0.15">
      <c r="B34"/>
      <c r="N34"/>
      <c r="P34"/>
      <c r="Q34"/>
      <c r="R34"/>
      <c r="S34"/>
      <c r="U34"/>
    </row>
    <row r="35" spans="2:21" x14ac:dyDescent="0.15">
      <c r="B35"/>
      <c r="N35"/>
      <c r="P35"/>
      <c r="Q35"/>
      <c r="R35"/>
      <c r="S35"/>
      <c r="U35"/>
    </row>
    <row r="36" spans="2:21" x14ac:dyDescent="0.15">
      <c r="B36"/>
      <c r="N36"/>
      <c r="P36"/>
      <c r="Q36"/>
      <c r="R36"/>
      <c r="S36"/>
      <c r="U36"/>
    </row>
    <row r="37" spans="2:21" x14ac:dyDescent="0.15">
      <c r="B37"/>
      <c r="N37"/>
      <c r="P37"/>
      <c r="Q37"/>
      <c r="R37"/>
      <c r="S37"/>
      <c r="U37"/>
    </row>
    <row r="38" spans="2:21" x14ac:dyDescent="0.15">
      <c r="B38"/>
      <c r="N38"/>
      <c r="P38"/>
      <c r="Q38"/>
      <c r="R38"/>
      <c r="S38"/>
      <c r="U38"/>
    </row>
    <row r="39" spans="2:21" x14ac:dyDescent="0.15">
      <c r="B39"/>
      <c r="N39"/>
      <c r="P39"/>
      <c r="Q39"/>
      <c r="R39"/>
      <c r="S39"/>
      <c r="U39"/>
    </row>
    <row r="40" spans="2:21" x14ac:dyDescent="0.15">
      <c r="B40"/>
      <c r="N40"/>
      <c r="P40"/>
      <c r="Q40"/>
      <c r="R40"/>
      <c r="S40"/>
      <c r="U40"/>
    </row>
    <row r="41" spans="2:21" x14ac:dyDescent="0.15">
      <c r="B41"/>
      <c r="N41"/>
      <c r="P41"/>
      <c r="Q41"/>
      <c r="R41"/>
      <c r="S41"/>
      <c r="U41"/>
    </row>
    <row r="42" spans="2:21" x14ac:dyDescent="0.15">
      <c r="B42"/>
      <c r="G42" s="1"/>
      <c r="N42"/>
      <c r="P42"/>
      <c r="Q42"/>
      <c r="R42"/>
      <c r="S42"/>
      <c r="U42"/>
    </row>
    <row r="43" spans="2:21" x14ac:dyDescent="0.15">
      <c r="B43"/>
      <c r="N43"/>
      <c r="P43"/>
      <c r="Q43"/>
      <c r="R43"/>
      <c r="S43"/>
      <c r="U43"/>
    </row>
    <row r="44" spans="2:21" x14ac:dyDescent="0.15">
      <c r="B44"/>
      <c r="N44"/>
      <c r="P44"/>
      <c r="Q44"/>
      <c r="R44"/>
      <c r="S44"/>
      <c r="U44"/>
    </row>
    <row r="45" spans="2:21" x14ac:dyDescent="0.15">
      <c r="B45"/>
      <c r="N45"/>
      <c r="P45"/>
      <c r="Q45"/>
      <c r="R45"/>
      <c r="S45"/>
      <c r="U45"/>
    </row>
    <row r="46" spans="2:21" x14ac:dyDescent="0.15">
      <c r="B46"/>
      <c r="N46"/>
      <c r="P46"/>
      <c r="Q46"/>
      <c r="R46"/>
      <c r="S46"/>
      <c r="U46"/>
    </row>
    <row r="47" spans="2:21" x14ac:dyDescent="0.15">
      <c r="B47"/>
      <c r="N47"/>
      <c r="P47"/>
      <c r="Q47"/>
      <c r="R47"/>
      <c r="S47"/>
      <c r="U47"/>
    </row>
    <row r="48" spans="2:21" x14ac:dyDescent="0.15">
      <c r="B48"/>
      <c r="N48"/>
      <c r="P48"/>
      <c r="Q48"/>
      <c r="R48"/>
      <c r="S48"/>
      <c r="U48"/>
    </row>
    <row r="49" spans="2:21" x14ac:dyDescent="0.15">
      <c r="B49"/>
      <c r="N49"/>
      <c r="P49"/>
      <c r="Q49"/>
      <c r="R49"/>
      <c r="S49"/>
      <c r="U49"/>
    </row>
    <row r="50" spans="2:21" x14ac:dyDescent="0.15">
      <c r="B50"/>
      <c r="N50"/>
      <c r="P50"/>
      <c r="Q50"/>
      <c r="R50"/>
      <c r="S50"/>
      <c r="U50"/>
    </row>
    <row r="51" spans="2:21" x14ac:dyDescent="0.15">
      <c r="B51"/>
      <c r="N51"/>
      <c r="P51"/>
      <c r="Q51"/>
      <c r="R51"/>
      <c r="S51"/>
      <c r="U51"/>
    </row>
    <row r="52" spans="2:21" x14ac:dyDescent="0.15">
      <c r="B52"/>
      <c r="N52"/>
      <c r="P52"/>
      <c r="Q52"/>
      <c r="R52"/>
      <c r="S52"/>
      <c r="U52"/>
    </row>
    <row r="53" spans="2:21" x14ac:dyDescent="0.15">
      <c r="B53"/>
      <c r="N53"/>
      <c r="P53"/>
      <c r="Q53"/>
      <c r="R53"/>
      <c r="S53"/>
      <c r="U53"/>
    </row>
    <row r="54" spans="2:21" x14ac:dyDescent="0.15">
      <c r="B54"/>
      <c r="N54"/>
      <c r="P54"/>
      <c r="Q54"/>
      <c r="R54"/>
      <c r="S54"/>
      <c r="U54"/>
    </row>
    <row r="55" spans="2:21" x14ac:dyDescent="0.15">
      <c r="B55"/>
      <c r="N55"/>
      <c r="P55"/>
      <c r="Q55"/>
      <c r="R55"/>
      <c r="S55"/>
      <c r="U55"/>
    </row>
    <row r="56" spans="2:21" x14ac:dyDescent="0.15">
      <c r="B56"/>
      <c r="N56"/>
      <c r="P56"/>
      <c r="Q56"/>
      <c r="R56"/>
      <c r="S56"/>
      <c r="U56"/>
    </row>
    <row r="57" spans="2:21" x14ac:dyDescent="0.15">
      <c r="B57"/>
      <c r="N57"/>
      <c r="P57"/>
      <c r="Q57"/>
      <c r="R57"/>
      <c r="S57"/>
      <c r="U57"/>
    </row>
    <row r="58" spans="2:21" x14ac:dyDescent="0.15">
      <c r="B58"/>
      <c r="N58"/>
      <c r="P58"/>
      <c r="Q58"/>
      <c r="R58"/>
      <c r="S58"/>
      <c r="U58"/>
    </row>
    <row r="59" spans="2:21" x14ac:dyDescent="0.15">
      <c r="B59"/>
      <c r="N59"/>
      <c r="P59"/>
      <c r="Q59"/>
      <c r="R59"/>
      <c r="S59"/>
      <c r="U59"/>
    </row>
    <row r="60" spans="2:21" x14ac:dyDescent="0.15">
      <c r="B60"/>
      <c r="N60"/>
      <c r="P60"/>
      <c r="Q60"/>
      <c r="R60"/>
      <c r="S60"/>
      <c r="U60"/>
    </row>
    <row r="61" spans="2:21" x14ac:dyDescent="0.15">
      <c r="B61"/>
      <c r="N61"/>
      <c r="P61"/>
      <c r="Q61"/>
      <c r="R61"/>
      <c r="S61"/>
      <c r="U61"/>
    </row>
    <row r="62" spans="2:21" x14ac:dyDescent="0.15">
      <c r="B62"/>
      <c r="N62"/>
      <c r="P62"/>
      <c r="Q62"/>
      <c r="R62"/>
      <c r="S62"/>
      <c r="U62"/>
    </row>
    <row r="63" spans="2:21" x14ac:dyDescent="0.15">
      <c r="B63"/>
      <c r="N63"/>
      <c r="P63"/>
      <c r="Q63"/>
      <c r="R63"/>
      <c r="S63"/>
      <c r="U63"/>
    </row>
    <row r="64" spans="2:21" x14ac:dyDescent="0.15">
      <c r="B64"/>
      <c r="N64"/>
      <c r="P64"/>
      <c r="Q64"/>
      <c r="R64"/>
      <c r="S64"/>
      <c r="U64"/>
    </row>
    <row r="65" spans="2:21" x14ac:dyDescent="0.15">
      <c r="B65"/>
      <c r="N65"/>
      <c r="P65"/>
      <c r="Q65"/>
      <c r="R65"/>
      <c r="S65"/>
      <c r="U65"/>
    </row>
    <row r="66" spans="2:21" x14ac:dyDescent="0.15">
      <c r="B66"/>
      <c r="N66"/>
      <c r="P66"/>
      <c r="Q66"/>
      <c r="R66"/>
      <c r="S66"/>
      <c r="U66"/>
    </row>
    <row r="67" spans="2:21" x14ac:dyDescent="0.15">
      <c r="B67"/>
      <c r="N67"/>
      <c r="P67"/>
      <c r="Q67"/>
      <c r="R67"/>
      <c r="S67"/>
      <c r="U67"/>
    </row>
    <row r="68" spans="2:21" x14ac:dyDescent="0.15">
      <c r="B68"/>
      <c r="N68"/>
      <c r="P68"/>
      <c r="Q68"/>
      <c r="R68"/>
      <c r="S68"/>
      <c r="U68"/>
    </row>
    <row r="69" spans="2:21" x14ac:dyDescent="0.15">
      <c r="B69"/>
      <c r="N69"/>
      <c r="P69"/>
      <c r="Q69"/>
      <c r="R69"/>
      <c r="S69"/>
      <c r="U69"/>
    </row>
    <row r="70" spans="2:21" x14ac:dyDescent="0.15">
      <c r="B70"/>
      <c r="N70"/>
      <c r="P70"/>
      <c r="Q70"/>
      <c r="R70"/>
      <c r="S70"/>
      <c r="U70"/>
    </row>
    <row r="71" spans="2:21" x14ac:dyDescent="0.15">
      <c r="B71"/>
      <c r="N71"/>
      <c r="P71"/>
      <c r="Q71"/>
      <c r="R71"/>
      <c r="S71"/>
      <c r="U71"/>
    </row>
    <row r="72" spans="2:21" x14ac:dyDescent="0.15">
      <c r="B72"/>
      <c r="N72"/>
      <c r="P72"/>
      <c r="Q72"/>
      <c r="R72"/>
      <c r="S72"/>
      <c r="U72"/>
    </row>
    <row r="73" spans="2:21" x14ac:dyDescent="0.15">
      <c r="B73"/>
      <c r="N73"/>
      <c r="P73"/>
      <c r="Q73"/>
      <c r="R73"/>
      <c r="S73"/>
      <c r="U73"/>
    </row>
    <row r="74" spans="2:21" x14ac:dyDescent="0.15">
      <c r="B74"/>
      <c r="N74"/>
      <c r="P74"/>
      <c r="Q74"/>
      <c r="R74"/>
      <c r="S74"/>
      <c r="U74"/>
    </row>
    <row r="75" spans="2:21" x14ac:dyDescent="0.15">
      <c r="B75"/>
      <c r="N75"/>
      <c r="P75"/>
      <c r="Q75"/>
      <c r="R75"/>
      <c r="S75"/>
      <c r="U75"/>
    </row>
    <row r="76" spans="2:21" x14ac:dyDescent="0.15">
      <c r="B76"/>
      <c r="N76"/>
      <c r="P76"/>
      <c r="Q76"/>
      <c r="R76"/>
      <c r="S76"/>
      <c r="U76"/>
    </row>
    <row r="77" spans="2:21" x14ac:dyDescent="0.15">
      <c r="B77"/>
      <c r="N77"/>
      <c r="P77"/>
      <c r="Q77"/>
      <c r="R77"/>
      <c r="S77"/>
      <c r="U77"/>
    </row>
    <row r="78" spans="2:21" x14ac:dyDescent="0.15">
      <c r="B78"/>
      <c r="N78"/>
      <c r="P78"/>
      <c r="Q78"/>
      <c r="R78"/>
      <c r="S78"/>
      <c r="U78"/>
    </row>
    <row r="79" spans="2:21" x14ac:dyDescent="0.15">
      <c r="B79"/>
      <c r="N79"/>
      <c r="P79"/>
      <c r="Q79"/>
      <c r="R79"/>
      <c r="S79"/>
      <c r="U79"/>
    </row>
    <row r="80" spans="2:21" x14ac:dyDescent="0.15">
      <c r="B80"/>
      <c r="N80"/>
      <c r="P80"/>
      <c r="Q80"/>
      <c r="R80"/>
      <c r="S80"/>
      <c r="U80"/>
    </row>
    <row r="81" spans="2:21" x14ac:dyDescent="0.15">
      <c r="B81"/>
      <c r="N81"/>
      <c r="P81"/>
      <c r="Q81"/>
      <c r="R81"/>
      <c r="S81"/>
      <c r="U81"/>
    </row>
    <row r="82" spans="2:21" x14ac:dyDescent="0.15">
      <c r="B82"/>
      <c r="N82"/>
      <c r="P82"/>
      <c r="Q82"/>
      <c r="R82"/>
      <c r="S82"/>
      <c r="U82"/>
    </row>
    <row r="83" spans="2:21" x14ac:dyDescent="0.15">
      <c r="B83"/>
      <c r="N83"/>
      <c r="P83"/>
      <c r="Q83"/>
      <c r="R83"/>
      <c r="S83"/>
      <c r="U83"/>
    </row>
    <row r="84" spans="2:21" x14ac:dyDescent="0.15">
      <c r="B84"/>
      <c r="N84"/>
      <c r="P84"/>
      <c r="Q84"/>
      <c r="R84"/>
      <c r="S84"/>
      <c r="U84"/>
    </row>
    <row r="85" spans="2:21" x14ac:dyDescent="0.15">
      <c r="B85"/>
      <c r="N85"/>
      <c r="P85"/>
      <c r="Q85"/>
      <c r="R85"/>
      <c r="S85"/>
      <c r="U85"/>
    </row>
    <row r="86" spans="2:21" x14ac:dyDescent="0.15">
      <c r="B86"/>
      <c r="N86"/>
      <c r="P86"/>
      <c r="Q86"/>
      <c r="R86"/>
      <c r="S86"/>
      <c r="U86"/>
    </row>
    <row r="87" spans="2:21" x14ac:dyDescent="0.15">
      <c r="B87"/>
      <c r="N87"/>
      <c r="P87"/>
      <c r="Q87"/>
      <c r="R87"/>
      <c r="S87"/>
      <c r="U87"/>
    </row>
    <row r="88" spans="2:21" x14ac:dyDescent="0.15">
      <c r="B88"/>
      <c r="N88"/>
      <c r="P88"/>
      <c r="Q88"/>
      <c r="R88"/>
      <c r="S88"/>
      <c r="U88"/>
    </row>
    <row r="89" spans="2:21" x14ac:dyDescent="0.15">
      <c r="B89"/>
      <c r="N89"/>
      <c r="P89"/>
      <c r="Q89"/>
      <c r="R89"/>
      <c r="S89"/>
      <c r="U89"/>
    </row>
    <row r="90" spans="2:21" x14ac:dyDescent="0.15">
      <c r="B90"/>
      <c r="N90"/>
      <c r="P90"/>
      <c r="Q90"/>
      <c r="R90"/>
      <c r="S90"/>
      <c r="U90"/>
    </row>
    <row r="91" spans="2:21" x14ac:dyDescent="0.15">
      <c r="B91"/>
      <c r="N91"/>
      <c r="P91"/>
      <c r="Q91"/>
      <c r="R91"/>
      <c r="S91"/>
      <c r="U91"/>
    </row>
    <row r="92" spans="2:21" x14ac:dyDescent="0.15">
      <c r="B92"/>
      <c r="N92"/>
      <c r="P92"/>
      <c r="Q92"/>
      <c r="R92"/>
      <c r="S92"/>
      <c r="U92"/>
    </row>
    <row r="93" spans="2:21" x14ac:dyDescent="0.15">
      <c r="B93"/>
      <c r="N93"/>
      <c r="P93"/>
      <c r="Q93"/>
      <c r="R93"/>
      <c r="S93"/>
      <c r="U93"/>
    </row>
    <row r="94" spans="2:21" x14ac:dyDescent="0.15">
      <c r="B94"/>
      <c r="N94"/>
      <c r="P94"/>
      <c r="Q94"/>
      <c r="R94"/>
      <c r="S94"/>
      <c r="U94"/>
    </row>
    <row r="95" spans="2:21" x14ac:dyDescent="0.15">
      <c r="B95"/>
      <c r="N95"/>
      <c r="P95"/>
      <c r="Q95"/>
      <c r="R95"/>
      <c r="S95"/>
      <c r="U95"/>
    </row>
    <row r="96" spans="2:21" x14ac:dyDescent="0.15">
      <c r="B96"/>
      <c r="N96"/>
      <c r="P96"/>
      <c r="Q96"/>
      <c r="R96"/>
      <c r="S96"/>
      <c r="U96"/>
    </row>
    <row r="97" spans="2:21" x14ac:dyDescent="0.15">
      <c r="B97"/>
      <c r="N97"/>
      <c r="P97"/>
      <c r="Q97"/>
      <c r="R97"/>
      <c r="S97"/>
      <c r="U97"/>
    </row>
    <row r="98" spans="2:21" x14ac:dyDescent="0.15">
      <c r="B98"/>
      <c r="N98"/>
      <c r="P98"/>
      <c r="Q98"/>
      <c r="R98"/>
      <c r="S98"/>
      <c r="U98"/>
    </row>
    <row r="99" spans="2:21" x14ac:dyDescent="0.15">
      <c r="B99"/>
      <c r="N99"/>
      <c r="P99"/>
      <c r="Q99"/>
      <c r="R99"/>
      <c r="S99"/>
      <c r="U99"/>
    </row>
    <row r="100" spans="2:21" x14ac:dyDescent="0.15">
      <c r="B100"/>
      <c r="N100"/>
      <c r="P100"/>
      <c r="Q100"/>
      <c r="R100"/>
      <c r="S100"/>
      <c r="U100"/>
    </row>
    <row r="101" spans="2:21" x14ac:dyDescent="0.15">
      <c r="B101"/>
      <c r="N101"/>
      <c r="P101"/>
      <c r="Q101"/>
      <c r="R101"/>
      <c r="S101"/>
      <c r="U101"/>
    </row>
    <row r="102" spans="2:21" x14ac:dyDescent="0.15">
      <c r="B102"/>
      <c r="N102"/>
      <c r="P102"/>
      <c r="Q102"/>
      <c r="R102"/>
      <c r="S102"/>
      <c r="U102"/>
    </row>
    <row r="103" spans="2:21" x14ac:dyDescent="0.15">
      <c r="B103"/>
      <c r="N103"/>
      <c r="P103"/>
      <c r="Q103"/>
      <c r="R103"/>
      <c r="S103"/>
      <c r="U103"/>
    </row>
    <row r="104" spans="2:21" x14ac:dyDescent="0.15">
      <c r="B104"/>
      <c r="N104"/>
      <c r="P104"/>
      <c r="Q104"/>
      <c r="R104"/>
      <c r="S104"/>
      <c r="U104"/>
    </row>
    <row r="105" spans="2:21" x14ac:dyDescent="0.15">
      <c r="B105"/>
      <c r="N105"/>
      <c r="P105"/>
      <c r="Q105"/>
      <c r="R105"/>
      <c r="S105"/>
      <c r="U105"/>
    </row>
    <row r="106" spans="2:21" x14ac:dyDescent="0.15">
      <c r="B106"/>
      <c r="N106"/>
      <c r="P106"/>
      <c r="Q106"/>
      <c r="R106"/>
      <c r="S106"/>
      <c r="U106"/>
    </row>
    <row r="107" spans="2:21" x14ac:dyDescent="0.15">
      <c r="B107"/>
      <c r="N107"/>
      <c r="P107"/>
      <c r="Q107"/>
      <c r="R107"/>
      <c r="S107"/>
      <c r="U107"/>
    </row>
    <row r="108" spans="2:21" x14ac:dyDescent="0.15">
      <c r="B108"/>
      <c r="N108"/>
      <c r="P108"/>
      <c r="Q108"/>
      <c r="R108"/>
      <c r="S108"/>
      <c r="U108"/>
    </row>
    <row r="109" spans="2:21" x14ac:dyDescent="0.15">
      <c r="B109"/>
      <c r="N109"/>
      <c r="P109"/>
      <c r="Q109"/>
      <c r="R109"/>
      <c r="S109"/>
      <c r="U109"/>
    </row>
    <row r="110" spans="2:21" x14ac:dyDescent="0.15">
      <c r="B110"/>
      <c r="N110"/>
      <c r="P110"/>
      <c r="Q110"/>
      <c r="R110"/>
      <c r="S110"/>
      <c r="U110"/>
    </row>
    <row r="111" spans="2:21" x14ac:dyDescent="0.15">
      <c r="B111"/>
      <c r="N111"/>
      <c r="P111"/>
      <c r="Q111"/>
      <c r="R111"/>
      <c r="S111"/>
      <c r="U111"/>
    </row>
    <row r="112" spans="2:21" x14ac:dyDescent="0.15">
      <c r="B112"/>
      <c r="N112"/>
      <c r="P112"/>
      <c r="Q112"/>
      <c r="R112"/>
      <c r="S112"/>
      <c r="U112"/>
    </row>
    <row r="113" spans="2:21" x14ac:dyDescent="0.15">
      <c r="B113"/>
      <c r="N113"/>
      <c r="P113"/>
      <c r="Q113"/>
      <c r="R113"/>
      <c r="S113"/>
      <c r="U113"/>
    </row>
    <row r="114" spans="2:21" x14ac:dyDescent="0.15">
      <c r="B114"/>
      <c r="N114"/>
      <c r="P114"/>
      <c r="Q114"/>
      <c r="R114"/>
      <c r="S114"/>
      <c r="U114"/>
    </row>
    <row r="115" spans="2:21" x14ac:dyDescent="0.15">
      <c r="B115"/>
      <c r="N115"/>
      <c r="P115"/>
      <c r="Q115"/>
      <c r="R115"/>
      <c r="S115"/>
      <c r="U115"/>
    </row>
    <row r="116" spans="2:21" x14ac:dyDescent="0.15">
      <c r="B116"/>
      <c r="N116"/>
      <c r="P116"/>
      <c r="Q116"/>
      <c r="R116"/>
      <c r="S116"/>
      <c r="U116"/>
    </row>
    <row r="117" spans="2:21" x14ac:dyDescent="0.15">
      <c r="B117"/>
      <c r="N117"/>
      <c r="P117"/>
      <c r="Q117"/>
      <c r="R117"/>
      <c r="S117"/>
      <c r="U117"/>
    </row>
    <row r="118" spans="2:21" x14ac:dyDescent="0.15">
      <c r="B118"/>
      <c r="N118"/>
      <c r="P118"/>
      <c r="Q118"/>
      <c r="R118"/>
      <c r="S118"/>
      <c r="U118"/>
    </row>
    <row r="119" spans="2:21" x14ac:dyDescent="0.15">
      <c r="B119"/>
      <c r="N119"/>
      <c r="P119"/>
      <c r="Q119"/>
      <c r="R119"/>
      <c r="S119"/>
      <c r="U119"/>
    </row>
    <row r="120" spans="2:21" x14ac:dyDescent="0.15">
      <c r="B120"/>
      <c r="N120"/>
      <c r="P120"/>
      <c r="Q120"/>
      <c r="R120"/>
      <c r="S120"/>
      <c r="U120"/>
    </row>
    <row r="121" spans="2:21" x14ac:dyDescent="0.15">
      <c r="B121"/>
      <c r="N121"/>
      <c r="P121"/>
      <c r="Q121"/>
      <c r="R121"/>
      <c r="S121"/>
      <c r="U121"/>
    </row>
    <row r="122" spans="2:21" x14ac:dyDescent="0.15">
      <c r="B122"/>
      <c r="N122"/>
      <c r="P122"/>
      <c r="Q122"/>
      <c r="R122"/>
      <c r="S122"/>
      <c r="U122"/>
    </row>
    <row r="123" spans="2:21" x14ac:dyDescent="0.15">
      <c r="B123"/>
      <c r="N123"/>
      <c r="P123"/>
      <c r="Q123"/>
      <c r="R123"/>
      <c r="S123"/>
      <c r="U123"/>
    </row>
    <row r="124" spans="2:21" x14ac:dyDescent="0.15">
      <c r="B124"/>
      <c r="N124"/>
      <c r="P124"/>
      <c r="Q124"/>
      <c r="R124"/>
      <c r="S124"/>
      <c r="U124"/>
    </row>
    <row r="125" spans="2:21" x14ac:dyDescent="0.15">
      <c r="B125"/>
      <c r="N125"/>
      <c r="P125"/>
      <c r="Q125"/>
      <c r="R125"/>
      <c r="S125"/>
      <c r="U125"/>
    </row>
    <row r="126" spans="2:21" x14ac:dyDescent="0.15">
      <c r="B126"/>
      <c r="N126"/>
      <c r="P126"/>
      <c r="Q126"/>
      <c r="R126"/>
      <c r="S126"/>
      <c r="U126"/>
    </row>
    <row r="127" spans="2:21" x14ac:dyDescent="0.15">
      <c r="B127"/>
      <c r="N127"/>
      <c r="P127"/>
      <c r="Q127"/>
      <c r="R127"/>
      <c r="S127"/>
      <c r="U127"/>
    </row>
    <row r="128" spans="2:21" x14ac:dyDescent="0.15">
      <c r="B128"/>
      <c r="N128"/>
      <c r="P128"/>
      <c r="Q128"/>
      <c r="R128"/>
      <c r="S128"/>
      <c r="U128"/>
    </row>
    <row r="129" spans="2:21" x14ac:dyDescent="0.15">
      <c r="B129"/>
      <c r="N129"/>
      <c r="P129"/>
      <c r="Q129"/>
      <c r="R129"/>
      <c r="S129"/>
      <c r="U129"/>
    </row>
    <row r="130" spans="2:21" x14ac:dyDescent="0.15">
      <c r="B130"/>
      <c r="N130"/>
      <c r="P130"/>
      <c r="Q130"/>
      <c r="R130"/>
      <c r="S130"/>
      <c r="U130"/>
    </row>
    <row r="131" spans="2:21" x14ac:dyDescent="0.15">
      <c r="B131"/>
      <c r="N131"/>
      <c r="P131"/>
      <c r="Q131"/>
      <c r="R131"/>
      <c r="S131"/>
      <c r="U131"/>
    </row>
    <row r="132" spans="2:21" x14ac:dyDescent="0.15">
      <c r="B132"/>
      <c r="N132"/>
      <c r="P132"/>
      <c r="Q132"/>
      <c r="R132"/>
      <c r="S132"/>
      <c r="U132"/>
    </row>
    <row r="133" spans="2:21" x14ac:dyDescent="0.15">
      <c r="B133"/>
      <c r="N133"/>
      <c r="P133"/>
      <c r="Q133"/>
      <c r="R133"/>
      <c r="S133"/>
      <c r="U133"/>
    </row>
    <row r="134" spans="2:21" x14ac:dyDescent="0.15">
      <c r="B134"/>
      <c r="N134"/>
      <c r="P134"/>
      <c r="Q134"/>
      <c r="R134"/>
      <c r="S134"/>
      <c r="U134"/>
    </row>
    <row r="135" spans="2:21" x14ac:dyDescent="0.15">
      <c r="B135"/>
      <c r="N135"/>
      <c r="P135"/>
      <c r="Q135"/>
      <c r="R135"/>
      <c r="S135"/>
      <c r="U135"/>
    </row>
    <row r="136" spans="2:21" x14ac:dyDescent="0.15">
      <c r="B136"/>
      <c r="N136"/>
      <c r="P136"/>
      <c r="Q136"/>
      <c r="R136"/>
      <c r="S136"/>
      <c r="U136"/>
    </row>
    <row r="137" spans="2:21" x14ac:dyDescent="0.15">
      <c r="B137"/>
      <c r="N137"/>
      <c r="P137"/>
      <c r="Q137"/>
      <c r="R137"/>
      <c r="S137"/>
      <c r="U137"/>
    </row>
    <row r="138" spans="2:21" x14ac:dyDescent="0.15">
      <c r="B138"/>
      <c r="N138"/>
      <c r="P138"/>
      <c r="Q138"/>
      <c r="R138"/>
      <c r="S138"/>
      <c r="U138"/>
    </row>
    <row r="139" spans="2:21" x14ac:dyDescent="0.15">
      <c r="B139"/>
      <c r="N139"/>
      <c r="P139"/>
      <c r="Q139"/>
      <c r="R139"/>
      <c r="S139"/>
      <c r="U139"/>
    </row>
    <row r="140" spans="2:21" x14ac:dyDescent="0.15">
      <c r="B140"/>
      <c r="N140"/>
      <c r="P140"/>
      <c r="Q140"/>
      <c r="R140"/>
      <c r="S140"/>
      <c r="U140"/>
    </row>
    <row r="141" spans="2:21" x14ac:dyDescent="0.15">
      <c r="B141"/>
      <c r="N141"/>
      <c r="P141"/>
      <c r="Q141"/>
      <c r="R141"/>
      <c r="S141"/>
      <c r="U141"/>
    </row>
    <row r="142" spans="2:21" x14ac:dyDescent="0.15">
      <c r="B142"/>
      <c r="N142"/>
      <c r="P142"/>
      <c r="Q142"/>
      <c r="R142"/>
      <c r="S142"/>
      <c r="U142"/>
    </row>
    <row r="143" spans="2:21" x14ac:dyDescent="0.15">
      <c r="B143"/>
      <c r="N143"/>
      <c r="P143"/>
      <c r="Q143"/>
      <c r="R143"/>
      <c r="S143"/>
      <c r="U143"/>
    </row>
    <row r="144" spans="2:21" x14ac:dyDescent="0.15">
      <c r="B144"/>
      <c r="N144"/>
      <c r="P144"/>
      <c r="Q144"/>
      <c r="R144"/>
      <c r="S144"/>
      <c r="U144"/>
    </row>
    <row r="145" spans="2:21" x14ac:dyDescent="0.15">
      <c r="B145"/>
      <c r="N145"/>
      <c r="P145"/>
      <c r="Q145"/>
      <c r="R145"/>
      <c r="S145"/>
      <c r="U145"/>
    </row>
    <row r="146" spans="2:21" x14ac:dyDescent="0.15">
      <c r="B146"/>
      <c r="N146"/>
      <c r="P146"/>
      <c r="Q146"/>
      <c r="R146"/>
      <c r="S146"/>
      <c r="U146"/>
    </row>
    <row r="147" spans="2:21" x14ac:dyDescent="0.15">
      <c r="B147"/>
      <c r="N147"/>
      <c r="P147"/>
      <c r="Q147"/>
      <c r="R147"/>
      <c r="S147"/>
      <c r="U147"/>
    </row>
    <row r="148" spans="2:21" x14ac:dyDescent="0.15">
      <c r="B148"/>
      <c r="N148"/>
      <c r="P148"/>
      <c r="Q148"/>
      <c r="R148"/>
      <c r="S148"/>
      <c r="U148"/>
    </row>
    <row r="149" spans="2:21" x14ac:dyDescent="0.15">
      <c r="B149"/>
      <c r="N149"/>
      <c r="P149"/>
      <c r="Q149"/>
      <c r="R149"/>
      <c r="S149"/>
      <c r="U149"/>
    </row>
    <row r="150" spans="2:21" x14ac:dyDescent="0.15">
      <c r="B150"/>
      <c r="N150"/>
      <c r="P150"/>
      <c r="Q150"/>
      <c r="R150"/>
      <c r="S150"/>
      <c r="U150"/>
    </row>
    <row r="151" spans="2:21" x14ac:dyDescent="0.15">
      <c r="B151"/>
      <c r="N151"/>
      <c r="P151"/>
      <c r="Q151"/>
      <c r="R151"/>
      <c r="S151"/>
      <c r="U151"/>
    </row>
    <row r="152" spans="2:21" x14ac:dyDescent="0.15">
      <c r="B152"/>
      <c r="N152"/>
      <c r="P152"/>
      <c r="Q152"/>
      <c r="R152"/>
      <c r="S152"/>
      <c r="U152"/>
    </row>
    <row r="153" spans="2:21" x14ac:dyDescent="0.15">
      <c r="B153"/>
      <c r="N153"/>
      <c r="P153"/>
      <c r="Q153"/>
      <c r="R153"/>
      <c r="S153"/>
      <c r="U153"/>
    </row>
    <row r="154" spans="2:21" x14ac:dyDescent="0.15">
      <c r="B154"/>
      <c r="N154"/>
      <c r="P154"/>
      <c r="Q154"/>
      <c r="R154"/>
      <c r="S154"/>
      <c r="U154"/>
    </row>
    <row r="155" spans="2:21" x14ac:dyDescent="0.15">
      <c r="B155"/>
      <c r="N155"/>
      <c r="P155"/>
      <c r="Q155"/>
      <c r="R155"/>
      <c r="S155"/>
      <c r="U155"/>
    </row>
    <row r="156" spans="2:21" x14ac:dyDescent="0.15">
      <c r="B156"/>
      <c r="N156"/>
      <c r="P156"/>
      <c r="Q156"/>
      <c r="R156"/>
      <c r="S156"/>
      <c r="U156"/>
    </row>
    <row r="157" spans="2:21" x14ac:dyDescent="0.15">
      <c r="B157"/>
      <c r="N157"/>
      <c r="P157"/>
      <c r="Q157"/>
      <c r="R157"/>
      <c r="S157"/>
      <c r="U157"/>
    </row>
    <row r="158" spans="2:21" x14ac:dyDescent="0.15">
      <c r="B158"/>
      <c r="N158"/>
      <c r="P158"/>
      <c r="Q158"/>
      <c r="R158"/>
      <c r="S158"/>
      <c r="U158"/>
    </row>
    <row r="159" spans="2:21" x14ac:dyDescent="0.15">
      <c r="B159"/>
      <c r="N159"/>
      <c r="P159"/>
      <c r="Q159"/>
      <c r="R159"/>
      <c r="S159"/>
      <c r="U159"/>
    </row>
    <row r="160" spans="2:21" x14ac:dyDescent="0.15">
      <c r="B160"/>
      <c r="N160"/>
      <c r="P160"/>
      <c r="Q160"/>
      <c r="R160"/>
      <c r="S160"/>
      <c r="U160"/>
    </row>
    <row r="161" spans="2:21" x14ac:dyDescent="0.15">
      <c r="B161"/>
      <c r="N161"/>
      <c r="P161"/>
      <c r="Q161"/>
      <c r="R161"/>
      <c r="S161"/>
      <c r="U161"/>
    </row>
    <row r="162" spans="2:21" x14ac:dyDescent="0.15">
      <c r="B162"/>
      <c r="N162"/>
      <c r="P162"/>
      <c r="Q162"/>
      <c r="R162"/>
      <c r="S162"/>
      <c r="U162"/>
    </row>
    <row r="163" spans="2:21" x14ac:dyDescent="0.15">
      <c r="B163"/>
      <c r="N163"/>
      <c r="P163"/>
      <c r="Q163"/>
      <c r="R163"/>
      <c r="S163"/>
      <c r="U163"/>
    </row>
    <row r="164" spans="2:21" x14ac:dyDescent="0.15">
      <c r="B164"/>
      <c r="N164"/>
      <c r="P164"/>
      <c r="Q164"/>
      <c r="R164"/>
      <c r="S164"/>
      <c r="U164"/>
    </row>
    <row r="165" spans="2:21" x14ac:dyDescent="0.15">
      <c r="B165"/>
      <c r="N165"/>
      <c r="P165"/>
      <c r="Q165"/>
      <c r="R165"/>
      <c r="S165"/>
      <c r="U165"/>
    </row>
    <row r="166" spans="2:21" x14ac:dyDescent="0.15">
      <c r="B166"/>
      <c r="N166"/>
      <c r="P166"/>
      <c r="Q166"/>
      <c r="R166"/>
      <c r="S166"/>
      <c r="U166"/>
    </row>
    <row r="167" spans="2:21" x14ac:dyDescent="0.15">
      <c r="B167"/>
      <c r="N167"/>
      <c r="P167"/>
      <c r="Q167"/>
      <c r="R167"/>
      <c r="S167"/>
      <c r="U167"/>
    </row>
    <row r="168" spans="2:21" x14ac:dyDescent="0.15">
      <c r="B168"/>
      <c r="N168"/>
      <c r="P168"/>
      <c r="Q168"/>
      <c r="R168"/>
      <c r="S168"/>
      <c r="U168"/>
    </row>
    <row r="169" spans="2:21" x14ac:dyDescent="0.15">
      <c r="B169"/>
      <c r="N169"/>
      <c r="P169"/>
      <c r="Q169"/>
      <c r="R169"/>
      <c r="S169"/>
      <c r="U169"/>
    </row>
    <row r="170" spans="2:21" x14ac:dyDescent="0.15">
      <c r="B170"/>
      <c r="N170"/>
      <c r="P170"/>
      <c r="Q170"/>
      <c r="R170"/>
      <c r="S170"/>
      <c r="U170"/>
    </row>
    <row r="171" spans="2:21" x14ac:dyDescent="0.15">
      <c r="B171"/>
      <c r="N171"/>
      <c r="P171"/>
      <c r="Q171"/>
      <c r="R171"/>
      <c r="S171"/>
      <c r="U171"/>
    </row>
    <row r="172" spans="2:21" x14ac:dyDescent="0.15">
      <c r="B172"/>
      <c r="N172"/>
      <c r="P172"/>
      <c r="Q172"/>
      <c r="R172"/>
      <c r="S172"/>
      <c r="U172"/>
    </row>
    <row r="173" spans="2:21" x14ac:dyDescent="0.15">
      <c r="B173"/>
      <c r="N173"/>
      <c r="P173"/>
      <c r="Q173"/>
      <c r="R173"/>
      <c r="S173"/>
      <c r="U173"/>
    </row>
    <row r="174" spans="2:21" x14ac:dyDescent="0.15">
      <c r="B174"/>
      <c r="N174"/>
      <c r="P174"/>
      <c r="Q174"/>
      <c r="R174"/>
      <c r="S174"/>
      <c r="U174"/>
    </row>
    <row r="175" spans="2:21" x14ac:dyDescent="0.15">
      <c r="B175"/>
      <c r="N175"/>
      <c r="P175"/>
      <c r="Q175"/>
      <c r="R175"/>
      <c r="S175"/>
      <c r="U175"/>
    </row>
    <row r="176" spans="2:21" x14ac:dyDescent="0.15">
      <c r="B176"/>
      <c r="N176"/>
      <c r="P176"/>
      <c r="Q176"/>
      <c r="R176"/>
      <c r="S176"/>
      <c r="U176"/>
    </row>
    <row r="177" spans="2:21" x14ac:dyDescent="0.15">
      <c r="B177"/>
      <c r="N177"/>
      <c r="P177"/>
      <c r="Q177"/>
      <c r="R177"/>
      <c r="S177"/>
      <c r="U177"/>
    </row>
    <row r="178" spans="2:21" x14ac:dyDescent="0.15">
      <c r="B178"/>
      <c r="N178"/>
      <c r="P178"/>
      <c r="Q178"/>
      <c r="R178"/>
      <c r="S178"/>
      <c r="U178"/>
    </row>
    <row r="179" spans="2:21" x14ac:dyDescent="0.15">
      <c r="B179"/>
      <c r="N179"/>
      <c r="P179"/>
      <c r="Q179"/>
      <c r="R179"/>
      <c r="S179"/>
      <c r="U179"/>
    </row>
    <row r="180" spans="2:21" x14ac:dyDescent="0.15">
      <c r="B180"/>
      <c r="N180"/>
      <c r="P180"/>
      <c r="Q180"/>
      <c r="R180"/>
      <c r="S180"/>
      <c r="U180"/>
    </row>
    <row r="181" spans="2:21" x14ac:dyDescent="0.15">
      <c r="B181"/>
      <c r="N181"/>
      <c r="P181"/>
      <c r="Q181"/>
      <c r="R181"/>
      <c r="S181"/>
      <c r="U181"/>
    </row>
    <row r="182" spans="2:21" x14ac:dyDescent="0.15">
      <c r="B182"/>
      <c r="N182"/>
      <c r="P182"/>
      <c r="Q182"/>
      <c r="R182"/>
      <c r="S182"/>
      <c r="U182"/>
    </row>
    <row r="183" spans="2:21" x14ac:dyDescent="0.15">
      <c r="B183"/>
      <c r="N183"/>
      <c r="P183"/>
      <c r="Q183"/>
      <c r="R183"/>
      <c r="S183"/>
      <c r="U183"/>
    </row>
    <row r="184" spans="2:21" x14ac:dyDescent="0.15">
      <c r="B184"/>
      <c r="N184"/>
      <c r="P184"/>
      <c r="Q184"/>
      <c r="R184"/>
      <c r="S184"/>
      <c r="U184"/>
    </row>
    <row r="185" spans="2:21" x14ac:dyDescent="0.15">
      <c r="B185"/>
      <c r="N185"/>
      <c r="P185"/>
      <c r="Q185"/>
      <c r="R185"/>
      <c r="S185"/>
      <c r="U185"/>
    </row>
    <row r="186" spans="2:21" x14ac:dyDescent="0.15">
      <c r="B186"/>
      <c r="N186"/>
      <c r="P186"/>
      <c r="Q186"/>
      <c r="R186"/>
      <c r="S186"/>
      <c r="U186"/>
    </row>
    <row r="187" spans="2:21" x14ac:dyDescent="0.15">
      <c r="B187"/>
      <c r="N187"/>
      <c r="P187"/>
      <c r="Q187"/>
      <c r="R187"/>
      <c r="S187"/>
      <c r="U187"/>
    </row>
    <row r="188" spans="2:21" x14ac:dyDescent="0.15">
      <c r="B188"/>
      <c r="N188"/>
      <c r="P188"/>
      <c r="Q188"/>
      <c r="R188"/>
      <c r="S188"/>
      <c r="U188"/>
    </row>
    <row r="189" spans="2:21" x14ac:dyDescent="0.15">
      <c r="B189"/>
      <c r="N189"/>
      <c r="P189"/>
      <c r="Q189"/>
      <c r="R189"/>
      <c r="S189"/>
      <c r="U189"/>
    </row>
    <row r="190" spans="2:21" x14ac:dyDescent="0.15">
      <c r="B190"/>
      <c r="N190"/>
      <c r="P190"/>
      <c r="Q190"/>
      <c r="R190"/>
      <c r="S190"/>
      <c r="U190"/>
    </row>
    <row r="191" spans="2:21" x14ac:dyDescent="0.15">
      <c r="B191"/>
      <c r="N191"/>
      <c r="P191"/>
      <c r="Q191"/>
      <c r="R191"/>
      <c r="S191"/>
      <c r="U191"/>
    </row>
    <row r="192" spans="2:21" x14ac:dyDescent="0.15">
      <c r="B192"/>
      <c r="N192"/>
      <c r="P192"/>
      <c r="Q192"/>
      <c r="R192"/>
      <c r="S192"/>
      <c r="U192"/>
    </row>
    <row r="193" spans="2:21" x14ac:dyDescent="0.15">
      <c r="B193"/>
      <c r="N193"/>
      <c r="P193"/>
      <c r="Q193"/>
      <c r="R193"/>
      <c r="S193"/>
      <c r="U193"/>
    </row>
    <row r="194" spans="2:21" x14ac:dyDescent="0.15">
      <c r="B194"/>
      <c r="N194"/>
      <c r="P194"/>
      <c r="Q194"/>
      <c r="R194"/>
      <c r="S194"/>
      <c r="U194"/>
    </row>
    <row r="195" spans="2:21" x14ac:dyDescent="0.15">
      <c r="B195"/>
      <c r="N195"/>
      <c r="P195"/>
      <c r="Q195"/>
      <c r="R195"/>
      <c r="S195"/>
      <c r="U195"/>
    </row>
    <row r="196" spans="2:21" x14ac:dyDescent="0.15">
      <c r="B196"/>
      <c r="N196"/>
      <c r="P196"/>
      <c r="Q196"/>
      <c r="R196"/>
      <c r="S196"/>
      <c r="U196"/>
    </row>
    <row r="197" spans="2:21" x14ac:dyDescent="0.15">
      <c r="B197"/>
      <c r="N197"/>
      <c r="P197"/>
      <c r="Q197"/>
      <c r="R197"/>
      <c r="S197"/>
      <c r="U197"/>
    </row>
    <row r="198" spans="2:21" x14ac:dyDescent="0.15">
      <c r="B198"/>
      <c r="N198"/>
      <c r="P198"/>
      <c r="Q198"/>
      <c r="R198"/>
      <c r="S198"/>
      <c r="U198"/>
    </row>
    <row r="199" spans="2:21" x14ac:dyDescent="0.15">
      <c r="B199"/>
      <c r="N199"/>
      <c r="P199"/>
      <c r="Q199"/>
      <c r="R199"/>
      <c r="S199"/>
      <c r="U199"/>
    </row>
    <row r="200" spans="2:21" x14ac:dyDescent="0.15">
      <c r="B200"/>
      <c r="N200"/>
      <c r="P200"/>
      <c r="Q200"/>
      <c r="R200"/>
      <c r="S200"/>
      <c r="U200"/>
    </row>
    <row r="201" spans="2:21" x14ac:dyDescent="0.15">
      <c r="B201"/>
      <c r="N201"/>
      <c r="P201"/>
      <c r="Q201"/>
      <c r="R201"/>
      <c r="S201"/>
      <c r="U201"/>
    </row>
    <row r="202" spans="2:21" x14ac:dyDescent="0.15">
      <c r="B202"/>
      <c r="N202"/>
      <c r="P202"/>
      <c r="Q202"/>
      <c r="R202"/>
      <c r="S202"/>
      <c r="U202"/>
    </row>
    <row r="203" spans="2:21" x14ac:dyDescent="0.15">
      <c r="B203"/>
      <c r="N203"/>
      <c r="P203"/>
      <c r="Q203"/>
      <c r="R203"/>
      <c r="S203"/>
      <c r="U203"/>
    </row>
    <row r="204" spans="2:21" x14ac:dyDescent="0.15">
      <c r="B204"/>
      <c r="N204"/>
      <c r="P204"/>
      <c r="Q204"/>
      <c r="R204"/>
      <c r="S204"/>
      <c r="U204"/>
    </row>
    <row r="205" spans="2:21" x14ac:dyDescent="0.15">
      <c r="B205"/>
      <c r="N205"/>
      <c r="P205"/>
      <c r="Q205"/>
      <c r="R205"/>
      <c r="S205"/>
      <c r="U205"/>
    </row>
    <row r="206" spans="2:21" x14ac:dyDescent="0.15">
      <c r="B206"/>
      <c r="N206"/>
      <c r="P206"/>
      <c r="Q206"/>
      <c r="R206"/>
      <c r="S206"/>
      <c r="U206"/>
    </row>
    <row r="207" spans="2:21" x14ac:dyDescent="0.15">
      <c r="B207"/>
      <c r="N207"/>
      <c r="P207"/>
      <c r="Q207"/>
      <c r="R207"/>
      <c r="S207"/>
      <c r="U207"/>
    </row>
    <row r="208" spans="2:21" x14ac:dyDescent="0.15">
      <c r="B208"/>
      <c r="N208"/>
      <c r="P208"/>
      <c r="Q208"/>
      <c r="R208"/>
      <c r="S208"/>
      <c r="U208"/>
    </row>
    <row r="209" spans="2:21" x14ac:dyDescent="0.15">
      <c r="B209"/>
      <c r="N209"/>
      <c r="P209"/>
      <c r="Q209"/>
      <c r="R209"/>
      <c r="S209"/>
      <c r="U209"/>
    </row>
    <row r="210" spans="2:21" x14ac:dyDescent="0.15">
      <c r="B210"/>
      <c r="N210"/>
      <c r="P210"/>
      <c r="Q210"/>
      <c r="R210"/>
      <c r="S210"/>
      <c r="U210"/>
    </row>
    <row r="211" spans="2:21" x14ac:dyDescent="0.15">
      <c r="B211"/>
      <c r="N211"/>
      <c r="P211"/>
      <c r="Q211"/>
      <c r="R211"/>
      <c r="S211"/>
      <c r="U211"/>
    </row>
    <row r="212" spans="2:21" x14ac:dyDescent="0.15">
      <c r="B212"/>
      <c r="N212"/>
      <c r="P212"/>
      <c r="Q212"/>
      <c r="R212"/>
      <c r="S212"/>
      <c r="U212"/>
    </row>
    <row r="213" spans="2:21" x14ac:dyDescent="0.15">
      <c r="B213"/>
      <c r="N213"/>
      <c r="P213"/>
      <c r="Q213"/>
      <c r="R213"/>
      <c r="S213"/>
      <c r="U213"/>
    </row>
    <row r="214" spans="2:21" x14ac:dyDescent="0.15">
      <c r="B214"/>
      <c r="N214"/>
      <c r="P214"/>
      <c r="Q214"/>
      <c r="R214"/>
      <c r="S214"/>
      <c r="U214"/>
    </row>
    <row r="215" spans="2:21" x14ac:dyDescent="0.15">
      <c r="B215"/>
      <c r="N215"/>
      <c r="P215"/>
      <c r="Q215"/>
      <c r="R215"/>
      <c r="S215"/>
      <c r="U215"/>
    </row>
    <row r="216" spans="2:21" x14ac:dyDescent="0.15">
      <c r="B216"/>
      <c r="N216"/>
      <c r="P216"/>
      <c r="Q216"/>
      <c r="R216"/>
      <c r="S216"/>
      <c r="U216"/>
    </row>
    <row r="217" spans="2:21" x14ac:dyDescent="0.15">
      <c r="B217"/>
      <c r="N217"/>
      <c r="P217"/>
      <c r="Q217"/>
      <c r="R217"/>
      <c r="S217"/>
      <c r="U217"/>
    </row>
    <row r="218" spans="2:21" x14ac:dyDescent="0.15">
      <c r="B218"/>
      <c r="N218"/>
      <c r="P218"/>
      <c r="Q218"/>
      <c r="R218"/>
      <c r="S218"/>
      <c r="U218"/>
    </row>
    <row r="219" spans="2:21" x14ac:dyDescent="0.15">
      <c r="B219"/>
      <c r="N219"/>
      <c r="P219"/>
      <c r="Q219"/>
      <c r="R219"/>
      <c r="S219"/>
      <c r="U219"/>
    </row>
    <row r="220" spans="2:21" x14ac:dyDescent="0.15">
      <c r="B220"/>
      <c r="N220"/>
      <c r="P220"/>
      <c r="Q220"/>
      <c r="R220"/>
      <c r="S220"/>
      <c r="U220"/>
    </row>
    <row r="221" spans="2:21" x14ac:dyDescent="0.15">
      <c r="B221"/>
      <c r="N221"/>
      <c r="P221"/>
      <c r="Q221"/>
      <c r="R221"/>
      <c r="S221"/>
      <c r="U221"/>
    </row>
    <row r="222" spans="2:21" x14ac:dyDescent="0.15">
      <c r="B222"/>
      <c r="N222"/>
      <c r="P222"/>
      <c r="Q222"/>
      <c r="R222"/>
      <c r="S222"/>
      <c r="U222"/>
    </row>
    <row r="223" spans="2:21" x14ac:dyDescent="0.15">
      <c r="B223"/>
      <c r="N223"/>
      <c r="P223"/>
      <c r="Q223"/>
      <c r="R223"/>
      <c r="S223"/>
      <c r="U223"/>
    </row>
    <row r="224" spans="2:21" x14ac:dyDescent="0.15">
      <c r="B224"/>
      <c r="N224"/>
      <c r="P224"/>
      <c r="Q224"/>
      <c r="R224"/>
      <c r="S224"/>
      <c r="U224"/>
    </row>
    <row r="225" spans="2:21" x14ac:dyDescent="0.15">
      <c r="B225"/>
      <c r="N225"/>
      <c r="P225"/>
      <c r="Q225"/>
      <c r="R225"/>
      <c r="S225"/>
      <c r="U225"/>
    </row>
    <row r="226" spans="2:21" x14ac:dyDescent="0.15">
      <c r="B226"/>
      <c r="N226"/>
      <c r="P226"/>
      <c r="Q226"/>
      <c r="R226"/>
      <c r="S226"/>
      <c r="U226"/>
    </row>
    <row r="227" spans="2:21" x14ac:dyDescent="0.15">
      <c r="B227"/>
      <c r="N227"/>
      <c r="P227"/>
      <c r="Q227"/>
      <c r="R227"/>
      <c r="S227"/>
      <c r="U227"/>
    </row>
    <row r="228" spans="2:21" x14ac:dyDescent="0.15">
      <c r="B228"/>
      <c r="N228"/>
      <c r="P228"/>
      <c r="Q228"/>
      <c r="R228"/>
      <c r="S228"/>
      <c r="U228"/>
    </row>
    <row r="229" spans="2:21" x14ac:dyDescent="0.15">
      <c r="B229"/>
      <c r="N229"/>
      <c r="P229"/>
      <c r="Q229"/>
      <c r="R229"/>
      <c r="S229"/>
      <c r="U229"/>
    </row>
    <row r="230" spans="2:21" x14ac:dyDescent="0.15">
      <c r="B230"/>
      <c r="N230"/>
      <c r="P230"/>
      <c r="Q230"/>
      <c r="R230"/>
      <c r="S230"/>
      <c r="U230"/>
    </row>
    <row r="231" spans="2:21" x14ac:dyDescent="0.15">
      <c r="B231"/>
      <c r="N231"/>
      <c r="P231"/>
      <c r="Q231"/>
      <c r="R231"/>
      <c r="S231"/>
      <c r="U231"/>
    </row>
    <row r="232" spans="2:21" x14ac:dyDescent="0.15">
      <c r="B232"/>
      <c r="N232"/>
      <c r="P232"/>
      <c r="Q232"/>
      <c r="R232"/>
      <c r="S232"/>
      <c r="U232"/>
    </row>
    <row r="233" spans="2:21" x14ac:dyDescent="0.15">
      <c r="B233"/>
      <c r="N233"/>
      <c r="P233"/>
      <c r="Q233"/>
      <c r="R233"/>
      <c r="S233"/>
      <c r="U233"/>
    </row>
    <row r="234" spans="2:21" x14ac:dyDescent="0.15">
      <c r="B234"/>
      <c r="N234"/>
      <c r="P234"/>
      <c r="Q234"/>
      <c r="R234"/>
      <c r="S234"/>
      <c r="U234"/>
    </row>
    <row r="235" spans="2:21" x14ac:dyDescent="0.15">
      <c r="B235"/>
      <c r="N235"/>
      <c r="P235"/>
      <c r="Q235"/>
      <c r="R235"/>
      <c r="S235"/>
      <c r="U235"/>
    </row>
    <row r="236" spans="2:21" x14ac:dyDescent="0.15">
      <c r="B236"/>
      <c r="N236"/>
      <c r="P236"/>
      <c r="Q236"/>
      <c r="R236"/>
      <c r="S236"/>
      <c r="U236"/>
    </row>
    <row r="237" spans="2:21" x14ac:dyDescent="0.15">
      <c r="B237"/>
      <c r="N237"/>
      <c r="P237"/>
      <c r="Q237"/>
      <c r="R237"/>
      <c r="S237"/>
      <c r="U237"/>
    </row>
    <row r="238" spans="2:21" x14ac:dyDescent="0.15">
      <c r="B238"/>
      <c r="N238"/>
      <c r="P238"/>
      <c r="Q238"/>
      <c r="R238"/>
      <c r="S238"/>
      <c r="U238"/>
    </row>
    <row r="239" spans="2:21" x14ac:dyDescent="0.15">
      <c r="B239"/>
      <c r="N239"/>
      <c r="P239"/>
      <c r="Q239"/>
      <c r="R239"/>
      <c r="S239"/>
      <c r="U239"/>
    </row>
    <row r="240" spans="2:21" x14ac:dyDescent="0.15">
      <c r="B240"/>
      <c r="N240"/>
      <c r="P240"/>
      <c r="Q240"/>
      <c r="R240"/>
      <c r="S240"/>
      <c r="U240"/>
    </row>
    <row r="241" spans="2:21" x14ac:dyDescent="0.15">
      <c r="B241"/>
      <c r="N241"/>
      <c r="P241"/>
      <c r="Q241"/>
      <c r="R241"/>
      <c r="S241"/>
      <c r="U241"/>
    </row>
    <row r="242" spans="2:21" x14ac:dyDescent="0.15">
      <c r="B242"/>
      <c r="N242"/>
      <c r="P242"/>
      <c r="Q242"/>
      <c r="R242"/>
      <c r="S242"/>
      <c r="U242"/>
    </row>
    <row r="243" spans="2:21" x14ac:dyDescent="0.15">
      <c r="B243"/>
      <c r="N243"/>
      <c r="P243"/>
      <c r="Q243"/>
      <c r="R243"/>
      <c r="S243"/>
      <c r="U243"/>
    </row>
    <row r="244" spans="2:21" x14ac:dyDescent="0.15">
      <c r="B244"/>
      <c r="N244"/>
      <c r="P244"/>
      <c r="Q244"/>
      <c r="R244"/>
      <c r="S244"/>
      <c r="U244"/>
    </row>
    <row r="245" spans="2:21" x14ac:dyDescent="0.15">
      <c r="B245"/>
      <c r="N245"/>
      <c r="P245"/>
      <c r="Q245"/>
      <c r="R245"/>
      <c r="S245"/>
      <c r="U245"/>
    </row>
    <row r="246" spans="2:21" x14ac:dyDescent="0.15">
      <c r="B246"/>
      <c r="N246"/>
      <c r="P246"/>
      <c r="Q246"/>
      <c r="R246"/>
      <c r="S246"/>
      <c r="U246"/>
    </row>
    <row r="247" spans="2:21" x14ac:dyDescent="0.15">
      <c r="B247"/>
      <c r="N247"/>
      <c r="P247"/>
      <c r="Q247"/>
      <c r="R247"/>
      <c r="S247"/>
      <c r="U247"/>
    </row>
    <row r="248" spans="2:21" x14ac:dyDescent="0.15">
      <c r="B248"/>
      <c r="N248"/>
      <c r="P248"/>
      <c r="Q248"/>
      <c r="R248"/>
      <c r="S248"/>
      <c r="U248"/>
    </row>
    <row r="249" spans="2:21" x14ac:dyDescent="0.15">
      <c r="B249"/>
      <c r="N249"/>
      <c r="P249"/>
      <c r="Q249"/>
      <c r="R249"/>
      <c r="S249"/>
      <c r="U249"/>
    </row>
    <row r="250" spans="2:21" x14ac:dyDescent="0.15">
      <c r="B250"/>
      <c r="N250"/>
      <c r="P250"/>
      <c r="Q250"/>
      <c r="R250"/>
      <c r="S250"/>
      <c r="U250"/>
    </row>
    <row r="251" spans="2:21" x14ac:dyDescent="0.15">
      <c r="B251"/>
      <c r="N251"/>
      <c r="P251"/>
      <c r="Q251"/>
      <c r="R251"/>
      <c r="S251"/>
      <c r="U251"/>
    </row>
    <row r="252" spans="2:21" x14ac:dyDescent="0.15">
      <c r="B252"/>
      <c r="N252"/>
      <c r="P252"/>
      <c r="Q252"/>
      <c r="R252"/>
      <c r="S252"/>
      <c r="U252"/>
    </row>
    <row r="253" spans="2:21" x14ac:dyDescent="0.15">
      <c r="B253"/>
      <c r="N253"/>
      <c r="P253"/>
      <c r="Q253"/>
      <c r="R253"/>
      <c r="S253"/>
      <c r="U253"/>
    </row>
    <row r="254" spans="2:21" x14ac:dyDescent="0.15">
      <c r="B254"/>
      <c r="N254"/>
      <c r="P254"/>
      <c r="Q254"/>
      <c r="R254"/>
      <c r="S254"/>
      <c r="U254"/>
    </row>
    <row r="255" spans="2:21" x14ac:dyDescent="0.15">
      <c r="B255"/>
      <c r="N255"/>
      <c r="P255"/>
      <c r="Q255"/>
      <c r="R255"/>
      <c r="S255"/>
      <c r="U255"/>
    </row>
    <row r="256" spans="2:21" x14ac:dyDescent="0.15">
      <c r="B256"/>
      <c r="N256"/>
      <c r="P256"/>
      <c r="Q256"/>
      <c r="R256"/>
      <c r="S256"/>
      <c r="U256"/>
    </row>
    <row r="257" spans="2:21" x14ac:dyDescent="0.15">
      <c r="B257"/>
      <c r="N257"/>
      <c r="P257"/>
      <c r="Q257"/>
      <c r="R257"/>
      <c r="S257"/>
      <c r="U257"/>
    </row>
    <row r="258" spans="2:21" x14ac:dyDescent="0.15">
      <c r="B258"/>
      <c r="N258"/>
      <c r="P258"/>
      <c r="Q258"/>
      <c r="R258"/>
      <c r="S258"/>
      <c r="U258"/>
    </row>
    <row r="259" spans="2:21" x14ac:dyDescent="0.15">
      <c r="B259"/>
      <c r="N259"/>
      <c r="P259"/>
      <c r="Q259"/>
      <c r="R259"/>
      <c r="S259"/>
      <c r="U259"/>
    </row>
    <row r="260" spans="2:21" x14ac:dyDescent="0.15">
      <c r="B260"/>
      <c r="N260"/>
      <c r="P260"/>
      <c r="Q260"/>
      <c r="R260"/>
      <c r="S260"/>
      <c r="U260"/>
    </row>
    <row r="261" spans="2:21" x14ac:dyDescent="0.15">
      <c r="B261"/>
      <c r="N261"/>
      <c r="P261"/>
      <c r="Q261"/>
      <c r="R261"/>
      <c r="S261"/>
      <c r="U261"/>
    </row>
    <row r="262" spans="2:21" x14ac:dyDescent="0.15">
      <c r="B262"/>
      <c r="N262"/>
      <c r="P262"/>
      <c r="Q262"/>
      <c r="R262"/>
      <c r="S262"/>
      <c r="U262"/>
    </row>
    <row r="263" spans="2:21" x14ac:dyDescent="0.15">
      <c r="B263"/>
      <c r="N263"/>
      <c r="P263"/>
      <c r="Q263"/>
      <c r="R263"/>
      <c r="S263"/>
      <c r="U263"/>
    </row>
    <row r="264" spans="2:21" x14ac:dyDescent="0.15">
      <c r="B264"/>
      <c r="N264"/>
      <c r="P264"/>
      <c r="Q264"/>
      <c r="R264"/>
      <c r="S264"/>
      <c r="U264"/>
    </row>
    <row r="265" spans="2:21" x14ac:dyDescent="0.15">
      <c r="B265"/>
      <c r="N265"/>
      <c r="P265"/>
      <c r="Q265"/>
      <c r="R265"/>
      <c r="S265"/>
      <c r="U265"/>
    </row>
    <row r="266" spans="2:21" x14ac:dyDescent="0.15">
      <c r="B266"/>
      <c r="N266"/>
      <c r="P266"/>
      <c r="Q266"/>
      <c r="R266"/>
      <c r="S266"/>
      <c r="U266"/>
    </row>
    <row r="267" spans="2:21" x14ac:dyDescent="0.15">
      <c r="B267"/>
      <c r="N267"/>
      <c r="P267"/>
      <c r="Q267"/>
      <c r="R267"/>
      <c r="S267"/>
      <c r="U267"/>
    </row>
    <row r="268" spans="2:21" x14ac:dyDescent="0.15">
      <c r="B268"/>
      <c r="N268"/>
      <c r="P268"/>
      <c r="Q268"/>
      <c r="R268"/>
      <c r="S268"/>
      <c r="U268"/>
    </row>
    <row r="269" spans="2:21" x14ac:dyDescent="0.15">
      <c r="B269"/>
      <c r="N269"/>
      <c r="P269"/>
      <c r="Q269"/>
      <c r="R269"/>
      <c r="S269"/>
      <c r="U269"/>
    </row>
    <row r="270" spans="2:21" x14ac:dyDescent="0.15">
      <c r="B270"/>
      <c r="N270"/>
      <c r="P270"/>
      <c r="Q270"/>
      <c r="R270"/>
      <c r="S270"/>
      <c r="U270"/>
    </row>
    <row r="271" spans="2:21" x14ac:dyDescent="0.15">
      <c r="B271"/>
      <c r="N271"/>
      <c r="P271"/>
      <c r="Q271"/>
      <c r="R271"/>
      <c r="S271"/>
      <c r="U271"/>
    </row>
    <row r="272" spans="2:21" x14ac:dyDescent="0.15">
      <c r="B272"/>
      <c r="N272"/>
      <c r="P272"/>
      <c r="Q272"/>
      <c r="R272"/>
      <c r="S272"/>
      <c r="U272"/>
    </row>
    <row r="273" spans="2:21" x14ac:dyDescent="0.15">
      <c r="B273"/>
      <c r="N273"/>
      <c r="P273"/>
      <c r="Q273"/>
      <c r="R273"/>
      <c r="S273"/>
      <c r="U273"/>
    </row>
    <row r="274" spans="2:21" x14ac:dyDescent="0.15">
      <c r="B274"/>
      <c r="N274"/>
      <c r="P274"/>
      <c r="Q274"/>
      <c r="R274"/>
      <c r="S274"/>
      <c r="U274"/>
    </row>
    <row r="275" spans="2:21" x14ac:dyDescent="0.15">
      <c r="B275"/>
      <c r="N275"/>
      <c r="P275"/>
      <c r="Q275"/>
      <c r="R275"/>
      <c r="S275"/>
      <c r="U275"/>
    </row>
    <row r="276" spans="2:21" x14ac:dyDescent="0.15">
      <c r="B276"/>
      <c r="N276"/>
      <c r="P276"/>
      <c r="Q276"/>
      <c r="R276"/>
      <c r="S276"/>
      <c r="U276"/>
    </row>
    <row r="277" spans="2:21" x14ac:dyDescent="0.15">
      <c r="B277"/>
      <c r="N277"/>
      <c r="P277"/>
      <c r="Q277"/>
      <c r="R277"/>
      <c r="S277"/>
      <c r="U277"/>
    </row>
    <row r="278" spans="2:21" x14ac:dyDescent="0.15">
      <c r="B278"/>
      <c r="N278"/>
      <c r="P278"/>
      <c r="Q278"/>
      <c r="R278"/>
      <c r="S278"/>
      <c r="U278"/>
    </row>
    <row r="279" spans="2:21" x14ac:dyDescent="0.15">
      <c r="B279"/>
      <c r="N279"/>
      <c r="P279"/>
      <c r="Q279"/>
      <c r="R279"/>
      <c r="S279"/>
      <c r="U279"/>
    </row>
    <row r="280" spans="2:21" x14ac:dyDescent="0.15">
      <c r="B280"/>
      <c r="N280"/>
      <c r="P280"/>
      <c r="Q280"/>
      <c r="R280"/>
      <c r="S280"/>
      <c r="U280"/>
    </row>
    <row r="281" spans="2:21" x14ac:dyDescent="0.15">
      <c r="B281"/>
      <c r="N281"/>
      <c r="P281"/>
      <c r="Q281"/>
      <c r="R281"/>
      <c r="S281"/>
      <c r="U281"/>
    </row>
    <row r="282" spans="2:21" x14ac:dyDescent="0.15">
      <c r="B282"/>
      <c r="N282"/>
      <c r="P282"/>
      <c r="Q282"/>
      <c r="R282"/>
      <c r="S282"/>
      <c r="U282"/>
    </row>
    <row r="283" spans="2:21" x14ac:dyDescent="0.15">
      <c r="B283"/>
      <c r="N283"/>
      <c r="P283"/>
      <c r="Q283"/>
      <c r="R283"/>
      <c r="S283"/>
      <c r="U283"/>
    </row>
    <row r="284" spans="2:21" x14ac:dyDescent="0.15">
      <c r="B284"/>
      <c r="N284"/>
      <c r="P284"/>
      <c r="Q284"/>
      <c r="R284"/>
      <c r="S284"/>
      <c r="U284"/>
    </row>
    <row r="285" spans="2:21" x14ac:dyDescent="0.15">
      <c r="B285"/>
      <c r="N285"/>
      <c r="P285"/>
      <c r="Q285"/>
      <c r="R285"/>
      <c r="S285"/>
      <c r="U285"/>
    </row>
    <row r="286" spans="2:21" x14ac:dyDescent="0.15">
      <c r="B286"/>
      <c r="N286"/>
      <c r="P286"/>
      <c r="Q286"/>
      <c r="R286"/>
      <c r="S286"/>
      <c r="U286"/>
    </row>
    <row r="287" spans="2:21" x14ac:dyDescent="0.15">
      <c r="B287"/>
      <c r="N287"/>
      <c r="P287"/>
      <c r="Q287"/>
      <c r="R287"/>
      <c r="S287"/>
      <c r="U287"/>
    </row>
    <row r="288" spans="2:21" x14ac:dyDescent="0.15">
      <c r="B288"/>
      <c r="N288"/>
      <c r="P288"/>
      <c r="Q288"/>
      <c r="R288"/>
      <c r="S288"/>
      <c r="U288"/>
    </row>
    <row r="289" spans="2:21" x14ac:dyDescent="0.15">
      <c r="B289"/>
      <c r="N289"/>
      <c r="P289"/>
      <c r="Q289"/>
      <c r="R289"/>
      <c r="S289"/>
      <c r="U289"/>
    </row>
    <row r="290" spans="2:21" x14ac:dyDescent="0.15">
      <c r="B290"/>
      <c r="N290"/>
      <c r="P290"/>
      <c r="Q290"/>
      <c r="R290"/>
      <c r="S290"/>
      <c r="U290"/>
    </row>
    <row r="291" spans="2:21" x14ac:dyDescent="0.15">
      <c r="B291"/>
      <c r="N291"/>
      <c r="P291"/>
      <c r="Q291"/>
      <c r="R291"/>
      <c r="S291"/>
      <c r="U291"/>
    </row>
    <row r="292" spans="2:21" x14ac:dyDescent="0.15">
      <c r="B292"/>
      <c r="N292"/>
      <c r="P292"/>
      <c r="Q292"/>
      <c r="R292"/>
      <c r="S292"/>
      <c r="U292"/>
    </row>
    <row r="293" spans="2:21" x14ac:dyDescent="0.15">
      <c r="B293"/>
      <c r="N293"/>
      <c r="P293"/>
      <c r="Q293"/>
      <c r="R293"/>
      <c r="S293"/>
      <c r="U293"/>
    </row>
    <row r="294" spans="2:21" x14ac:dyDescent="0.15">
      <c r="B294"/>
      <c r="N294"/>
      <c r="P294"/>
      <c r="Q294"/>
      <c r="R294"/>
      <c r="S294"/>
      <c r="U294"/>
    </row>
    <row r="295" spans="2:21" x14ac:dyDescent="0.15">
      <c r="B295"/>
      <c r="N295"/>
      <c r="P295"/>
      <c r="Q295"/>
      <c r="R295"/>
      <c r="S295"/>
      <c r="U295"/>
    </row>
    <row r="296" spans="2:21" x14ac:dyDescent="0.15">
      <c r="B296"/>
      <c r="N296"/>
      <c r="P296"/>
      <c r="Q296"/>
      <c r="R296"/>
      <c r="S296"/>
      <c r="U296"/>
    </row>
    <row r="297" spans="2:21" x14ac:dyDescent="0.15">
      <c r="B297"/>
      <c r="N297"/>
      <c r="P297"/>
      <c r="Q297"/>
      <c r="R297"/>
      <c r="S297"/>
      <c r="U297"/>
    </row>
    <row r="298" spans="2:21" x14ac:dyDescent="0.15">
      <c r="B298"/>
      <c r="N298"/>
      <c r="P298"/>
      <c r="Q298"/>
      <c r="R298"/>
      <c r="S298"/>
      <c r="U298"/>
    </row>
    <row r="299" spans="2:21" x14ac:dyDescent="0.15">
      <c r="B299"/>
      <c r="N299"/>
      <c r="P299"/>
      <c r="Q299"/>
      <c r="R299"/>
      <c r="S299"/>
      <c r="U299"/>
    </row>
    <row r="300" spans="2:21" x14ac:dyDescent="0.15">
      <c r="B300"/>
      <c r="N300"/>
      <c r="P300"/>
      <c r="Q300"/>
      <c r="R300"/>
      <c r="S300"/>
      <c r="U300"/>
    </row>
    <row r="301" spans="2:21" x14ac:dyDescent="0.15">
      <c r="B301"/>
      <c r="N301"/>
      <c r="P301"/>
      <c r="Q301"/>
      <c r="R301"/>
      <c r="S301"/>
      <c r="U301"/>
    </row>
    <row r="302" spans="2:21" x14ac:dyDescent="0.15">
      <c r="B302"/>
      <c r="N302"/>
      <c r="P302"/>
      <c r="Q302"/>
      <c r="R302"/>
      <c r="S302"/>
      <c r="U302"/>
    </row>
    <row r="303" spans="2:21" x14ac:dyDescent="0.15">
      <c r="B303"/>
      <c r="N303"/>
      <c r="P303"/>
      <c r="Q303"/>
      <c r="R303"/>
      <c r="S303"/>
      <c r="U303"/>
    </row>
    <row r="304" spans="2:21" x14ac:dyDescent="0.15">
      <c r="B304"/>
      <c r="N304"/>
      <c r="P304"/>
      <c r="Q304"/>
      <c r="R304"/>
      <c r="S304"/>
      <c r="U304"/>
    </row>
    <row r="305" spans="2:21" x14ac:dyDescent="0.15">
      <c r="B305"/>
      <c r="N305"/>
      <c r="P305"/>
      <c r="Q305"/>
      <c r="R305"/>
      <c r="S305"/>
      <c r="U305"/>
    </row>
    <row r="306" spans="2:21" x14ac:dyDescent="0.15">
      <c r="B306"/>
      <c r="N306"/>
      <c r="P306"/>
      <c r="Q306"/>
      <c r="R306"/>
      <c r="S306"/>
      <c r="U306"/>
    </row>
    <row r="307" spans="2:21" x14ac:dyDescent="0.15">
      <c r="B307"/>
      <c r="N307"/>
      <c r="P307"/>
      <c r="Q307"/>
      <c r="R307"/>
      <c r="S307"/>
      <c r="U307"/>
    </row>
    <row r="308" spans="2:21" x14ac:dyDescent="0.15">
      <c r="B308"/>
      <c r="N308"/>
      <c r="P308"/>
      <c r="Q308"/>
      <c r="R308"/>
      <c r="S308"/>
      <c r="U308"/>
    </row>
    <row r="309" spans="2:21" x14ac:dyDescent="0.15">
      <c r="B309"/>
      <c r="N309"/>
      <c r="P309"/>
      <c r="Q309"/>
      <c r="R309"/>
      <c r="S309"/>
      <c r="U309"/>
    </row>
    <row r="310" spans="2:21" x14ac:dyDescent="0.15">
      <c r="B310"/>
      <c r="N310"/>
      <c r="P310"/>
      <c r="Q310"/>
      <c r="R310"/>
      <c r="S310"/>
      <c r="U310"/>
    </row>
    <row r="311" spans="2:21" x14ac:dyDescent="0.15">
      <c r="B311"/>
      <c r="N311"/>
      <c r="P311"/>
      <c r="Q311"/>
      <c r="R311"/>
      <c r="S311"/>
      <c r="U311"/>
    </row>
    <row r="312" spans="2:21" x14ac:dyDescent="0.15">
      <c r="B312"/>
      <c r="N312"/>
      <c r="P312"/>
      <c r="Q312"/>
      <c r="R312"/>
      <c r="S312"/>
      <c r="U312"/>
    </row>
    <row r="313" spans="2:21" x14ac:dyDescent="0.15">
      <c r="B313"/>
      <c r="N313"/>
      <c r="P313"/>
      <c r="Q313"/>
      <c r="R313"/>
      <c r="S313"/>
      <c r="U313"/>
    </row>
    <row r="314" spans="2:21" x14ac:dyDescent="0.15">
      <c r="B314"/>
      <c r="N314"/>
      <c r="P314"/>
      <c r="Q314"/>
      <c r="R314"/>
      <c r="S314"/>
      <c r="U314"/>
    </row>
    <row r="315" spans="2:21" x14ac:dyDescent="0.15">
      <c r="B315"/>
      <c r="N315"/>
      <c r="P315"/>
      <c r="Q315"/>
      <c r="R315"/>
      <c r="S315"/>
      <c r="U315"/>
    </row>
    <row r="316" spans="2:21" x14ac:dyDescent="0.15">
      <c r="B316"/>
      <c r="N316"/>
      <c r="P316"/>
      <c r="Q316"/>
      <c r="R316"/>
      <c r="S316"/>
      <c r="U316"/>
    </row>
    <row r="317" spans="2:21" x14ac:dyDescent="0.15">
      <c r="B317"/>
      <c r="N317"/>
      <c r="P317"/>
      <c r="Q317"/>
      <c r="R317"/>
      <c r="S317"/>
      <c r="U317"/>
    </row>
    <row r="318" spans="2:21" x14ac:dyDescent="0.15">
      <c r="B318"/>
      <c r="N318"/>
      <c r="P318"/>
      <c r="Q318"/>
      <c r="R318"/>
      <c r="S318"/>
      <c r="U318"/>
    </row>
    <row r="319" spans="2:21" x14ac:dyDescent="0.15">
      <c r="B319"/>
      <c r="N319"/>
      <c r="P319"/>
      <c r="Q319"/>
      <c r="R319"/>
      <c r="S319"/>
      <c r="U319"/>
    </row>
    <row r="320" spans="2:21" x14ac:dyDescent="0.15">
      <c r="B320"/>
      <c r="N320"/>
      <c r="P320"/>
      <c r="Q320"/>
      <c r="R320"/>
      <c r="S320"/>
      <c r="U320"/>
    </row>
    <row r="321" spans="2:21" x14ac:dyDescent="0.15">
      <c r="B321"/>
      <c r="N321"/>
      <c r="P321"/>
      <c r="Q321"/>
      <c r="R321"/>
      <c r="S321"/>
      <c r="U321"/>
    </row>
    <row r="322" spans="2:21" x14ac:dyDescent="0.15">
      <c r="B322"/>
      <c r="N322"/>
      <c r="P322"/>
      <c r="Q322"/>
      <c r="R322"/>
      <c r="S322"/>
      <c r="U322"/>
    </row>
    <row r="323" spans="2:21" x14ac:dyDescent="0.15">
      <c r="B323"/>
      <c r="N323"/>
      <c r="P323"/>
      <c r="Q323"/>
      <c r="R323"/>
      <c r="S323"/>
      <c r="U323"/>
    </row>
    <row r="324" spans="2:21" x14ac:dyDescent="0.15">
      <c r="B324"/>
      <c r="N324"/>
      <c r="P324"/>
      <c r="Q324"/>
      <c r="R324"/>
      <c r="S324"/>
      <c r="U324"/>
    </row>
    <row r="325" spans="2:21" x14ac:dyDescent="0.15">
      <c r="B325"/>
      <c r="N325"/>
      <c r="P325"/>
      <c r="Q325"/>
      <c r="R325"/>
      <c r="S325"/>
      <c r="U325"/>
    </row>
    <row r="326" spans="2:21" x14ac:dyDescent="0.15">
      <c r="B326"/>
      <c r="N326"/>
      <c r="P326"/>
      <c r="Q326"/>
      <c r="R326"/>
      <c r="S326"/>
      <c r="U326"/>
    </row>
    <row r="327" spans="2:21" x14ac:dyDescent="0.15">
      <c r="B327"/>
      <c r="N327"/>
      <c r="P327"/>
      <c r="Q327"/>
      <c r="R327"/>
      <c r="S327"/>
      <c r="U327"/>
    </row>
    <row r="328" spans="2:21" x14ac:dyDescent="0.15">
      <c r="B328"/>
      <c r="N328"/>
      <c r="P328"/>
      <c r="Q328"/>
      <c r="R328"/>
      <c r="S328"/>
      <c r="U328"/>
    </row>
    <row r="329" spans="2:21" x14ac:dyDescent="0.15">
      <c r="B329"/>
      <c r="N329"/>
      <c r="P329"/>
      <c r="Q329"/>
      <c r="R329"/>
      <c r="S329"/>
      <c r="U329"/>
    </row>
    <row r="330" spans="2:21" x14ac:dyDescent="0.15">
      <c r="B330"/>
      <c r="N330"/>
      <c r="P330"/>
      <c r="Q330"/>
      <c r="R330"/>
      <c r="S330"/>
      <c r="U330"/>
    </row>
    <row r="331" spans="2:21" x14ac:dyDescent="0.15">
      <c r="B331"/>
      <c r="N331"/>
      <c r="P331"/>
      <c r="Q331"/>
      <c r="R331"/>
      <c r="S331"/>
      <c r="U331"/>
    </row>
    <row r="332" spans="2:21" x14ac:dyDescent="0.15">
      <c r="B332"/>
      <c r="N332"/>
      <c r="P332"/>
      <c r="Q332"/>
      <c r="R332"/>
      <c r="S332"/>
      <c r="U332"/>
    </row>
    <row r="333" spans="2:21" x14ac:dyDescent="0.15">
      <c r="B333"/>
      <c r="N333"/>
      <c r="P333"/>
      <c r="Q333"/>
      <c r="R333"/>
      <c r="S333"/>
      <c r="U333"/>
    </row>
    <row r="334" spans="2:21" x14ac:dyDescent="0.15">
      <c r="B334"/>
      <c r="N334"/>
      <c r="P334"/>
      <c r="Q334"/>
      <c r="R334"/>
      <c r="S334"/>
      <c r="U334"/>
    </row>
    <row r="335" spans="2:21" x14ac:dyDescent="0.15">
      <c r="B335"/>
      <c r="N335"/>
      <c r="P335"/>
      <c r="Q335"/>
      <c r="R335"/>
      <c r="S335"/>
      <c r="U335"/>
    </row>
    <row r="336" spans="2:21" x14ac:dyDescent="0.15">
      <c r="B336"/>
      <c r="N336"/>
      <c r="P336"/>
      <c r="Q336"/>
      <c r="R336"/>
      <c r="S336"/>
      <c r="U336"/>
    </row>
    <row r="337" spans="2:21" x14ac:dyDescent="0.15">
      <c r="B337"/>
      <c r="N337"/>
      <c r="P337"/>
      <c r="Q337"/>
      <c r="R337"/>
      <c r="S337"/>
      <c r="U337"/>
    </row>
    <row r="338" spans="2:21" x14ac:dyDescent="0.15">
      <c r="B338"/>
      <c r="N338"/>
      <c r="P338"/>
      <c r="Q338"/>
      <c r="R338"/>
      <c r="S338"/>
      <c r="U338"/>
    </row>
    <row r="339" spans="2:21" x14ac:dyDescent="0.15">
      <c r="B339"/>
      <c r="N339"/>
      <c r="P339"/>
      <c r="Q339"/>
      <c r="R339"/>
      <c r="S339"/>
      <c r="U339"/>
    </row>
    <row r="340" spans="2:21" x14ac:dyDescent="0.15">
      <c r="B340"/>
      <c r="N340"/>
      <c r="P340"/>
      <c r="Q340"/>
      <c r="R340"/>
      <c r="S340"/>
      <c r="U340"/>
    </row>
    <row r="341" spans="2:21" x14ac:dyDescent="0.15">
      <c r="B341"/>
      <c r="N341"/>
      <c r="P341"/>
      <c r="Q341"/>
      <c r="R341"/>
      <c r="S341"/>
      <c r="U341"/>
    </row>
    <row r="342" spans="2:21" x14ac:dyDescent="0.15">
      <c r="B342"/>
      <c r="N342"/>
      <c r="P342"/>
      <c r="Q342"/>
      <c r="R342"/>
      <c r="S342"/>
      <c r="U342"/>
    </row>
    <row r="343" spans="2:21" x14ac:dyDescent="0.15">
      <c r="B343"/>
      <c r="N343"/>
      <c r="P343"/>
      <c r="Q343"/>
      <c r="R343"/>
      <c r="S343"/>
      <c r="U343"/>
    </row>
    <row r="344" spans="2:21" x14ac:dyDescent="0.15">
      <c r="B344"/>
      <c r="N344"/>
      <c r="P344"/>
      <c r="Q344"/>
      <c r="R344"/>
      <c r="S344"/>
      <c r="U344"/>
    </row>
    <row r="345" spans="2:21" x14ac:dyDescent="0.15">
      <c r="B345"/>
      <c r="N345"/>
      <c r="P345"/>
      <c r="Q345"/>
      <c r="R345"/>
      <c r="S345"/>
      <c r="U345"/>
    </row>
    <row r="346" spans="2:21" x14ac:dyDescent="0.15">
      <c r="B346"/>
      <c r="N346"/>
      <c r="P346"/>
      <c r="Q346"/>
      <c r="R346"/>
      <c r="S346"/>
      <c r="U346"/>
    </row>
    <row r="347" spans="2:21" x14ac:dyDescent="0.15">
      <c r="B347"/>
      <c r="N347"/>
      <c r="P347"/>
      <c r="Q347"/>
      <c r="R347"/>
      <c r="S347"/>
      <c r="U347"/>
    </row>
    <row r="348" spans="2:21" x14ac:dyDescent="0.15">
      <c r="B348"/>
      <c r="N348"/>
      <c r="P348"/>
      <c r="Q348"/>
      <c r="R348"/>
      <c r="S348"/>
      <c r="U348"/>
    </row>
    <row r="349" spans="2:21" x14ac:dyDescent="0.15">
      <c r="B349"/>
      <c r="N349"/>
      <c r="P349"/>
      <c r="Q349"/>
      <c r="R349"/>
      <c r="S349"/>
      <c r="U349"/>
    </row>
    <row r="350" spans="2:21" x14ac:dyDescent="0.15">
      <c r="B350"/>
      <c r="N350"/>
      <c r="P350"/>
      <c r="Q350"/>
      <c r="R350"/>
      <c r="S350"/>
      <c r="U350"/>
    </row>
    <row r="351" spans="2:21" x14ac:dyDescent="0.15">
      <c r="B351"/>
      <c r="N351"/>
      <c r="P351"/>
      <c r="Q351"/>
      <c r="R351"/>
      <c r="S351"/>
      <c r="U351"/>
    </row>
    <row r="352" spans="2:21" x14ac:dyDescent="0.15">
      <c r="B352"/>
      <c r="N352"/>
      <c r="P352"/>
      <c r="Q352"/>
      <c r="R352"/>
      <c r="S352"/>
      <c r="U352"/>
    </row>
    <row r="353" spans="2:21" x14ac:dyDescent="0.15">
      <c r="B353"/>
      <c r="N353"/>
      <c r="P353"/>
      <c r="Q353"/>
      <c r="R353"/>
      <c r="S353"/>
      <c r="U353"/>
    </row>
    <row r="354" spans="2:21" x14ac:dyDescent="0.15">
      <c r="B354"/>
      <c r="N354"/>
      <c r="P354"/>
      <c r="Q354"/>
      <c r="R354"/>
      <c r="S354"/>
      <c r="U354"/>
    </row>
    <row r="355" spans="2:21" x14ac:dyDescent="0.15">
      <c r="B355"/>
      <c r="N355"/>
      <c r="P355"/>
      <c r="Q355"/>
      <c r="R355"/>
      <c r="S355"/>
      <c r="U355"/>
    </row>
    <row r="356" spans="2:21" x14ac:dyDescent="0.15">
      <c r="B356"/>
      <c r="N356"/>
      <c r="P356"/>
      <c r="Q356"/>
      <c r="R356"/>
      <c r="S356"/>
      <c r="U356"/>
    </row>
    <row r="357" spans="2:21" x14ac:dyDescent="0.15">
      <c r="B357"/>
      <c r="N357"/>
      <c r="P357"/>
      <c r="Q357"/>
      <c r="R357"/>
      <c r="S357"/>
      <c r="U357"/>
    </row>
    <row r="358" spans="2:21" x14ac:dyDescent="0.15">
      <c r="B358"/>
      <c r="N358"/>
      <c r="P358"/>
      <c r="Q358"/>
      <c r="R358"/>
      <c r="S358"/>
      <c r="U358"/>
    </row>
    <row r="359" spans="2:21" x14ac:dyDescent="0.15">
      <c r="B359"/>
      <c r="N359"/>
      <c r="P359"/>
      <c r="Q359"/>
      <c r="R359"/>
      <c r="S359"/>
      <c r="U359"/>
    </row>
    <row r="360" spans="2:21" x14ac:dyDescent="0.15">
      <c r="B360"/>
      <c r="N360"/>
      <c r="P360"/>
      <c r="Q360"/>
      <c r="R360"/>
      <c r="S360"/>
      <c r="U360"/>
    </row>
    <row r="361" spans="2:21" x14ac:dyDescent="0.15">
      <c r="B361"/>
      <c r="N361"/>
      <c r="P361"/>
      <c r="Q361"/>
      <c r="R361"/>
      <c r="S361"/>
      <c r="U361"/>
    </row>
    <row r="362" spans="2:21" x14ac:dyDescent="0.15">
      <c r="B362"/>
      <c r="N362"/>
      <c r="P362"/>
      <c r="Q362"/>
      <c r="R362"/>
      <c r="S362"/>
      <c r="U362"/>
    </row>
    <row r="363" spans="2:21" x14ac:dyDescent="0.15">
      <c r="B363"/>
      <c r="N363"/>
      <c r="P363"/>
      <c r="Q363"/>
      <c r="R363"/>
      <c r="S363"/>
      <c r="U363"/>
    </row>
    <row r="364" spans="2:21" x14ac:dyDescent="0.15">
      <c r="B364"/>
      <c r="N364"/>
      <c r="P364"/>
      <c r="Q364"/>
      <c r="R364"/>
      <c r="S364"/>
      <c r="U364"/>
    </row>
    <row r="365" spans="2:21" x14ac:dyDescent="0.15">
      <c r="B365"/>
      <c r="N365"/>
      <c r="P365"/>
      <c r="Q365"/>
      <c r="R365"/>
      <c r="S365"/>
      <c r="U365"/>
    </row>
    <row r="366" spans="2:21" x14ac:dyDescent="0.15">
      <c r="B366"/>
      <c r="N366"/>
      <c r="P366"/>
      <c r="Q366"/>
      <c r="R366"/>
      <c r="S366"/>
      <c r="U366"/>
    </row>
    <row r="367" spans="2:21" x14ac:dyDescent="0.15">
      <c r="B367"/>
      <c r="N367"/>
      <c r="P367"/>
      <c r="Q367"/>
      <c r="R367"/>
      <c r="S367"/>
      <c r="U367"/>
    </row>
    <row r="368" spans="2:21" x14ac:dyDescent="0.15">
      <c r="B368"/>
      <c r="N368"/>
      <c r="P368"/>
      <c r="Q368"/>
      <c r="R368"/>
      <c r="S368"/>
      <c r="U368"/>
    </row>
    <row r="369" spans="2:21" x14ac:dyDescent="0.15">
      <c r="B369"/>
      <c r="N369"/>
      <c r="P369"/>
      <c r="Q369"/>
      <c r="R369"/>
      <c r="S369"/>
      <c r="U369"/>
    </row>
    <row r="370" spans="2:21" x14ac:dyDescent="0.15">
      <c r="B370"/>
      <c r="N370"/>
      <c r="P370"/>
      <c r="Q370"/>
      <c r="R370"/>
      <c r="S370"/>
      <c r="U370"/>
    </row>
    <row r="371" spans="2:21" x14ac:dyDescent="0.15">
      <c r="B371"/>
      <c r="N371"/>
      <c r="P371"/>
      <c r="Q371"/>
      <c r="R371"/>
      <c r="S371"/>
      <c r="U371"/>
    </row>
    <row r="372" spans="2:21" x14ac:dyDescent="0.15">
      <c r="B372"/>
      <c r="N372"/>
      <c r="P372"/>
      <c r="Q372"/>
      <c r="R372"/>
      <c r="S372"/>
      <c r="U372"/>
    </row>
    <row r="373" spans="2:21" x14ac:dyDescent="0.15">
      <c r="B373"/>
      <c r="N373"/>
      <c r="P373"/>
      <c r="Q373"/>
      <c r="R373"/>
      <c r="S373"/>
      <c r="U373"/>
    </row>
    <row r="374" spans="2:21" x14ac:dyDescent="0.15">
      <c r="B374"/>
      <c r="N374"/>
      <c r="P374"/>
      <c r="Q374"/>
      <c r="R374"/>
      <c r="S374"/>
      <c r="U374"/>
    </row>
    <row r="375" spans="2:21" x14ac:dyDescent="0.15">
      <c r="B375"/>
      <c r="N375"/>
      <c r="P375"/>
      <c r="Q375"/>
      <c r="R375"/>
      <c r="S375"/>
      <c r="U375"/>
    </row>
    <row r="376" spans="2:21" x14ac:dyDescent="0.15">
      <c r="B376"/>
      <c r="N376"/>
      <c r="P376"/>
      <c r="Q376"/>
      <c r="R376"/>
      <c r="S376"/>
      <c r="U376"/>
    </row>
    <row r="377" spans="2:21" x14ac:dyDescent="0.15">
      <c r="B377"/>
      <c r="N377"/>
      <c r="P377"/>
      <c r="Q377"/>
      <c r="R377"/>
      <c r="S377"/>
      <c r="U377"/>
    </row>
    <row r="378" spans="2:21" x14ac:dyDescent="0.15">
      <c r="B378"/>
      <c r="N378"/>
      <c r="P378"/>
      <c r="Q378"/>
      <c r="R378"/>
      <c r="S378"/>
      <c r="U378"/>
    </row>
    <row r="379" spans="2:21" x14ac:dyDescent="0.15">
      <c r="B379"/>
      <c r="N379"/>
      <c r="P379"/>
      <c r="Q379"/>
      <c r="R379"/>
      <c r="S379"/>
      <c r="U379"/>
    </row>
    <row r="380" spans="2:21" x14ac:dyDescent="0.15">
      <c r="B380"/>
      <c r="N380"/>
      <c r="P380"/>
      <c r="Q380"/>
      <c r="R380"/>
      <c r="S380"/>
      <c r="U380"/>
    </row>
    <row r="381" spans="2:21" x14ac:dyDescent="0.15">
      <c r="B381"/>
      <c r="N381"/>
      <c r="P381"/>
      <c r="Q381"/>
      <c r="R381"/>
      <c r="S381"/>
      <c r="U381"/>
    </row>
    <row r="382" spans="2:21" x14ac:dyDescent="0.15">
      <c r="B382"/>
      <c r="N382"/>
      <c r="P382"/>
      <c r="Q382"/>
      <c r="R382"/>
      <c r="S382"/>
      <c r="U382"/>
    </row>
    <row r="383" spans="2:21" x14ac:dyDescent="0.15">
      <c r="B383"/>
      <c r="N383"/>
      <c r="P383"/>
      <c r="Q383"/>
      <c r="R383"/>
      <c r="S383"/>
      <c r="U383"/>
    </row>
    <row r="384" spans="2:21" x14ac:dyDescent="0.15">
      <c r="B384"/>
      <c r="N384"/>
      <c r="P384"/>
      <c r="Q384"/>
      <c r="R384"/>
      <c r="S384"/>
      <c r="U384"/>
    </row>
    <row r="385" spans="2:21" x14ac:dyDescent="0.15">
      <c r="B385"/>
      <c r="N385"/>
      <c r="P385"/>
      <c r="Q385"/>
      <c r="R385"/>
      <c r="S385"/>
      <c r="U385"/>
    </row>
    <row r="386" spans="2:21" x14ac:dyDescent="0.15">
      <c r="B386"/>
      <c r="N386"/>
      <c r="P386"/>
      <c r="Q386"/>
      <c r="R386"/>
      <c r="S386"/>
      <c r="U386"/>
    </row>
    <row r="387" spans="2:21" x14ac:dyDescent="0.15">
      <c r="B387"/>
      <c r="N387"/>
      <c r="P387"/>
      <c r="Q387"/>
      <c r="R387"/>
      <c r="S387"/>
      <c r="U387"/>
    </row>
    <row r="388" spans="2:21" x14ac:dyDescent="0.15">
      <c r="B388"/>
      <c r="N388"/>
      <c r="P388"/>
      <c r="Q388"/>
      <c r="R388"/>
      <c r="S388"/>
      <c r="U388"/>
    </row>
    <row r="389" spans="2:21" x14ac:dyDescent="0.15">
      <c r="B389"/>
      <c r="N389"/>
      <c r="P389"/>
      <c r="Q389"/>
      <c r="R389"/>
      <c r="S389"/>
      <c r="U389"/>
    </row>
    <row r="390" spans="2:21" x14ac:dyDescent="0.15">
      <c r="B390"/>
      <c r="N390"/>
      <c r="P390"/>
      <c r="Q390"/>
      <c r="R390"/>
      <c r="S390"/>
      <c r="U390"/>
    </row>
    <row r="391" spans="2:21" x14ac:dyDescent="0.15">
      <c r="B391"/>
      <c r="N391"/>
      <c r="P391"/>
      <c r="Q391"/>
      <c r="R391"/>
      <c r="S391"/>
      <c r="U391"/>
    </row>
    <row r="392" spans="2:21" x14ac:dyDescent="0.15">
      <c r="B392"/>
      <c r="N392"/>
      <c r="P392"/>
      <c r="Q392"/>
      <c r="R392"/>
      <c r="S392"/>
      <c r="U392"/>
    </row>
    <row r="393" spans="2:21" x14ac:dyDescent="0.15">
      <c r="B393"/>
      <c r="N393"/>
      <c r="P393"/>
      <c r="Q393"/>
      <c r="R393"/>
      <c r="S393"/>
      <c r="U393"/>
    </row>
    <row r="394" spans="2:21" x14ac:dyDescent="0.15">
      <c r="B394"/>
      <c r="N394"/>
      <c r="P394"/>
      <c r="Q394"/>
      <c r="R394"/>
      <c r="S394"/>
      <c r="U394"/>
    </row>
    <row r="395" spans="2:21" x14ac:dyDescent="0.15">
      <c r="B395"/>
      <c r="N395"/>
      <c r="P395"/>
      <c r="Q395"/>
      <c r="R395"/>
      <c r="S395"/>
      <c r="U395"/>
    </row>
    <row r="396" spans="2:21" x14ac:dyDescent="0.15">
      <c r="B396"/>
      <c r="N396"/>
      <c r="P396"/>
      <c r="Q396"/>
      <c r="R396"/>
      <c r="S396"/>
      <c r="U396"/>
    </row>
    <row r="397" spans="2:21" x14ac:dyDescent="0.15">
      <c r="B397"/>
      <c r="N397"/>
      <c r="P397"/>
      <c r="Q397"/>
      <c r="R397"/>
      <c r="S397"/>
      <c r="U397"/>
    </row>
    <row r="398" spans="2:21" x14ac:dyDescent="0.15">
      <c r="B398"/>
      <c r="N398"/>
      <c r="P398"/>
      <c r="Q398"/>
      <c r="R398"/>
      <c r="S398"/>
      <c r="U398"/>
    </row>
    <row r="399" spans="2:21" x14ac:dyDescent="0.15">
      <c r="B399"/>
      <c r="N399"/>
      <c r="P399"/>
      <c r="Q399"/>
      <c r="R399"/>
      <c r="S399"/>
      <c r="U399"/>
    </row>
    <row r="400" spans="2:21" x14ac:dyDescent="0.15">
      <c r="B400"/>
      <c r="N400"/>
      <c r="P400"/>
      <c r="Q400"/>
      <c r="R400"/>
      <c r="S400"/>
      <c r="U400"/>
    </row>
    <row r="401" spans="2:21" x14ac:dyDescent="0.15">
      <c r="B401"/>
      <c r="N401"/>
      <c r="P401"/>
      <c r="Q401"/>
      <c r="R401"/>
      <c r="S401"/>
      <c r="U401"/>
    </row>
    <row r="402" spans="2:21" x14ac:dyDescent="0.15">
      <c r="B402"/>
      <c r="N402"/>
      <c r="P402"/>
      <c r="Q402"/>
      <c r="R402"/>
      <c r="S402"/>
      <c r="U402"/>
    </row>
    <row r="403" spans="2:21" x14ac:dyDescent="0.15">
      <c r="B403"/>
      <c r="N403"/>
      <c r="P403"/>
      <c r="Q403"/>
      <c r="R403"/>
      <c r="S403"/>
      <c r="U403"/>
    </row>
    <row r="404" spans="2:21" x14ac:dyDescent="0.15">
      <c r="B404"/>
      <c r="N404"/>
      <c r="P404"/>
      <c r="Q404"/>
      <c r="R404"/>
      <c r="S404"/>
      <c r="U404"/>
    </row>
    <row r="405" spans="2:21" x14ac:dyDescent="0.15">
      <c r="B405"/>
      <c r="N405"/>
      <c r="P405"/>
      <c r="Q405"/>
      <c r="R405"/>
      <c r="S405"/>
      <c r="U405"/>
    </row>
    <row r="406" spans="2:21" x14ac:dyDescent="0.15">
      <c r="B406"/>
      <c r="N406"/>
      <c r="P406"/>
      <c r="Q406"/>
      <c r="R406"/>
      <c r="S406"/>
      <c r="U406"/>
    </row>
    <row r="407" spans="2:21" x14ac:dyDescent="0.15">
      <c r="B407"/>
      <c r="N407"/>
      <c r="P407"/>
      <c r="Q407"/>
      <c r="R407"/>
      <c r="S407"/>
      <c r="U407"/>
    </row>
    <row r="408" spans="2:21" x14ac:dyDescent="0.15">
      <c r="B408"/>
      <c r="N408"/>
      <c r="P408"/>
      <c r="Q408"/>
      <c r="R408"/>
      <c r="S408"/>
      <c r="U408"/>
    </row>
    <row r="409" spans="2:21" x14ac:dyDescent="0.15">
      <c r="B409"/>
      <c r="N409"/>
      <c r="P409"/>
      <c r="Q409"/>
      <c r="R409"/>
      <c r="S409"/>
      <c r="U409"/>
    </row>
    <row r="410" spans="2:21" x14ac:dyDescent="0.15">
      <c r="B410"/>
      <c r="N410"/>
      <c r="P410"/>
      <c r="Q410"/>
      <c r="R410"/>
      <c r="S410"/>
      <c r="U410"/>
    </row>
    <row r="411" spans="2:21" x14ac:dyDescent="0.15">
      <c r="B411"/>
      <c r="N411"/>
      <c r="P411"/>
      <c r="Q411"/>
      <c r="R411"/>
      <c r="S411"/>
      <c r="U411"/>
    </row>
    <row r="412" spans="2:21" x14ac:dyDescent="0.15">
      <c r="B412"/>
      <c r="N412"/>
      <c r="P412"/>
      <c r="Q412"/>
      <c r="R412"/>
      <c r="S412"/>
      <c r="U412"/>
    </row>
    <row r="413" spans="2:21" x14ac:dyDescent="0.15">
      <c r="B413"/>
      <c r="N413"/>
      <c r="P413"/>
      <c r="Q413"/>
      <c r="R413"/>
      <c r="S413"/>
      <c r="U413"/>
    </row>
    <row r="414" spans="2:21" x14ac:dyDescent="0.15">
      <c r="B414"/>
      <c r="N414"/>
      <c r="P414"/>
      <c r="Q414"/>
      <c r="R414"/>
      <c r="S414"/>
      <c r="U414"/>
    </row>
    <row r="415" spans="2:21" x14ac:dyDescent="0.15">
      <c r="B415"/>
      <c r="N415"/>
      <c r="P415"/>
      <c r="Q415"/>
      <c r="R415"/>
      <c r="S415"/>
      <c r="U415"/>
    </row>
    <row r="416" spans="2:21" x14ac:dyDescent="0.15">
      <c r="B416"/>
      <c r="N416"/>
      <c r="P416"/>
      <c r="Q416"/>
      <c r="R416"/>
      <c r="S416"/>
      <c r="U416"/>
    </row>
    <row r="417" spans="2:21" x14ac:dyDescent="0.15">
      <c r="B417"/>
      <c r="N417"/>
      <c r="P417"/>
      <c r="Q417"/>
      <c r="R417"/>
      <c r="S417"/>
      <c r="U417"/>
    </row>
    <row r="418" spans="2:21" x14ac:dyDescent="0.15">
      <c r="B418"/>
      <c r="N418"/>
      <c r="P418"/>
      <c r="Q418"/>
      <c r="R418"/>
      <c r="S418"/>
      <c r="U418"/>
    </row>
    <row r="419" spans="2:21" x14ac:dyDescent="0.15">
      <c r="B419"/>
      <c r="N419"/>
      <c r="P419"/>
      <c r="Q419"/>
      <c r="R419"/>
      <c r="S419"/>
      <c r="U419"/>
    </row>
    <row r="420" spans="2:21" x14ac:dyDescent="0.15">
      <c r="B420"/>
      <c r="N420"/>
      <c r="P420"/>
      <c r="Q420"/>
      <c r="R420"/>
      <c r="S420"/>
      <c r="U420"/>
    </row>
    <row r="421" spans="2:21" x14ac:dyDescent="0.15">
      <c r="B421"/>
      <c r="N421"/>
      <c r="P421"/>
      <c r="Q421"/>
      <c r="R421"/>
      <c r="S421"/>
      <c r="U421"/>
    </row>
    <row r="422" spans="2:21" x14ac:dyDescent="0.15">
      <c r="B422"/>
      <c r="N422"/>
      <c r="P422"/>
      <c r="Q422"/>
      <c r="R422"/>
      <c r="S422"/>
      <c r="U422"/>
    </row>
    <row r="423" spans="2:21" x14ac:dyDescent="0.15">
      <c r="B423"/>
      <c r="N423"/>
      <c r="P423"/>
      <c r="Q423"/>
      <c r="R423"/>
      <c r="S423"/>
      <c r="U423"/>
    </row>
    <row r="424" spans="2:21" x14ac:dyDescent="0.15">
      <c r="B424"/>
      <c r="N424"/>
      <c r="P424"/>
      <c r="Q424"/>
      <c r="R424"/>
      <c r="S424"/>
      <c r="U424"/>
    </row>
    <row r="425" spans="2:21" x14ac:dyDescent="0.15">
      <c r="B425"/>
      <c r="N425"/>
      <c r="P425"/>
      <c r="Q425"/>
      <c r="R425"/>
      <c r="S425"/>
      <c r="U425"/>
    </row>
    <row r="426" spans="2:21" x14ac:dyDescent="0.15">
      <c r="B426"/>
      <c r="N426"/>
      <c r="P426"/>
      <c r="Q426"/>
      <c r="R426"/>
      <c r="S426"/>
      <c r="U426"/>
    </row>
    <row r="427" spans="2:21" x14ac:dyDescent="0.15">
      <c r="B427"/>
      <c r="N427"/>
      <c r="P427"/>
      <c r="Q427"/>
      <c r="R427"/>
      <c r="S427"/>
      <c r="U427"/>
    </row>
    <row r="428" spans="2:21" x14ac:dyDescent="0.15">
      <c r="B428"/>
      <c r="N428"/>
      <c r="P428"/>
      <c r="Q428"/>
      <c r="R428"/>
      <c r="S428"/>
      <c r="U428"/>
    </row>
    <row r="429" spans="2:21" x14ac:dyDescent="0.15">
      <c r="B429"/>
      <c r="N429"/>
      <c r="P429"/>
      <c r="Q429"/>
      <c r="R429"/>
      <c r="S429"/>
      <c r="U429"/>
    </row>
    <row r="430" spans="2:21" x14ac:dyDescent="0.15">
      <c r="B430"/>
      <c r="N430"/>
      <c r="P430"/>
      <c r="Q430"/>
      <c r="R430"/>
      <c r="S430"/>
      <c r="U430"/>
    </row>
    <row r="431" spans="2:21" x14ac:dyDescent="0.15">
      <c r="B431"/>
      <c r="N431"/>
      <c r="P431"/>
      <c r="Q431"/>
      <c r="R431"/>
      <c r="S431"/>
      <c r="U431"/>
    </row>
    <row r="432" spans="2:21" x14ac:dyDescent="0.15">
      <c r="B432"/>
      <c r="N432"/>
      <c r="P432"/>
      <c r="Q432"/>
      <c r="R432"/>
      <c r="S432"/>
      <c r="U432"/>
    </row>
    <row r="433" spans="2:21" x14ac:dyDescent="0.15">
      <c r="B433"/>
      <c r="N433"/>
      <c r="P433"/>
      <c r="Q433"/>
      <c r="R433"/>
      <c r="S433"/>
      <c r="U433"/>
    </row>
    <row r="434" spans="2:21" x14ac:dyDescent="0.15">
      <c r="B434"/>
      <c r="N434"/>
      <c r="P434"/>
      <c r="Q434"/>
      <c r="R434"/>
      <c r="S434"/>
      <c r="U434"/>
    </row>
    <row r="435" spans="2:21" x14ac:dyDescent="0.15">
      <c r="B435"/>
      <c r="N435"/>
      <c r="P435"/>
      <c r="Q435"/>
      <c r="R435"/>
      <c r="S435"/>
      <c r="U435"/>
    </row>
    <row r="436" spans="2:21" x14ac:dyDescent="0.15">
      <c r="B436"/>
      <c r="N436"/>
      <c r="P436"/>
      <c r="Q436"/>
      <c r="R436"/>
      <c r="S436"/>
      <c r="U436"/>
    </row>
    <row r="437" spans="2:21" x14ac:dyDescent="0.15">
      <c r="B437"/>
      <c r="N437"/>
      <c r="P437"/>
      <c r="Q437"/>
      <c r="R437"/>
      <c r="S437"/>
      <c r="U437"/>
    </row>
    <row r="438" spans="2:21" x14ac:dyDescent="0.15">
      <c r="B438"/>
      <c r="N438"/>
      <c r="P438"/>
      <c r="Q438"/>
      <c r="R438"/>
      <c r="S438"/>
      <c r="U438"/>
    </row>
    <row r="439" spans="2:21" x14ac:dyDescent="0.15">
      <c r="B439"/>
      <c r="N439"/>
      <c r="P439"/>
      <c r="Q439"/>
      <c r="R439"/>
      <c r="S439"/>
      <c r="U439"/>
    </row>
    <row r="440" spans="2:21" x14ac:dyDescent="0.15">
      <c r="B440"/>
      <c r="N440"/>
      <c r="P440"/>
      <c r="Q440"/>
      <c r="R440"/>
      <c r="S440"/>
      <c r="U440"/>
    </row>
    <row r="441" spans="2:21" x14ac:dyDescent="0.15">
      <c r="B441"/>
      <c r="N441"/>
      <c r="P441"/>
      <c r="Q441"/>
      <c r="R441"/>
      <c r="S441"/>
      <c r="U441"/>
    </row>
    <row r="442" spans="2:21" x14ac:dyDescent="0.15">
      <c r="B442"/>
      <c r="N442"/>
      <c r="P442"/>
      <c r="Q442"/>
      <c r="R442"/>
      <c r="S442"/>
      <c r="U442"/>
    </row>
    <row r="443" spans="2:21" x14ac:dyDescent="0.15">
      <c r="B443"/>
      <c r="N443"/>
      <c r="P443"/>
      <c r="Q443"/>
      <c r="R443"/>
      <c r="S443"/>
      <c r="U443"/>
    </row>
    <row r="444" spans="2:21" x14ac:dyDescent="0.15">
      <c r="B444"/>
      <c r="N444"/>
      <c r="P444"/>
      <c r="Q444"/>
      <c r="R444"/>
      <c r="S444"/>
      <c r="U444"/>
    </row>
    <row r="445" spans="2:21" x14ac:dyDescent="0.15">
      <c r="B445"/>
      <c r="N445"/>
      <c r="P445"/>
      <c r="Q445"/>
      <c r="R445"/>
      <c r="S445"/>
      <c r="U445"/>
    </row>
    <row r="446" spans="2:21" x14ac:dyDescent="0.15">
      <c r="B446"/>
      <c r="N446"/>
      <c r="P446"/>
      <c r="Q446"/>
      <c r="R446"/>
      <c r="S446"/>
      <c r="U446"/>
    </row>
    <row r="447" spans="2:21" x14ac:dyDescent="0.15">
      <c r="B447"/>
      <c r="N447"/>
      <c r="P447"/>
      <c r="Q447"/>
      <c r="R447"/>
      <c r="S447"/>
      <c r="U447"/>
    </row>
    <row r="448" spans="2:21" x14ac:dyDescent="0.15">
      <c r="B448"/>
      <c r="N448"/>
      <c r="P448"/>
      <c r="Q448"/>
      <c r="R448"/>
      <c r="S448"/>
      <c r="U448"/>
    </row>
    <row r="449" spans="2:21" x14ac:dyDescent="0.15">
      <c r="B449"/>
      <c r="N449"/>
      <c r="P449"/>
      <c r="Q449"/>
      <c r="R449"/>
      <c r="S449"/>
      <c r="U449"/>
    </row>
    <row r="450" spans="2:21" x14ac:dyDescent="0.15">
      <c r="B450"/>
      <c r="N450"/>
      <c r="P450"/>
      <c r="Q450"/>
      <c r="R450"/>
      <c r="S450"/>
      <c r="U450"/>
    </row>
    <row r="451" spans="2:21" x14ac:dyDescent="0.15">
      <c r="B451"/>
      <c r="N451"/>
      <c r="P451"/>
      <c r="Q451"/>
      <c r="R451"/>
      <c r="S451"/>
      <c r="U451"/>
    </row>
    <row r="452" spans="2:21" x14ac:dyDescent="0.15">
      <c r="B452"/>
      <c r="N452"/>
      <c r="P452"/>
      <c r="Q452"/>
      <c r="R452"/>
      <c r="S452"/>
      <c r="U452"/>
    </row>
    <row r="453" spans="2:21" x14ac:dyDescent="0.15">
      <c r="B453"/>
      <c r="N453"/>
      <c r="P453"/>
      <c r="Q453"/>
      <c r="R453"/>
      <c r="S453"/>
      <c r="U453"/>
    </row>
    <row r="454" spans="2:21" x14ac:dyDescent="0.15">
      <c r="B454"/>
      <c r="N454"/>
      <c r="P454"/>
      <c r="Q454"/>
      <c r="R454"/>
      <c r="S454"/>
      <c r="U454"/>
    </row>
    <row r="455" spans="2:21" x14ac:dyDescent="0.15">
      <c r="B455"/>
      <c r="N455"/>
      <c r="P455"/>
      <c r="Q455"/>
      <c r="R455"/>
      <c r="S455"/>
      <c r="U455"/>
    </row>
    <row r="456" spans="2:21" x14ac:dyDescent="0.15">
      <c r="B456"/>
      <c r="N456"/>
      <c r="P456"/>
      <c r="Q456"/>
      <c r="R456"/>
      <c r="S456"/>
      <c r="U456"/>
    </row>
    <row r="457" spans="2:21" x14ac:dyDescent="0.15">
      <c r="B457"/>
      <c r="N457"/>
      <c r="P457"/>
      <c r="Q457"/>
      <c r="R457"/>
      <c r="S457"/>
      <c r="U457"/>
    </row>
    <row r="458" spans="2:21" x14ac:dyDescent="0.15">
      <c r="B458"/>
      <c r="N458"/>
      <c r="P458"/>
      <c r="Q458"/>
      <c r="R458"/>
      <c r="S458"/>
      <c r="U458"/>
    </row>
    <row r="459" spans="2:21" x14ac:dyDescent="0.15">
      <c r="B459"/>
      <c r="N459"/>
      <c r="P459"/>
      <c r="Q459"/>
      <c r="R459"/>
      <c r="S459"/>
      <c r="U459"/>
    </row>
    <row r="460" spans="2:21" x14ac:dyDescent="0.15">
      <c r="B460"/>
      <c r="N460"/>
      <c r="P460"/>
      <c r="Q460"/>
      <c r="R460"/>
      <c r="S460"/>
      <c r="U460"/>
    </row>
    <row r="461" spans="2:21" x14ac:dyDescent="0.15">
      <c r="B461"/>
      <c r="N461"/>
      <c r="P461"/>
      <c r="Q461"/>
      <c r="R461"/>
      <c r="S461"/>
      <c r="U461"/>
    </row>
    <row r="462" spans="2:21" x14ac:dyDescent="0.15">
      <c r="B462"/>
      <c r="N462"/>
      <c r="P462"/>
      <c r="Q462"/>
      <c r="R462"/>
      <c r="S462"/>
      <c r="U462"/>
    </row>
    <row r="463" spans="2:21" x14ac:dyDescent="0.15">
      <c r="B463"/>
      <c r="N463"/>
      <c r="P463"/>
      <c r="Q463"/>
      <c r="R463"/>
      <c r="S463"/>
      <c r="U463"/>
    </row>
    <row r="464" spans="2:21" x14ac:dyDescent="0.15">
      <c r="B464"/>
      <c r="N464"/>
      <c r="P464"/>
      <c r="Q464"/>
      <c r="R464"/>
      <c r="S464"/>
      <c r="U464"/>
    </row>
    <row r="465" spans="2:21" x14ac:dyDescent="0.15">
      <c r="B465"/>
      <c r="N465"/>
      <c r="P465"/>
      <c r="Q465"/>
      <c r="R465"/>
      <c r="S465"/>
      <c r="U465"/>
    </row>
    <row r="466" spans="2:21" x14ac:dyDescent="0.15">
      <c r="B466"/>
      <c r="N466"/>
      <c r="P466"/>
      <c r="Q466"/>
      <c r="R466"/>
      <c r="S466"/>
      <c r="U466"/>
    </row>
    <row r="467" spans="2:21" x14ac:dyDescent="0.15">
      <c r="B467"/>
      <c r="N467"/>
      <c r="P467"/>
      <c r="Q467"/>
      <c r="R467"/>
      <c r="S467"/>
      <c r="U467"/>
    </row>
    <row r="468" spans="2:21" x14ac:dyDescent="0.15">
      <c r="B468"/>
      <c r="N468"/>
      <c r="P468"/>
      <c r="Q468"/>
      <c r="R468"/>
      <c r="S468"/>
      <c r="U468"/>
    </row>
    <row r="469" spans="2:21" x14ac:dyDescent="0.15">
      <c r="B469"/>
      <c r="N469"/>
      <c r="P469"/>
      <c r="Q469"/>
      <c r="R469"/>
      <c r="S469"/>
      <c r="U469"/>
    </row>
    <row r="470" spans="2:21" x14ac:dyDescent="0.15">
      <c r="B470"/>
      <c r="N470"/>
      <c r="P470"/>
      <c r="Q470"/>
      <c r="R470"/>
      <c r="S470"/>
      <c r="U470"/>
    </row>
    <row r="471" spans="2:21" x14ac:dyDescent="0.15">
      <c r="B471"/>
      <c r="N471"/>
      <c r="P471"/>
      <c r="Q471"/>
      <c r="R471"/>
      <c r="S471"/>
      <c r="U471"/>
    </row>
    <row r="472" spans="2:21" x14ac:dyDescent="0.15">
      <c r="B472"/>
      <c r="N472"/>
      <c r="P472"/>
      <c r="Q472"/>
      <c r="R472"/>
      <c r="S472"/>
      <c r="U472"/>
    </row>
    <row r="473" spans="2:21" x14ac:dyDescent="0.15">
      <c r="B473"/>
      <c r="N473"/>
      <c r="P473"/>
      <c r="Q473"/>
      <c r="R473"/>
      <c r="S473"/>
      <c r="U473"/>
    </row>
    <row r="474" spans="2:21" x14ac:dyDescent="0.15">
      <c r="B474"/>
      <c r="N474"/>
      <c r="P474"/>
      <c r="Q474"/>
      <c r="R474"/>
      <c r="S474"/>
      <c r="U474"/>
    </row>
    <row r="475" spans="2:21" x14ac:dyDescent="0.15">
      <c r="B475"/>
      <c r="N475"/>
      <c r="P475"/>
      <c r="Q475"/>
      <c r="R475"/>
      <c r="S475"/>
      <c r="U475"/>
    </row>
    <row r="476" spans="2:21" x14ac:dyDescent="0.15">
      <c r="B476"/>
      <c r="N476"/>
      <c r="P476"/>
      <c r="Q476"/>
      <c r="R476"/>
      <c r="S476"/>
      <c r="U476"/>
    </row>
    <row r="477" spans="2:21" x14ac:dyDescent="0.15">
      <c r="B477"/>
      <c r="N477"/>
      <c r="P477"/>
      <c r="Q477"/>
      <c r="R477"/>
      <c r="S477"/>
      <c r="U477"/>
    </row>
    <row r="478" spans="2:21" x14ac:dyDescent="0.15">
      <c r="B478"/>
      <c r="N478"/>
      <c r="P478"/>
      <c r="Q478"/>
      <c r="R478"/>
      <c r="S478"/>
      <c r="U478"/>
    </row>
    <row r="479" spans="2:21" x14ac:dyDescent="0.15">
      <c r="B479"/>
      <c r="N479"/>
      <c r="P479"/>
      <c r="Q479"/>
      <c r="R479"/>
      <c r="S479"/>
      <c r="U479"/>
    </row>
    <row r="480" spans="2:21" x14ac:dyDescent="0.15">
      <c r="B480"/>
      <c r="N480"/>
      <c r="P480"/>
      <c r="Q480"/>
      <c r="R480"/>
      <c r="S480"/>
      <c r="U480"/>
    </row>
    <row r="481" spans="2:21" x14ac:dyDescent="0.15">
      <c r="B481"/>
      <c r="N481"/>
      <c r="P481"/>
      <c r="Q481"/>
      <c r="R481"/>
      <c r="S481"/>
      <c r="U481"/>
    </row>
    <row r="482" spans="2:21" x14ac:dyDescent="0.15">
      <c r="B482"/>
      <c r="N482"/>
      <c r="P482"/>
      <c r="Q482"/>
      <c r="R482"/>
      <c r="S482"/>
      <c r="U482"/>
    </row>
    <row r="483" spans="2:21" x14ac:dyDescent="0.15">
      <c r="B483"/>
      <c r="N483"/>
      <c r="P483"/>
      <c r="Q483"/>
      <c r="R483"/>
      <c r="S483"/>
      <c r="U483"/>
    </row>
    <row r="484" spans="2:21" x14ac:dyDescent="0.15">
      <c r="B484"/>
      <c r="N484"/>
      <c r="P484"/>
      <c r="Q484"/>
      <c r="R484"/>
      <c r="S484"/>
      <c r="U484"/>
    </row>
    <row r="485" spans="2:21" x14ac:dyDescent="0.15">
      <c r="B485"/>
      <c r="N485"/>
      <c r="P485"/>
      <c r="Q485"/>
      <c r="R485"/>
      <c r="S485"/>
      <c r="U485"/>
    </row>
    <row r="486" spans="2:21" x14ac:dyDescent="0.15">
      <c r="B486"/>
      <c r="N486"/>
      <c r="P486"/>
      <c r="Q486"/>
      <c r="R486"/>
      <c r="S486"/>
      <c r="U486"/>
    </row>
    <row r="487" spans="2:21" x14ac:dyDescent="0.15">
      <c r="B487"/>
      <c r="N487"/>
      <c r="P487"/>
      <c r="Q487"/>
      <c r="R487"/>
      <c r="S487"/>
      <c r="U487"/>
    </row>
    <row r="488" spans="2:21" x14ac:dyDescent="0.15">
      <c r="B488"/>
      <c r="N488"/>
      <c r="P488"/>
      <c r="Q488"/>
      <c r="R488"/>
      <c r="S488"/>
      <c r="U488"/>
    </row>
    <row r="489" spans="2:21" x14ac:dyDescent="0.15">
      <c r="B489"/>
      <c r="N489"/>
      <c r="P489"/>
      <c r="Q489"/>
      <c r="R489"/>
      <c r="S489"/>
      <c r="U489"/>
    </row>
    <row r="490" spans="2:21" x14ac:dyDescent="0.15">
      <c r="B490"/>
      <c r="N490"/>
      <c r="P490"/>
      <c r="Q490"/>
      <c r="R490"/>
      <c r="S490"/>
      <c r="U490"/>
    </row>
    <row r="491" spans="2:21" x14ac:dyDescent="0.15">
      <c r="B491"/>
      <c r="N491"/>
      <c r="P491"/>
      <c r="Q491"/>
      <c r="R491"/>
      <c r="S491"/>
      <c r="U491"/>
    </row>
    <row r="492" spans="2:21" x14ac:dyDescent="0.15">
      <c r="B492"/>
      <c r="N492"/>
      <c r="P492"/>
      <c r="Q492"/>
      <c r="R492"/>
      <c r="S492"/>
      <c r="U492"/>
    </row>
    <row r="493" spans="2:21" x14ac:dyDescent="0.15">
      <c r="B493"/>
      <c r="N493"/>
      <c r="P493"/>
      <c r="Q493"/>
      <c r="R493"/>
      <c r="S493"/>
      <c r="U493"/>
    </row>
    <row r="494" spans="2:21" x14ac:dyDescent="0.15">
      <c r="B494"/>
      <c r="N494"/>
      <c r="P494"/>
      <c r="Q494"/>
      <c r="R494"/>
      <c r="S494"/>
      <c r="U494"/>
    </row>
    <row r="495" spans="2:21" x14ac:dyDescent="0.15">
      <c r="B495"/>
      <c r="N495"/>
      <c r="P495"/>
      <c r="Q495"/>
      <c r="R495"/>
      <c r="S495"/>
      <c r="U495"/>
    </row>
    <row r="496" spans="2:21" x14ac:dyDescent="0.15">
      <c r="B496"/>
      <c r="N496"/>
      <c r="P496"/>
      <c r="Q496"/>
      <c r="R496"/>
      <c r="S496"/>
      <c r="U496"/>
    </row>
    <row r="497" spans="2:21" x14ac:dyDescent="0.15">
      <c r="B497"/>
      <c r="N497"/>
      <c r="P497"/>
      <c r="Q497"/>
      <c r="R497"/>
      <c r="S497"/>
      <c r="U497"/>
    </row>
    <row r="498" spans="2:21" x14ac:dyDescent="0.15">
      <c r="B498"/>
      <c r="N498"/>
      <c r="P498"/>
      <c r="Q498"/>
      <c r="R498"/>
      <c r="S498"/>
      <c r="U498"/>
    </row>
    <row r="499" spans="2:21" x14ac:dyDescent="0.15">
      <c r="B499"/>
      <c r="N499"/>
      <c r="P499"/>
      <c r="Q499"/>
      <c r="R499"/>
      <c r="S499"/>
      <c r="U499"/>
    </row>
    <row r="500" spans="2:21" x14ac:dyDescent="0.15">
      <c r="B500"/>
      <c r="N500"/>
      <c r="P500"/>
      <c r="Q500"/>
      <c r="R500"/>
      <c r="S500"/>
      <c r="U500"/>
    </row>
    <row r="501" spans="2:21" x14ac:dyDescent="0.15">
      <c r="B501"/>
      <c r="N501"/>
      <c r="P501"/>
      <c r="Q501"/>
      <c r="R501"/>
      <c r="S501"/>
      <c r="U501"/>
    </row>
    <row r="502" spans="2:21" x14ac:dyDescent="0.15">
      <c r="B502"/>
      <c r="N502"/>
      <c r="P502"/>
      <c r="Q502"/>
      <c r="R502"/>
      <c r="S502"/>
      <c r="U502"/>
    </row>
    <row r="503" spans="2:21" x14ac:dyDescent="0.15">
      <c r="B503"/>
      <c r="N503"/>
      <c r="P503"/>
      <c r="Q503"/>
      <c r="R503"/>
      <c r="S503"/>
      <c r="U503"/>
    </row>
    <row r="504" spans="2:21" x14ac:dyDescent="0.15">
      <c r="B504"/>
      <c r="N504"/>
      <c r="P504"/>
      <c r="Q504"/>
      <c r="R504"/>
      <c r="S504"/>
      <c r="U504"/>
    </row>
    <row r="505" spans="2:21" x14ac:dyDescent="0.15">
      <c r="B505"/>
      <c r="N505"/>
      <c r="P505"/>
      <c r="Q505"/>
      <c r="R505"/>
      <c r="S505"/>
      <c r="U505"/>
    </row>
    <row r="506" spans="2:21" x14ac:dyDescent="0.15">
      <c r="B506"/>
      <c r="N506"/>
      <c r="P506"/>
      <c r="Q506"/>
      <c r="R506"/>
      <c r="S506"/>
      <c r="U506"/>
    </row>
    <row r="507" spans="2:21" x14ac:dyDescent="0.15">
      <c r="B507"/>
      <c r="N507"/>
      <c r="P507"/>
      <c r="Q507"/>
      <c r="R507"/>
      <c r="S507"/>
      <c r="U507"/>
    </row>
    <row r="508" spans="2:21" x14ac:dyDescent="0.15">
      <c r="B508"/>
      <c r="N508"/>
      <c r="P508"/>
      <c r="Q508"/>
      <c r="R508"/>
      <c r="S508"/>
      <c r="U508"/>
    </row>
    <row r="509" spans="2:21" x14ac:dyDescent="0.15">
      <c r="B509"/>
      <c r="N509"/>
      <c r="P509"/>
      <c r="Q509"/>
      <c r="R509"/>
      <c r="S509"/>
      <c r="U509"/>
    </row>
    <row r="510" spans="2:21" x14ac:dyDescent="0.15">
      <c r="B510"/>
      <c r="N510"/>
      <c r="P510"/>
      <c r="Q510"/>
      <c r="R510"/>
      <c r="S510"/>
      <c r="U510"/>
    </row>
    <row r="511" spans="2:21" x14ac:dyDescent="0.15">
      <c r="B511"/>
      <c r="N511"/>
      <c r="P511"/>
      <c r="Q511"/>
      <c r="R511"/>
      <c r="S511"/>
      <c r="U511"/>
    </row>
    <row r="512" spans="2:21" x14ac:dyDescent="0.15">
      <c r="B512"/>
      <c r="N512"/>
      <c r="P512"/>
      <c r="Q512"/>
      <c r="R512"/>
      <c r="S512"/>
      <c r="U512"/>
    </row>
    <row r="513" spans="2:21" x14ac:dyDescent="0.15">
      <c r="B513"/>
      <c r="N513"/>
      <c r="P513"/>
      <c r="Q513"/>
      <c r="R513"/>
      <c r="S513"/>
      <c r="U513"/>
    </row>
    <row r="514" spans="2:21" x14ac:dyDescent="0.15">
      <c r="B514"/>
      <c r="N514"/>
      <c r="P514"/>
      <c r="Q514"/>
      <c r="R514"/>
      <c r="S514"/>
      <c r="U514"/>
    </row>
    <row r="515" spans="2:21" x14ac:dyDescent="0.15">
      <c r="B515"/>
      <c r="N515"/>
      <c r="P515"/>
      <c r="Q515"/>
      <c r="R515"/>
      <c r="S515"/>
      <c r="U515"/>
    </row>
    <row r="516" spans="2:21" x14ac:dyDescent="0.15">
      <c r="B516"/>
      <c r="N516"/>
      <c r="P516"/>
      <c r="Q516"/>
      <c r="R516"/>
      <c r="S516"/>
      <c r="U516"/>
    </row>
    <row r="517" spans="2:21" x14ac:dyDescent="0.15">
      <c r="B517"/>
      <c r="N517"/>
      <c r="P517"/>
      <c r="Q517"/>
      <c r="R517"/>
      <c r="S517"/>
      <c r="U517"/>
    </row>
    <row r="518" spans="2:21" x14ac:dyDescent="0.15">
      <c r="B518"/>
      <c r="N518"/>
      <c r="P518"/>
      <c r="Q518"/>
      <c r="R518"/>
      <c r="S518"/>
      <c r="U518"/>
    </row>
    <row r="519" spans="2:21" x14ac:dyDescent="0.15">
      <c r="B519"/>
      <c r="N519"/>
      <c r="P519"/>
      <c r="Q519"/>
      <c r="R519"/>
      <c r="S519"/>
      <c r="U519"/>
    </row>
    <row r="520" spans="2:21" x14ac:dyDescent="0.15">
      <c r="B520"/>
      <c r="N520"/>
      <c r="P520"/>
      <c r="Q520"/>
      <c r="R520"/>
      <c r="S520"/>
      <c r="U520"/>
    </row>
    <row r="521" spans="2:21" x14ac:dyDescent="0.15">
      <c r="B521"/>
      <c r="N521"/>
      <c r="P521"/>
      <c r="Q521"/>
      <c r="R521"/>
      <c r="S521"/>
      <c r="U521"/>
    </row>
    <row r="522" spans="2:21" x14ac:dyDescent="0.15">
      <c r="B522"/>
      <c r="N522"/>
      <c r="P522"/>
      <c r="Q522"/>
      <c r="R522"/>
      <c r="S522"/>
      <c r="U522"/>
    </row>
    <row r="523" spans="2:21" x14ac:dyDescent="0.15">
      <c r="B523"/>
      <c r="N523"/>
      <c r="P523"/>
      <c r="Q523"/>
      <c r="R523"/>
      <c r="S523"/>
      <c r="U523"/>
    </row>
    <row r="524" spans="2:21" x14ac:dyDescent="0.15">
      <c r="B524"/>
      <c r="N524"/>
      <c r="P524"/>
      <c r="Q524"/>
      <c r="R524"/>
      <c r="S524"/>
      <c r="U524"/>
    </row>
    <row r="525" spans="2:21" x14ac:dyDescent="0.15">
      <c r="B525"/>
      <c r="N525"/>
      <c r="P525"/>
      <c r="Q525"/>
      <c r="R525"/>
      <c r="S525"/>
      <c r="U525"/>
    </row>
    <row r="526" spans="2:21" x14ac:dyDescent="0.15">
      <c r="B526"/>
      <c r="N526"/>
      <c r="P526"/>
      <c r="Q526"/>
      <c r="R526"/>
      <c r="S526"/>
      <c r="U526"/>
    </row>
    <row r="527" spans="2:21" x14ac:dyDescent="0.15">
      <c r="B527"/>
      <c r="N527"/>
      <c r="P527"/>
      <c r="Q527"/>
      <c r="R527"/>
      <c r="S527"/>
      <c r="U527"/>
    </row>
    <row r="528" spans="2:21" x14ac:dyDescent="0.15">
      <c r="B528"/>
      <c r="N528"/>
      <c r="P528"/>
      <c r="Q528"/>
      <c r="R528"/>
      <c r="S528"/>
      <c r="U528"/>
    </row>
    <row r="529" spans="2:21" x14ac:dyDescent="0.15">
      <c r="B529"/>
      <c r="N529"/>
      <c r="P529"/>
      <c r="Q529"/>
      <c r="R529"/>
      <c r="S529"/>
      <c r="U529"/>
    </row>
    <row r="530" spans="2:21" x14ac:dyDescent="0.15">
      <c r="B530"/>
      <c r="N530"/>
      <c r="P530"/>
      <c r="Q530"/>
      <c r="R530"/>
      <c r="S530"/>
      <c r="U530"/>
    </row>
    <row r="531" spans="2:21" x14ac:dyDescent="0.15">
      <c r="B531"/>
      <c r="N531"/>
      <c r="P531"/>
      <c r="Q531"/>
      <c r="R531"/>
      <c r="S531"/>
      <c r="U531"/>
    </row>
    <row r="532" spans="2:21" x14ac:dyDescent="0.15">
      <c r="B532"/>
      <c r="N532"/>
      <c r="P532"/>
      <c r="Q532"/>
      <c r="R532"/>
      <c r="S532"/>
      <c r="U532"/>
    </row>
    <row r="533" spans="2:21" x14ac:dyDescent="0.15">
      <c r="B533"/>
      <c r="N533"/>
      <c r="P533"/>
      <c r="Q533"/>
      <c r="R533"/>
      <c r="S533"/>
      <c r="U533"/>
    </row>
    <row r="534" spans="2:21" x14ac:dyDescent="0.15">
      <c r="B534"/>
      <c r="N534"/>
      <c r="P534"/>
      <c r="Q534"/>
      <c r="R534"/>
      <c r="S534"/>
      <c r="U534"/>
    </row>
    <row r="535" spans="2:21" x14ac:dyDescent="0.15">
      <c r="B535"/>
      <c r="N535"/>
      <c r="P535"/>
      <c r="Q535"/>
      <c r="R535"/>
      <c r="S535"/>
      <c r="U535"/>
    </row>
    <row r="536" spans="2:21" x14ac:dyDescent="0.15">
      <c r="B536"/>
      <c r="N536"/>
      <c r="P536"/>
      <c r="Q536"/>
      <c r="R536"/>
      <c r="S536"/>
      <c r="U536"/>
    </row>
    <row r="537" spans="2:21" x14ac:dyDescent="0.15">
      <c r="B537"/>
      <c r="N537"/>
      <c r="P537"/>
      <c r="Q537"/>
      <c r="R537"/>
      <c r="S537"/>
      <c r="U537"/>
    </row>
    <row r="538" spans="2:21" x14ac:dyDescent="0.15">
      <c r="B538"/>
      <c r="N538"/>
      <c r="P538"/>
      <c r="Q538"/>
      <c r="R538"/>
      <c r="S538"/>
      <c r="U538"/>
    </row>
    <row r="539" spans="2:21" x14ac:dyDescent="0.15">
      <c r="B539"/>
      <c r="N539"/>
      <c r="P539"/>
      <c r="Q539"/>
      <c r="R539"/>
      <c r="S539"/>
      <c r="U539"/>
    </row>
    <row r="540" spans="2:21" x14ac:dyDescent="0.15">
      <c r="B540"/>
      <c r="N540"/>
      <c r="P540"/>
      <c r="Q540"/>
      <c r="R540"/>
      <c r="S540"/>
      <c r="U540"/>
    </row>
    <row r="541" spans="2:21" x14ac:dyDescent="0.15">
      <c r="B541"/>
      <c r="N541"/>
      <c r="P541"/>
      <c r="Q541"/>
      <c r="R541"/>
      <c r="S541"/>
      <c r="U541"/>
    </row>
    <row r="542" spans="2:21" x14ac:dyDescent="0.15">
      <c r="B542"/>
      <c r="N542"/>
      <c r="P542"/>
      <c r="Q542"/>
      <c r="R542"/>
      <c r="S542"/>
      <c r="U542"/>
    </row>
    <row r="543" spans="2:21" x14ac:dyDescent="0.15">
      <c r="B543"/>
      <c r="N543"/>
      <c r="P543"/>
      <c r="Q543"/>
      <c r="R543"/>
      <c r="S543"/>
      <c r="U543"/>
    </row>
    <row r="544" spans="2:21" x14ac:dyDescent="0.15">
      <c r="B544"/>
      <c r="N544"/>
      <c r="P544"/>
      <c r="Q544"/>
      <c r="R544"/>
      <c r="S544"/>
      <c r="U544"/>
    </row>
    <row r="545" spans="2:21" x14ac:dyDescent="0.15">
      <c r="B545"/>
      <c r="N545"/>
      <c r="P545"/>
      <c r="Q545"/>
      <c r="R545"/>
      <c r="S545"/>
      <c r="U545"/>
    </row>
    <row r="546" spans="2:21" x14ac:dyDescent="0.15">
      <c r="B546"/>
      <c r="N546"/>
      <c r="P546"/>
      <c r="Q546"/>
      <c r="R546"/>
      <c r="S546"/>
      <c r="U546"/>
    </row>
    <row r="547" spans="2:21" x14ac:dyDescent="0.15">
      <c r="B547"/>
      <c r="N547"/>
      <c r="P547"/>
      <c r="Q547"/>
      <c r="R547"/>
      <c r="S547"/>
      <c r="U547"/>
    </row>
    <row r="548" spans="2:21" x14ac:dyDescent="0.15">
      <c r="B548"/>
      <c r="N548"/>
      <c r="P548"/>
      <c r="Q548"/>
      <c r="R548"/>
      <c r="S548"/>
      <c r="U548"/>
    </row>
    <row r="549" spans="2:21" x14ac:dyDescent="0.15">
      <c r="B549"/>
      <c r="N549"/>
      <c r="P549"/>
      <c r="Q549"/>
      <c r="R549"/>
      <c r="S549"/>
      <c r="U549"/>
    </row>
    <row r="550" spans="2:21" x14ac:dyDescent="0.15">
      <c r="B550"/>
      <c r="N550"/>
      <c r="P550"/>
      <c r="Q550"/>
      <c r="R550"/>
      <c r="S550"/>
      <c r="U550"/>
    </row>
    <row r="551" spans="2:21" x14ac:dyDescent="0.15">
      <c r="B551"/>
      <c r="N551"/>
      <c r="P551"/>
      <c r="Q551"/>
      <c r="R551"/>
      <c r="S551"/>
      <c r="U551"/>
    </row>
    <row r="552" spans="2:21" x14ac:dyDescent="0.15">
      <c r="B552"/>
      <c r="N552"/>
      <c r="P552"/>
      <c r="Q552"/>
      <c r="R552"/>
      <c r="S552"/>
      <c r="U552"/>
    </row>
    <row r="553" spans="2:21" x14ac:dyDescent="0.15">
      <c r="B553"/>
      <c r="N553"/>
      <c r="P553"/>
      <c r="Q553"/>
      <c r="R553"/>
      <c r="S553"/>
      <c r="U553"/>
    </row>
    <row r="554" spans="2:21" x14ac:dyDescent="0.15">
      <c r="B554"/>
      <c r="N554"/>
      <c r="P554"/>
      <c r="Q554"/>
      <c r="R554"/>
      <c r="S554"/>
      <c r="U554"/>
    </row>
    <row r="555" spans="2:21" x14ac:dyDescent="0.15">
      <c r="B555"/>
      <c r="N555"/>
      <c r="P555"/>
      <c r="Q555"/>
      <c r="R555"/>
      <c r="S555"/>
      <c r="U555"/>
    </row>
    <row r="556" spans="2:21" x14ac:dyDescent="0.15">
      <c r="B556"/>
      <c r="N556"/>
      <c r="P556"/>
      <c r="Q556"/>
      <c r="R556"/>
      <c r="S556"/>
      <c r="U556"/>
    </row>
    <row r="557" spans="2:21" x14ac:dyDescent="0.15">
      <c r="B557"/>
      <c r="N557"/>
      <c r="P557"/>
      <c r="Q557"/>
      <c r="R557"/>
      <c r="S557"/>
      <c r="U557"/>
    </row>
    <row r="558" spans="2:21" x14ac:dyDescent="0.15">
      <c r="B558"/>
      <c r="N558"/>
      <c r="P558"/>
      <c r="Q558"/>
      <c r="R558"/>
      <c r="S558"/>
      <c r="U558"/>
    </row>
    <row r="559" spans="2:21" x14ac:dyDescent="0.15">
      <c r="B559"/>
      <c r="N559"/>
      <c r="P559"/>
      <c r="Q559"/>
      <c r="R559"/>
      <c r="S559"/>
      <c r="U559"/>
    </row>
    <row r="560" spans="2:21" x14ac:dyDescent="0.15">
      <c r="B560"/>
      <c r="N560"/>
      <c r="P560"/>
      <c r="Q560"/>
      <c r="R560"/>
      <c r="S560"/>
      <c r="U560"/>
    </row>
    <row r="561" spans="2:21" x14ac:dyDescent="0.15">
      <c r="B561"/>
      <c r="N561"/>
      <c r="P561"/>
      <c r="Q561"/>
      <c r="R561"/>
      <c r="S561"/>
      <c r="U561"/>
    </row>
    <row r="562" spans="2:21" x14ac:dyDescent="0.15">
      <c r="B562"/>
      <c r="N562"/>
      <c r="P562"/>
      <c r="Q562"/>
      <c r="R562"/>
      <c r="S562"/>
      <c r="U562"/>
    </row>
    <row r="563" spans="2:21" x14ac:dyDescent="0.15">
      <c r="B563"/>
      <c r="N563"/>
      <c r="P563"/>
      <c r="Q563"/>
      <c r="R563"/>
      <c r="S563"/>
      <c r="U563"/>
    </row>
    <row r="564" spans="2:21" x14ac:dyDescent="0.15">
      <c r="B564"/>
      <c r="N564"/>
      <c r="P564"/>
      <c r="Q564"/>
      <c r="R564"/>
      <c r="S564"/>
      <c r="U564"/>
    </row>
    <row r="565" spans="2:21" x14ac:dyDescent="0.15">
      <c r="B565"/>
      <c r="N565"/>
      <c r="P565"/>
      <c r="Q565"/>
      <c r="R565"/>
      <c r="S565"/>
      <c r="U565"/>
    </row>
    <row r="566" spans="2:21" x14ac:dyDescent="0.15">
      <c r="B566"/>
      <c r="N566"/>
      <c r="P566"/>
      <c r="Q566"/>
      <c r="R566"/>
      <c r="S566"/>
      <c r="U566"/>
    </row>
    <row r="567" spans="2:21" x14ac:dyDescent="0.15">
      <c r="B567"/>
      <c r="N567"/>
      <c r="P567"/>
      <c r="Q567"/>
      <c r="R567"/>
      <c r="S567"/>
      <c r="U567"/>
    </row>
    <row r="568" spans="2:21" x14ac:dyDescent="0.15">
      <c r="B568"/>
      <c r="N568"/>
      <c r="P568"/>
      <c r="Q568"/>
      <c r="R568"/>
      <c r="S568"/>
      <c r="U568"/>
    </row>
    <row r="569" spans="2:21" x14ac:dyDescent="0.15">
      <c r="B569"/>
      <c r="N569"/>
      <c r="P569"/>
      <c r="Q569"/>
      <c r="R569"/>
      <c r="S569"/>
      <c r="U569"/>
    </row>
    <row r="570" spans="2:21" x14ac:dyDescent="0.15">
      <c r="B570"/>
      <c r="N570"/>
      <c r="P570"/>
      <c r="Q570"/>
      <c r="R570"/>
      <c r="S570"/>
      <c r="U570"/>
    </row>
    <row r="571" spans="2:21" x14ac:dyDescent="0.15">
      <c r="B571"/>
      <c r="N571"/>
      <c r="P571"/>
      <c r="Q571"/>
      <c r="R571"/>
      <c r="S571"/>
      <c r="U571"/>
    </row>
    <row r="572" spans="2:21" x14ac:dyDescent="0.15">
      <c r="B572"/>
      <c r="N572"/>
      <c r="P572"/>
      <c r="Q572"/>
      <c r="R572"/>
      <c r="S572"/>
      <c r="U572"/>
    </row>
    <row r="573" spans="2:21" x14ac:dyDescent="0.15">
      <c r="B573"/>
      <c r="N573"/>
      <c r="P573"/>
      <c r="Q573"/>
      <c r="R573"/>
      <c r="S573"/>
      <c r="U573"/>
    </row>
    <row r="574" spans="2:21" x14ac:dyDescent="0.15">
      <c r="B574"/>
      <c r="N574"/>
      <c r="P574"/>
      <c r="Q574"/>
      <c r="R574"/>
      <c r="S574"/>
      <c r="U574"/>
    </row>
    <row r="575" spans="2:21" x14ac:dyDescent="0.15">
      <c r="B575"/>
      <c r="N575"/>
      <c r="P575"/>
      <c r="Q575"/>
      <c r="R575"/>
      <c r="S575"/>
      <c r="U575"/>
    </row>
    <row r="576" spans="2:21" x14ac:dyDescent="0.15">
      <c r="B576"/>
      <c r="N576"/>
      <c r="P576"/>
      <c r="Q576"/>
      <c r="R576"/>
      <c r="S576"/>
      <c r="U576"/>
    </row>
    <row r="577" spans="2:21" x14ac:dyDescent="0.15">
      <c r="B577"/>
      <c r="N577"/>
      <c r="P577"/>
      <c r="Q577"/>
      <c r="R577"/>
      <c r="S577"/>
      <c r="U577"/>
    </row>
    <row r="578" spans="2:21" x14ac:dyDescent="0.15">
      <c r="B578"/>
      <c r="N578"/>
      <c r="P578"/>
      <c r="Q578"/>
      <c r="R578"/>
      <c r="S578"/>
      <c r="U578"/>
    </row>
    <row r="579" spans="2:21" x14ac:dyDescent="0.15">
      <c r="B579"/>
      <c r="N579"/>
      <c r="P579"/>
      <c r="Q579"/>
      <c r="R579"/>
      <c r="S579"/>
      <c r="U579"/>
    </row>
    <row r="580" spans="2:21" x14ac:dyDescent="0.15">
      <c r="B580"/>
      <c r="N580"/>
      <c r="P580"/>
      <c r="Q580"/>
      <c r="R580"/>
      <c r="S580"/>
      <c r="U580"/>
    </row>
    <row r="581" spans="2:21" x14ac:dyDescent="0.15">
      <c r="B581"/>
      <c r="N581"/>
      <c r="P581"/>
      <c r="Q581"/>
      <c r="R581"/>
      <c r="S581"/>
      <c r="U581"/>
    </row>
    <row r="582" spans="2:21" x14ac:dyDescent="0.15">
      <c r="B582"/>
      <c r="N582"/>
      <c r="P582"/>
      <c r="Q582"/>
      <c r="R582"/>
      <c r="S582"/>
      <c r="U582"/>
    </row>
    <row r="583" spans="2:21" x14ac:dyDescent="0.15">
      <c r="B583"/>
      <c r="N583"/>
      <c r="P583"/>
      <c r="Q583"/>
      <c r="R583"/>
      <c r="S583"/>
      <c r="U583"/>
    </row>
    <row r="584" spans="2:21" x14ac:dyDescent="0.15">
      <c r="B584"/>
      <c r="N584"/>
      <c r="P584"/>
      <c r="Q584"/>
      <c r="R584"/>
      <c r="S584"/>
      <c r="U584"/>
    </row>
    <row r="585" spans="2:21" x14ac:dyDescent="0.15">
      <c r="B585"/>
      <c r="N585"/>
      <c r="P585"/>
      <c r="Q585"/>
      <c r="R585"/>
      <c r="S585"/>
      <c r="U585"/>
    </row>
    <row r="586" spans="2:21" x14ac:dyDescent="0.15">
      <c r="B586"/>
      <c r="N586"/>
      <c r="P586"/>
      <c r="Q586"/>
      <c r="R586"/>
      <c r="S586"/>
      <c r="U586"/>
    </row>
    <row r="587" spans="2:21" x14ac:dyDescent="0.15">
      <c r="B587"/>
      <c r="N587"/>
      <c r="P587"/>
      <c r="Q587"/>
      <c r="R587"/>
      <c r="S587"/>
      <c r="U587"/>
    </row>
    <row r="588" spans="2:21" x14ac:dyDescent="0.15">
      <c r="B588"/>
      <c r="N588"/>
      <c r="P588"/>
      <c r="Q588"/>
      <c r="R588"/>
      <c r="S588"/>
      <c r="U588"/>
    </row>
    <row r="589" spans="2:21" x14ac:dyDescent="0.15">
      <c r="B589"/>
      <c r="N589"/>
      <c r="P589"/>
      <c r="Q589"/>
      <c r="R589"/>
      <c r="S589"/>
      <c r="U589"/>
    </row>
    <row r="590" spans="2:21" x14ac:dyDescent="0.15">
      <c r="B590"/>
      <c r="N590"/>
      <c r="P590"/>
      <c r="Q590"/>
      <c r="R590"/>
      <c r="S590"/>
      <c r="U590"/>
    </row>
    <row r="591" spans="2:21" x14ac:dyDescent="0.15">
      <c r="B591"/>
      <c r="N591"/>
      <c r="P591"/>
      <c r="Q591"/>
      <c r="R591"/>
      <c r="S591"/>
      <c r="U591"/>
    </row>
    <row r="592" spans="2:21" x14ac:dyDescent="0.15">
      <c r="B592"/>
      <c r="N592"/>
      <c r="P592"/>
      <c r="Q592"/>
      <c r="R592"/>
      <c r="S592"/>
      <c r="U592"/>
    </row>
    <row r="593" spans="2:21" x14ac:dyDescent="0.15">
      <c r="B593"/>
      <c r="N593"/>
      <c r="P593"/>
      <c r="Q593"/>
      <c r="R593"/>
      <c r="S593"/>
      <c r="U593"/>
    </row>
    <row r="594" spans="2:21" x14ac:dyDescent="0.15">
      <c r="B594"/>
      <c r="N594"/>
      <c r="P594"/>
      <c r="Q594"/>
      <c r="R594"/>
      <c r="S594"/>
      <c r="U594"/>
    </row>
    <row r="595" spans="2:21" x14ac:dyDescent="0.15">
      <c r="B595"/>
      <c r="N595"/>
      <c r="P595"/>
      <c r="Q595"/>
      <c r="R595"/>
      <c r="S595"/>
      <c r="U595"/>
    </row>
    <row r="596" spans="2:21" x14ac:dyDescent="0.15">
      <c r="B596"/>
      <c r="N596"/>
      <c r="P596"/>
      <c r="Q596"/>
      <c r="R596"/>
      <c r="S596"/>
      <c r="U596"/>
    </row>
    <row r="597" spans="2:21" x14ac:dyDescent="0.15">
      <c r="B597"/>
      <c r="N597"/>
      <c r="P597"/>
      <c r="Q597"/>
      <c r="R597"/>
      <c r="S597"/>
      <c r="U597"/>
    </row>
    <row r="598" spans="2:21" x14ac:dyDescent="0.15">
      <c r="B598"/>
      <c r="N598"/>
      <c r="P598"/>
      <c r="Q598"/>
      <c r="R598"/>
      <c r="S598"/>
      <c r="U598"/>
    </row>
    <row r="599" spans="2:21" x14ac:dyDescent="0.15">
      <c r="B599"/>
      <c r="N599"/>
      <c r="P599"/>
      <c r="Q599"/>
      <c r="R599"/>
      <c r="S599"/>
      <c r="U599"/>
    </row>
    <row r="600" spans="2:21" x14ac:dyDescent="0.15">
      <c r="B600"/>
      <c r="N600"/>
      <c r="P600"/>
      <c r="Q600"/>
      <c r="R600"/>
      <c r="S600"/>
      <c r="U600"/>
    </row>
    <row r="601" spans="2:21" x14ac:dyDescent="0.15">
      <c r="B601"/>
      <c r="N601"/>
      <c r="P601"/>
      <c r="Q601"/>
      <c r="R601"/>
      <c r="S601"/>
      <c r="U601"/>
    </row>
    <row r="602" spans="2:21" x14ac:dyDescent="0.15">
      <c r="B602"/>
      <c r="N602"/>
      <c r="P602"/>
      <c r="Q602"/>
      <c r="R602"/>
      <c r="S602"/>
      <c r="U602"/>
    </row>
    <row r="603" spans="2:21" x14ac:dyDescent="0.15">
      <c r="B603"/>
      <c r="N603"/>
      <c r="P603"/>
      <c r="Q603"/>
      <c r="R603"/>
      <c r="S603"/>
      <c r="U603"/>
    </row>
    <row r="604" spans="2:21" x14ac:dyDescent="0.15">
      <c r="B604"/>
      <c r="N604"/>
      <c r="P604"/>
      <c r="Q604"/>
      <c r="R604"/>
      <c r="S604"/>
      <c r="U604"/>
    </row>
    <row r="605" spans="2:21" x14ac:dyDescent="0.15">
      <c r="B605"/>
      <c r="N605"/>
      <c r="P605"/>
      <c r="Q605"/>
      <c r="R605"/>
      <c r="S605"/>
      <c r="U605"/>
    </row>
    <row r="606" spans="2:21" x14ac:dyDescent="0.15">
      <c r="B606"/>
      <c r="N606"/>
      <c r="P606"/>
      <c r="Q606"/>
      <c r="R606"/>
      <c r="S606"/>
      <c r="U606"/>
    </row>
    <row r="607" spans="2:21" x14ac:dyDescent="0.15">
      <c r="B607"/>
      <c r="N607"/>
      <c r="P607"/>
      <c r="Q607"/>
      <c r="R607"/>
      <c r="S607"/>
      <c r="U607"/>
    </row>
    <row r="608" spans="2:21" x14ac:dyDescent="0.15">
      <c r="B608"/>
      <c r="N608"/>
      <c r="P608"/>
      <c r="Q608"/>
      <c r="R608"/>
      <c r="S608"/>
      <c r="U608"/>
    </row>
    <row r="609" spans="2:21" x14ac:dyDescent="0.15">
      <c r="B609"/>
      <c r="N609"/>
      <c r="P609"/>
      <c r="Q609"/>
      <c r="R609"/>
      <c r="S609"/>
      <c r="U609"/>
    </row>
    <row r="610" spans="2:21" x14ac:dyDescent="0.15">
      <c r="B610"/>
      <c r="N610"/>
      <c r="P610"/>
      <c r="Q610"/>
      <c r="R610"/>
      <c r="S610"/>
      <c r="U610"/>
    </row>
    <row r="611" spans="2:21" x14ac:dyDescent="0.15">
      <c r="B611"/>
      <c r="N611"/>
      <c r="P611"/>
      <c r="Q611"/>
      <c r="R611"/>
      <c r="S611"/>
      <c r="U611"/>
    </row>
    <row r="612" spans="2:21" x14ac:dyDescent="0.15">
      <c r="B612"/>
      <c r="N612"/>
      <c r="P612"/>
      <c r="Q612"/>
      <c r="R612"/>
      <c r="S612"/>
      <c r="U612"/>
    </row>
    <row r="613" spans="2:21" x14ac:dyDescent="0.15">
      <c r="B613"/>
      <c r="N613"/>
      <c r="P613"/>
      <c r="Q613"/>
      <c r="R613"/>
      <c r="S613"/>
      <c r="U613"/>
    </row>
    <row r="614" spans="2:21" x14ac:dyDescent="0.15">
      <c r="B614"/>
      <c r="N614"/>
      <c r="P614"/>
      <c r="Q614"/>
      <c r="R614"/>
      <c r="S614"/>
      <c r="U614"/>
    </row>
    <row r="615" spans="2:21" x14ac:dyDescent="0.15">
      <c r="B615"/>
      <c r="N615"/>
      <c r="P615"/>
      <c r="Q615"/>
      <c r="R615"/>
      <c r="S615"/>
      <c r="U615"/>
    </row>
    <row r="616" spans="2:21" x14ac:dyDescent="0.15">
      <c r="B616"/>
      <c r="N616"/>
      <c r="P616"/>
      <c r="Q616"/>
      <c r="R616"/>
      <c r="S616"/>
      <c r="U616"/>
    </row>
    <row r="617" spans="2:21" x14ac:dyDescent="0.15">
      <c r="B617"/>
      <c r="N617"/>
      <c r="P617"/>
      <c r="Q617"/>
      <c r="R617"/>
      <c r="S617"/>
      <c r="U617"/>
    </row>
    <row r="618" spans="2:21" x14ac:dyDescent="0.15">
      <c r="B618"/>
      <c r="N618"/>
      <c r="P618"/>
      <c r="Q618"/>
      <c r="R618"/>
      <c r="S618"/>
      <c r="U618"/>
    </row>
    <row r="619" spans="2:21" x14ac:dyDescent="0.15">
      <c r="B619"/>
      <c r="N619"/>
      <c r="P619"/>
      <c r="Q619"/>
      <c r="R619"/>
      <c r="S619"/>
      <c r="U619"/>
    </row>
    <row r="620" spans="2:21" x14ac:dyDescent="0.15">
      <c r="B620"/>
      <c r="N620"/>
      <c r="P620"/>
      <c r="Q620"/>
      <c r="R620"/>
      <c r="S620"/>
      <c r="U620"/>
    </row>
    <row r="621" spans="2:21" x14ac:dyDescent="0.15">
      <c r="B621"/>
      <c r="N621"/>
      <c r="P621"/>
      <c r="Q621"/>
      <c r="R621"/>
      <c r="S621"/>
      <c r="U621"/>
    </row>
    <row r="622" spans="2:21" x14ac:dyDescent="0.15">
      <c r="B622"/>
      <c r="N622"/>
      <c r="P622"/>
      <c r="Q622"/>
      <c r="R622"/>
      <c r="S622"/>
      <c r="U622"/>
    </row>
    <row r="623" spans="2:21" x14ac:dyDescent="0.15">
      <c r="B623"/>
      <c r="N623"/>
      <c r="P623"/>
      <c r="Q623"/>
      <c r="R623"/>
      <c r="S623"/>
      <c r="U623"/>
    </row>
    <row r="624" spans="2:21" x14ac:dyDescent="0.15">
      <c r="B624"/>
      <c r="N624"/>
      <c r="P624"/>
      <c r="Q624"/>
      <c r="R624"/>
      <c r="S624"/>
      <c r="U624"/>
    </row>
    <row r="625" spans="2:21" x14ac:dyDescent="0.15">
      <c r="B625"/>
      <c r="N625"/>
      <c r="P625"/>
      <c r="Q625"/>
      <c r="R625"/>
      <c r="S625"/>
      <c r="U625"/>
    </row>
    <row r="626" spans="2:21" x14ac:dyDescent="0.15">
      <c r="B626"/>
      <c r="N626"/>
      <c r="P626"/>
      <c r="Q626"/>
      <c r="R626"/>
      <c r="S626"/>
      <c r="U626"/>
    </row>
    <row r="627" spans="2:21" x14ac:dyDescent="0.15">
      <c r="B627"/>
      <c r="N627"/>
      <c r="P627"/>
      <c r="Q627"/>
      <c r="R627"/>
      <c r="S627"/>
      <c r="U627"/>
    </row>
    <row r="628" spans="2:21" x14ac:dyDescent="0.15">
      <c r="B628"/>
      <c r="N628"/>
      <c r="P628"/>
      <c r="Q628"/>
      <c r="R628"/>
      <c r="S628"/>
      <c r="U628"/>
    </row>
    <row r="629" spans="2:21" x14ac:dyDescent="0.15">
      <c r="B629"/>
      <c r="N629"/>
      <c r="P629"/>
      <c r="Q629"/>
      <c r="R629"/>
      <c r="S629"/>
      <c r="U629"/>
    </row>
    <row r="630" spans="2:21" x14ac:dyDescent="0.15">
      <c r="B630"/>
      <c r="N630"/>
      <c r="P630"/>
      <c r="Q630"/>
      <c r="R630"/>
      <c r="S630"/>
      <c r="U630"/>
    </row>
    <row r="631" spans="2:21" x14ac:dyDescent="0.15">
      <c r="B631"/>
      <c r="N631"/>
      <c r="P631"/>
      <c r="Q631"/>
      <c r="R631"/>
      <c r="S631"/>
      <c r="U631"/>
    </row>
    <row r="632" spans="2:21" x14ac:dyDescent="0.15">
      <c r="B632"/>
      <c r="N632"/>
      <c r="P632"/>
      <c r="Q632"/>
      <c r="R632"/>
      <c r="S632"/>
      <c r="U632"/>
    </row>
    <row r="633" spans="2:21" x14ac:dyDescent="0.15">
      <c r="B633"/>
      <c r="N633"/>
      <c r="P633"/>
      <c r="Q633"/>
      <c r="R633"/>
      <c r="S633"/>
      <c r="U633"/>
    </row>
    <row r="634" spans="2:21" x14ac:dyDescent="0.15">
      <c r="B634"/>
      <c r="N634"/>
      <c r="P634"/>
      <c r="Q634"/>
      <c r="R634"/>
      <c r="S634"/>
      <c r="U634"/>
    </row>
    <row r="635" spans="2:21" x14ac:dyDescent="0.15">
      <c r="B635"/>
      <c r="N635"/>
      <c r="P635"/>
      <c r="Q635"/>
      <c r="R635"/>
      <c r="S635"/>
      <c r="U635"/>
    </row>
    <row r="636" spans="2:21" x14ac:dyDescent="0.15">
      <c r="B636"/>
      <c r="N636"/>
      <c r="P636"/>
      <c r="Q636"/>
      <c r="R636"/>
      <c r="S636"/>
      <c r="U636"/>
    </row>
    <row r="637" spans="2:21" x14ac:dyDescent="0.15">
      <c r="B637"/>
      <c r="N637"/>
      <c r="P637"/>
      <c r="Q637"/>
      <c r="R637"/>
      <c r="S637"/>
      <c r="U637"/>
    </row>
    <row r="638" spans="2:21" x14ac:dyDescent="0.15">
      <c r="B638"/>
      <c r="N638"/>
      <c r="P638"/>
      <c r="Q638"/>
      <c r="R638"/>
      <c r="S638"/>
      <c r="U638"/>
    </row>
    <row r="639" spans="2:21" x14ac:dyDescent="0.15">
      <c r="B639"/>
      <c r="N639"/>
      <c r="P639"/>
      <c r="Q639"/>
      <c r="R639"/>
      <c r="S639"/>
      <c r="U639"/>
    </row>
    <row r="640" spans="2:21" x14ac:dyDescent="0.15">
      <c r="B640"/>
      <c r="N640"/>
      <c r="P640"/>
      <c r="Q640"/>
      <c r="R640"/>
      <c r="S640"/>
      <c r="U640"/>
    </row>
    <row r="641" spans="2:21" x14ac:dyDescent="0.15">
      <c r="B641"/>
      <c r="N641"/>
      <c r="P641"/>
      <c r="Q641"/>
      <c r="R641"/>
      <c r="S641"/>
      <c r="U641"/>
    </row>
    <row r="642" spans="2:21" x14ac:dyDescent="0.15">
      <c r="B642"/>
      <c r="N642"/>
      <c r="P642"/>
      <c r="Q642"/>
      <c r="R642"/>
      <c r="S642"/>
      <c r="U642"/>
    </row>
    <row r="643" spans="2:21" x14ac:dyDescent="0.15">
      <c r="B643"/>
      <c r="N643"/>
      <c r="P643"/>
      <c r="Q643"/>
      <c r="R643"/>
      <c r="S643"/>
      <c r="U643"/>
    </row>
    <row r="644" spans="2:21" x14ac:dyDescent="0.15">
      <c r="B644"/>
      <c r="N644"/>
      <c r="P644"/>
      <c r="Q644"/>
      <c r="R644"/>
      <c r="S644"/>
      <c r="U644"/>
    </row>
    <row r="645" spans="2:21" x14ac:dyDescent="0.15">
      <c r="B645"/>
      <c r="N645"/>
      <c r="P645"/>
      <c r="Q645"/>
      <c r="R645"/>
      <c r="S645"/>
      <c r="U645"/>
    </row>
    <row r="646" spans="2:21" x14ac:dyDescent="0.15">
      <c r="B646"/>
      <c r="N646"/>
      <c r="P646"/>
      <c r="Q646"/>
      <c r="R646"/>
      <c r="S646"/>
      <c r="U646"/>
    </row>
    <row r="647" spans="2:21" x14ac:dyDescent="0.15">
      <c r="B647"/>
      <c r="N647"/>
      <c r="P647"/>
      <c r="Q647"/>
      <c r="R647"/>
      <c r="S647"/>
      <c r="U647"/>
    </row>
    <row r="648" spans="2:21" x14ac:dyDescent="0.15">
      <c r="B648"/>
      <c r="N648"/>
      <c r="P648"/>
      <c r="Q648"/>
      <c r="R648"/>
      <c r="S648"/>
      <c r="U648"/>
    </row>
    <row r="649" spans="2:21" x14ac:dyDescent="0.15">
      <c r="B649"/>
      <c r="N649"/>
      <c r="P649"/>
      <c r="Q649"/>
      <c r="R649"/>
      <c r="S649"/>
      <c r="U649"/>
    </row>
    <row r="650" spans="2:21" x14ac:dyDescent="0.15">
      <c r="B650"/>
      <c r="N650"/>
      <c r="P650"/>
      <c r="Q650"/>
      <c r="R650"/>
      <c r="S650"/>
      <c r="U650"/>
    </row>
    <row r="651" spans="2:21" x14ac:dyDescent="0.15">
      <c r="B651"/>
      <c r="N651"/>
      <c r="P651"/>
      <c r="Q651"/>
      <c r="R651"/>
      <c r="S651"/>
      <c r="U651"/>
    </row>
    <row r="652" spans="2:21" x14ac:dyDescent="0.15">
      <c r="B652"/>
      <c r="N652"/>
      <c r="P652"/>
      <c r="Q652"/>
      <c r="R652"/>
      <c r="S652"/>
      <c r="U652"/>
    </row>
    <row r="653" spans="2:21" x14ac:dyDescent="0.15">
      <c r="B653"/>
      <c r="N653"/>
      <c r="P653"/>
      <c r="Q653"/>
      <c r="R653"/>
      <c r="S653"/>
      <c r="U653"/>
    </row>
    <row r="654" spans="2:21" x14ac:dyDescent="0.15">
      <c r="B654"/>
      <c r="N654"/>
      <c r="P654"/>
      <c r="Q654"/>
      <c r="R654"/>
      <c r="S654"/>
      <c r="U654"/>
    </row>
    <row r="655" spans="2:21" x14ac:dyDescent="0.15">
      <c r="B655"/>
      <c r="N655"/>
      <c r="P655"/>
      <c r="Q655"/>
      <c r="R655"/>
      <c r="S655"/>
      <c r="U655"/>
    </row>
    <row r="656" spans="2:21" x14ac:dyDescent="0.15">
      <c r="B656"/>
      <c r="N656"/>
      <c r="P656"/>
      <c r="Q656"/>
      <c r="R656"/>
      <c r="S656"/>
      <c r="U656"/>
    </row>
    <row r="657" spans="2:21" x14ac:dyDescent="0.15">
      <c r="B657"/>
      <c r="N657"/>
      <c r="P657"/>
      <c r="Q657"/>
      <c r="R657"/>
      <c r="S657"/>
      <c r="U657"/>
    </row>
    <row r="658" spans="2:21" x14ac:dyDescent="0.15">
      <c r="B658"/>
      <c r="N658"/>
      <c r="P658"/>
      <c r="Q658"/>
      <c r="R658"/>
      <c r="S658"/>
      <c r="U658"/>
    </row>
    <row r="659" spans="2:21" x14ac:dyDescent="0.15">
      <c r="B659"/>
      <c r="N659"/>
      <c r="P659"/>
      <c r="Q659"/>
      <c r="R659"/>
      <c r="S659"/>
      <c r="U659"/>
    </row>
    <row r="660" spans="2:21" x14ac:dyDescent="0.15">
      <c r="B660"/>
      <c r="N660"/>
      <c r="P660"/>
      <c r="Q660"/>
      <c r="R660"/>
      <c r="S660"/>
      <c r="U660"/>
    </row>
    <row r="661" spans="2:21" x14ac:dyDescent="0.15">
      <c r="B661"/>
      <c r="N661"/>
      <c r="P661"/>
      <c r="Q661"/>
      <c r="R661"/>
      <c r="S661"/>
      <c r="U661"/>
    </row>
    <row r="662" spans="2:21" x14ac:dyDescent="0.15">
      <c r="B662"/>
      <c r="N662"/>
      <c r="P662"/>
      <c r="Q662"/>
      <c r="R662"/>
      <c r="S662"/>
      <c r="U662"/>
    </row>
    <row r="663" spans="2:21" x14ac:dyDescent="0.15">
      <c r="B663"/>
      <c r="N663"/>
      <c r="P663"/>
      <c r="Q663"/>
      <c r="R663"/>
      <c r="S663"/>
      <c r="U663"/>
    </row>
    <row r="664" spans="2:21" x14ac:dyDescent="0.15">
      <c r="B664"/>
      <c r="N664"/>
      <c r="P664"/>
      <c r="Q664"/>
      <c r="R664"/>
      <c r="S664"/>
      <c r="U664"/>
    </row>
    <row r="665" spans="2:21" x14ac:dyDescent="0.15">
      <c r="B665"/>
      <c r="N665"/>
      <c r="P665"/>
      <c r="Q665"/>
      <c r="R665"/>
      <c r="S665"/>
      <c r="U665"/>
    </row>
    <row r="666" spans="2:21" x14ac:dyDescent="0.15">
      <c r="B666"/>
      <c r="N666"/>
      <c r="P666"/>
      <c r="Q666"/>
      <c r="R666"/>
      <c r="S666"/>
      <c r="U666"/>
    </row>
    <row r="667" spans="2:21" x14ac:dyDescent="0.15">
      <c r="B667"/>
      <c r="N667"/>
      <c r="P667"/>
      <c r="Q667"/>
      <c r="R667"/>
      <c r="S667"/>
      <c r="U667"/>
    </row>
    <row r="668" spans="2:21" x14ac:dyDescent="0.15">
      <c r="B668"/>
      <c r="N668"/>
      <c r="P668"/>
      <c r="Q668"/>
      <c r="R668"/>
      <c r="S668"/>
      <c r="U668"/>
    </row>
    <row r="669" spans="2:21" x14ac:dyDescent="0.15">
      <c r="B669"/>
      <c r="N669"/>
      <c r="P669"/>
      <c r="Q669"/>
      <c r="R669"/>
      <c r="S669"/>
      <c r="U669"/>
    </row>
    <row r="670" spans="2:21" x14ac:dyDescent="0.15">
      <c r="B670"/>
      <c r="N670"/>
      <c r="P670"/>
      <c r="Q670"/>
      <c r="R670"/>
      <c r="S670"/>
      <c r="U670"/>
    </row>
    <row r="671" spans="2:21" x14ac:dyDescent="0.15">
      <c r="B671"/>
      <c r="N671"/>
      <c r="P671"/>
      <c r="Q671"/>
      <c r="R671"/>
      <c r="S671"/>
      <c r="U671"/>
    </row>
    <row r="672" spans="2:21" x14ac:dyDescent="0.15">
      <c r="B672"/>
      <c r="N672"/>
      <c r="P672"/>
      <c r="Q672"/>
      <c r="R672"/>
      <c r="S672"/>
      <c r="U672"/>
    </row>
    <row r="673" spans="2:21" x14ac:dyDescent="0.15">
      <c r="B673"/>
      <c r="N673"/>
      <c r="P673"/>
      <c r="Q673"/>
      <c r="R673"/>
      <c r="S673"/>
      <c r="U673"/>
    </row>
    <row r="674" spans="2:21" x14ac:dyDescent="0.15">
      <c r="B674"/>
      <c r="N674"/>
      <c r="P674"/>
      <c r="Q674"/>
      <c r="R674"/>
      <c r="S674"/>
      <c r="U674"/>
    </row>
    <row r="675" spans="2:21" x14ac:dyDescent="0.15">
      <c r="B675"/>
      <c r="N675"/>
      <c r="P675"/>
      <c r="Q675"/>
      <c r="R675"/>
      <c r="S675"/>
      <c r="U675"/>
    </row>
    <row r="676" spans="2:21" x14ac:dyDescent="0.15">
      <c r="B676"/>
      <c r="N676"/>
      <c r="P676"/>
      <c r="Q676"/>
      <c r="R676"/>
      <c r="S676"/>
      <c r="U676"/>
    </row>
    <row r="677" spans="2:21" x14ac:dyDescent="0.15">
      <c r="B677"/>
      <c r="N677"/>
      <c r="P677"/>
      <c r="Q677"/>
      <c r="R677"/>
      <c r="S677"/>
      <c r="U677"/>
    </row>
    <row r="678" spans="2:21" x14ac:dyDescent="0.15">
      <c r="B678"/>
      <c r="N678"/>
      <c r="P678"/>
      <c r="Q678"/>
      <c r="R678"/>
      <c r="S678"/>
      <c r="U678"/>
    </row>
    <row r="679" spans="2:21" x14ac:dyDescent="0.15">
      <c r="B679"/>
      <c r="N679"/>
      <c r="P679"/>
      <c r="Q679"/>
      <c r="R679"/>
      <c r="S679"/>
      <c r="U679"/>
    </row>
    <row r="680" spans="2:21" x14ac:dyDescent="0.15">
      <c r="B680"/>
      <c r="N680"/>
      <c r="P680"/>
      <c r="Q680"/>
      <c r="R680"/>
      <c r="S680"/>
      <c r="U680"/>
    </row>
    <row r="681" spans="2:21" x14ac:dyDescent="0.15">
      <c r="B681"/>
      <c r="N681"/>
      <c r="P681"/>
      <c r="Q681"/>
      <c r="R681"/>
      <c r="S681"/>
      <c r="U681"/>
    </row>
    <row r="682" spans="2:21" x14ac:dyDescent="0.15">
      <c r="B682"/>
      <c r="N682"/>
      <c r="P682"/>
      <c r="Q682"/>
      <c r="R682"/>
      <c r="S682"/>
      <c r="U682"/>
    </row>
    <row r="683" spans="2:21" x14ac:dyDescent="0.15">
      <c r="B683"/>
      <c r="N683"/>
      <c r="P683"/>
      <c r="Q683"/>
      <c r="R683"/>
      <c r="S683"/>
      <c r="U683"/>
    </row>
    <row r="684" spans="2:21" x14ac:dyDescent="0.15">
      <c r="B684"/>
      <c r="N684"/>
      <c r="P684"/>
      <c r="Q684"/>
      <c r="R684"/>
      <c r="S684"/>
      <c r="U684"/>
    </row>
    <row r="685" spans="2:21" x14ac:dyDescent="0.15">
      <c r="B685"/>
      <c r="N685"/>
      <c r="P685"/>
      <c r="Q685"/>
      <c r="R685"/>
      <c r="S685"/>
      <c r="U685"/>
    </row>
    <row r="686" spans="2:21" x14ac:dyDescent="0.15">
      <c r="B686"/>
      <c r="N686"/>
      <c r="P686"/>
      <c r="Q686"/>
      <c r="R686"/>
      <c r="S686"/>
      <c r="U686"/>
    </row>
    <row r="687" spans="2:21" x14ac:dyDescent="0.15">
      <c r="B687"/>
      <c r="N687"/>
      <c r="P687"/>
      <c r="Q687"/>
      <c r="R687"/>
      <c r="S687"/>
      <c r="U687"/>
    </row>
    <row r="688" spans="2:21" x14ac:dyDescent="0.15">
      <c r="B688"/>
      <c r="N688"/>
      <c r="P688"/>
      <c r="Q688"/>
      <c r="R688"/>
      <c r="S688"/>
      <c r="U688"/>
    </row>
    <row r="689" spans="2:21" x14ac:dyDescent="0.15">
      <c r="B689"/>
      <c r="N689"/>
      <c r="P689"/>
      <c r="Q689"/>
      <c r="R689"/>
      <c r="S689"/>
      <c r="U689"/>
    </row>
    <row r="690" spans="2:21" x14ac:dyDescent="0.15">
      <c r="B690"/>
      <c r="N690"/>
      <c r="P690"/>
      <c r="Q690"/>
      <c r="R690"/>
      <c r="S690"/>
      <c r="U690"/>
    </row>
    <row r="691" spans="2:21" x14ac:dyDescent="0.15">
      <c r="B691"/>
      <c r="N691"/>
      <c r="P691"/>
      <c r="Q691"/>
      <c r="R691"/>
      <c r="S691"/>
      <c r="U691"/>
    </row>
    <row r="692" spans="2:21" x14ac:dyDescent="0.15">
      <c r="B692"/>
      <c r="N692"/>
      <c r="P692"/>
      <c r="Q692"/>
      <c r="R692"/>
      <c r="S692"/>
      <c r="U692"/>
    </row>
    <row r="693" spans="2:21" x14ac:dyDescent="0.15">
      <c r="B693"/>
      <c r="N693"/>
      <c r="P693"/>
      <c r="Q693"/>
      <c r="R693"/>
      <c r="S693"/>
      <c r="U693"/>
    </row>
    <row r="694" spans="2:21" x14ac:dyDescent="0.15">
      <c r="B694"/>
      <c r="N694"/>
      <c r="P694"/>
      <c r="Q694"/>
      <c r="R694"/>
      <c r="S694"/>
      <c r="U694"/>
    </row>
    <row r="695" spans="2:21" x14ac:dyDescent="0.15">
      <c r="B695"/>
      <c r="N695"/>
      <c r="P695"/>
      <c r="Q695"/>
      <c r="R695"/>
      <c r="S695"/>
      <c r="U695"/>
    </row>
    <row r="696" spans="2:21" x14ac:dyDescent="0.15">
      <c r="B696"/>
      <c r="N696"/>
      <c r="P696"/>
      <c r="Q696"/>
      <c r="R696"/>
      <c r="S696"/>
      <c r="U696"/>
    </row>
    <row r="697" spans="2:21" x14ac:dyDescent="0.15">
      <c r="B697"/>
      <c r="N697"/>
      <c r="P697"/>
      <c r="Q697"/>
      <c r="R697"/>
      <c r="S697"/>
      <c r="U697"/>
    </row>
    <row r="698" spans="2:21" x14ac:dyDescent="0.15">
      <c r="B698"/>
      <c r="N698"/>
      <c r="P698"/>
      <c r="Q698"/>
      <c r="R698"/>
      <c r="S698"/>
      <c r="U698"/>
    </row>
    <row r="699" spans="2:21" x14ac:dyDescent="0.15">
      <c r="B699"/>
      <c r="N699"/>
      <c r="P699"/>
      <c r="Q699"/>
      <c r="R699"/>
      <c r="S699"/>
      <c r="U699"/>
    </row>
    <row r="700" spans="2:21" x14ac:dyDescent="0.15">
      <c r="B700"/>
      <c r="N700"/>
      <c r="P700"/>
      <c r="Q700"/>
      <c r="R700"/>
      <c r="S700"/>
      <c r="U700"/>
    </row>
    <row r="701" spans="2:21" x14ac:dyDescent="0.15">
      <c r="B701"/>
      <c r="N701"/>
      <c r="P701"/>
      <c r="Q701"/>
      <c r="R701"/>
      <c r="S701"/>
      <c r="U701"/>
    </row>
    <row r="702" spans="2:21" x14ac:dyDescent="0.15">
      <c r="B702"/>
      <c r="N702"/>
      <c r="P702"/>
      <c r="Q702"/>
      <c r="R702"/>
      <c r="S702"/>
      <c r="U702"/>
    </row>
    <row r="703" spans="2:21" x14ac:dyDescent="0.15">
      <c r="B703"/>
      <c r="N703"/>
      <c r="P703"/>
      <c r="Q703"/>
      <c r="R703"/>
      <c r="S703"/>
      <c r="U703"/>
    </row>
    <row r="704" spans="2:21" x14ac:dyDescent="0.15">
      <c r="B704"/>
      <c r="N704"/>
      <c r="P704"/>
      <c r="Q704"/>
      <c r="R704"/>
      <c r="S704"/>
      <c r="U704"/>
    </row>
    <row r="705" spans="2:21" x14ac:dyDescent="0.15">
      <c r="B705"/>
      <c r="N705"/>
      <c r="P705"/>
      <c r="Q705"/>
      <c r="R705"/>
      <c r="S705"/>
      <c r="U705"/>
    </row>
    <row r="706" spans="2:21" x14ac:dyDescent="0.15">
      <c r="B706"/>
      <c r="N706"/>
      <c r="P706"/>
      <c r="Q706"/>
      <c r="R706"/>
      <c r="S706"/>
      <c r="U706"/>
    </row>
    <row r="707" spans="2:21" x14ac:dyDescent="0.15">
      <c r="B707"/>
      <c r="N707"/>
      <c r="P707"/>
      <c r="Q707"/>
      <c r="R707"/>
      <c r="S707"/>
      <c r="U707"/>
    </row>
    <row r="708" spans="2:21" x14ac:dyDescent="0.15">
      <c r="B708"/>
      <c r="N708"/>
      <c r="P708"/>
      <c r="Q708"/>
      <c r="R708"/>
      <c r="S708"/>
      <c r="U708"/>
    </row>
    <row r="709" spans="2:21" x14ac:dyDescent="0.15">
      <c r="B709"/>
      <c r="N709"/>
      <c r="P709"/>
      <c r="Q709"/>
      <c r="R709"/>
      <c r="S709"/>
      <c r="U709"/>
    </row>
    <row r="710" spans="2:21" x14ac:dyDescent="0.15">
      <c r="B710"/>
      <c r="N710"/>
      <c r="P710"/>
      <c r="Q710"/>
      <c r="R710"/>
      <c r="S710"/>
      <c r="U710"/>
    </row>
    <row r="711" spans="2:21" x14ac:dyDescent="0.15">
      <c r="B711"/>
      <c r="N711"/>
      <c r="P711"/>
      <c r="Q711"/>
      <c r="R711"/>
      <c r="S711"/>
      <c r="U711"/>
    </row>
    <row r="712" spans="2:21" x14ac:dyDescent="0.15">
      <c r="B712"/>
      <c r="N712"/>
      <c r="P712"/>
      <c r="Q712"/>
      <c r="R712"/>
      <c r="S712"/>
      <c r="U712"/>
    </row>
    <row r="713" spans="2:21" x14ac:dyDescent="0.15">
      <c r="B713"/>
      <c r="N713"/>
      <c r="P713"/>
      <c r="Q713"/>
      <c r="R713"/>
      <c r="S713"/>
      <c r="U713"/>
    </row>
    <row r="714" spans="2:21" x14ac:dyDescent="0.15">
      <c r="B714"/>
      <c r="N714"/>
      <c r="P714"/>
      <c r="Q714"/>
      <c r="R714"/>
      <c r="S714"/>
      <c r="U714"/>
    </row>
    <row r="715" spans="2:21" x14ac:dyDescent="0.15">
      <c r="B715"/>
      <c r="N715"/>
      <c r="P715"/>
      <c r="Q715"/>
      <c r="R715"/>
      <c r="S715"/>
      <c r="U715"/>
    </row>
    <row r="716" spans="2:21" x14ac:dyDescent="0.15">
      <c r="B716"/>
      <c r="N716"/>
      <c r="P716"/>
      <c r="Q716"/>
      <c r="R716"/>
      <c r="S716"/>
      <c r="U716"/>
    </row>
    <row r="717" spans="2:21" x14ac:dyDescent="0.15">
      <c r="B717"/>
      <c r="N717"/>
      <c r="P717"/>
      <c r="Q717"/>
      <c r="R717"/>
      <c r="S717"/>
      <c r="U717"/>
    </row>
    <row r="718" spans="2:21" x14ac:dyDescent="0.15">
      <c r="B718"/>
      <c r="N718"/>
      <c r="P718"/>
      <c r="Q718"/>
      <c r="R718"/>
      <c r="S718"/>
      <c r="U718"/>
    </row>
    <row r="719" spans="2:21" x14ac:dyDescent="0.15">
      <c r="B719"/>
      <c r="N719"/>
      <c r="P719"/>
      <c r="Q719"/>
      <c r="R719"/>
      <c r="S719"/>
      <c r="U719"/>
    </row>
    <row r="720" spans="2:21" x14ac:dyDescent="0.15">
      <c r="B720"/>
      <c r="N720"/>
      <c r="P720"/>
      <c r="Q720"/>
      <c r="R720"/>
      <c r="S720"/>
      <c r="U720"/>
    </row>
    <row r="721" spans="2:21" x14ac:dyDescent="0.15">
      <c r="B721"/>
      <c r="N721"/>
      <c r="P721"/>
      <c r="Q721"/>
      <c r="R721"/>
      <c r="S721"/>
      <c r="U721"/>
    </row>
    <row r="722" spans="2:21" x14ac:dyDescent="0.15">
      <c r="B722"/>
      <c r="N722"/>
      <c r="P722"/>
      <c r="Q722"/>
      <c r="R722"/>
      <c r="S722"/>
      <c r="U722"/>
    </row>
    <row r="723" spans="2:21" x14ac:dyDescent="0.15">
      <c r="B723"/>
      <c r="N723"/>
      <c r="P723"/>
      <c r="Q723"/>
      <c r="R723"/>
      <c r="S723"/>
      <c r="U723"/>
    </row>
    <row r="724" spans="2:21" x14ac:dyDescent="0.15">
      <c r="B724"/>
      <c r="N724"/>
      <c r="P724"/>
      <c r="Q724"/>
      <c r="R724"/>
      <c r="S724"/>
      <c r="U724"/>
    </row>
    <row r="725" spans="2:21" x14ac:dyDescent="0.15">
      <c r="B725"/>
      <c r="N725"/>
      <c r="P725"/>
      <c r="Q725"/>
      <c r="R725"/>
      <c r="S725"/>
      <c r="U725"/>
    </row>
    <row r="726" spans="2:21" x14ac:dyDescent="0.15">
      <c r="B726"/>
      <c r="N726"/>
      <c r="P726"/>
      <c r="Q726"/>
      <c r="R726"/>
      <c r="S726"/>
      <c r="U726"/>
    </row>
    <row r="727" spans="2:21" x14ac:dyDescent="0.15">
      <c r="B727"/>
      <c r="N727"/>
      <c r="P727"/>
      <c r="Q727"/>
      <c r="R727"/>
      <c r="S727"/>
      <c r="U727"/>
    </row>
    <row r="728" spans="2:21" x14ac:dyDescent="0.15">
      <c r="B728"/>
      <c r="N728"/>
      <c r="P728"/>
      <c r="Q728"/>
      <c r="R728"/>
      <c r="S728"/>
      <c r="U728"/>
    </row>
    <row r="729" spans="2:21" x14ac:dyDescent="0.15">
      <c r="B729"/>
      <c r="N729"/>
      <c r="P729"/>
      <c r="Q729"/>
      <c r="R729"/>
      <c r="S729"/>
      <c r="U729"/>
    </row>
    <row r="730" spans="2:21" x14ac:dyDescent="0.15">
      <c r="B730"/>
      <c r="N730"/>
      <c r="P730"/>
      <c r="Q730"/>
      <c r="R730"/>
      <c r="S730"/>
      <c r="U730"/>
    </row>
    <row r="731" spans="2:21" x14ac:dyDescent="0.15">
      <c r="B731"/>
      <c r="N731"/>
      <c r="P731"/>
      <c r="Q731"/>
      <c r="R731"/>
      <c r="S731"/>
      <c r="U731"/>
    </row>
    <row r="732" spans="2:21" x14ac:dyDescent="0.15">
      <c r="B732"/>
      <c r="N732"/>
      <c r="P732"/>
      <c r="Q732"/>
      <c r="R732"/>
      <c r="S732"/>
      <c r="U732"/>
    </row>
    <row r="733" spans="2:21" x14ac:dyDescent="0.15">
      <c r="B733"/>
      <c r="N733"/>
      <c r="P733"/>
      <c r="Q733"/>
      <c r="R733"/>
      <c r="S733"/>
      <c r="U733"/>
    </row>
    <row r="734" spans="2:21" x14ac:dyDescent="0.15">
      <c r="B734"/>
      <c r="N734"/>
      <c r="P734"/>
      <c r="Q734"/>
      <c r="R734"/>
      <c r="S734"/>
      <c r="U734"/>
    </row>
    <row r="735" spans="2:21" x14ac:dyDescent="0.15">
      <c r="B735"/>
      <c r="N735"/>
      <c r="P735"/>
      <c r="Q735"/>
      <c r="R735"/>
      <c r="S735"/>
      <c r="U735"/>
    </row>
    <row r="736" spans="2:21" x14ac:dyDescent="0.15">
      <c r="B736"/>
      <c r="N736"/>
      <c r="P736"/>
      <c r="Q736"/>
      <c r="R736"/>
      <c r="S736"/>
      <c r="U736"/>
    </row>
    <row r="737" spans="2:21" x14ac:dyDescent="0.15">
      <c r="B737"/>
      <c r="N737"/>
      <c r="P737"/>
      <c r="Q737"/>
      <c r="R737"/>
      <c r="S737"/>
      <c r="U737"/>
    </row>
    <row r="738" spans="2:21" x14ac:dyDescent="0.15">
      <c r="B738"/>
      <c r="N738"/>
      <c r="P738"/>
      <c r="Q738"/>
      <c r="R738"/>
      <c r="S738"/>
      <c r="U738"/>
    </row>
    <row r="739" spans="2:21" x14ac:dyDescent="0.15">
      <c r="B739"/>
      <c r="N739"/>
      <c r="P739"/>
      <c r="Q739"/>
      <c r="R739"/>
      <c r="S739"/>
      <c r="U739"/>
    </row>
    <row r="740" spans="2:21" x14ac:dyDescent="0.15">
      <c r="B740"/>
      <c r="N740"/>
      <c r="P740"/>
      <c r="Q740"/>
      <c r="R740"/>
      <c r="S740"/>
      <c r="U740"/>
    </row>
    <row r="741" spans="2:21" x14ac:dyDescent="0.15">
      <c r="B741"/>
      <c r="N741"/>
      <c r="P741"/>
      <c r="Q741"/>
      <c r="R741"/>
      <c r="S741"/>
      <c r="U741"/>
    </row>
    <row r="742" spans="2:21" x14ac:dyDescent="0.15">
      <c r="B742"/>
      <c r="N742"/>
      <c r="P742"/>
      <c r="Q742"/>
      <c r="R742"/>
      <c r="S742"/>
      <c r="U742"/>
    </row>
    <row r="743" spans="2:21" x14ac:dyDescent="0.15">
      <c r="B743"/>
      <c r="N743"/>
      <c r="P743"/>
      <c r="Q743"/>
      <c r="R743"/>
      <c r="S743"/>
      <c r="U743"/>
    </row>
    <row r="744" spans="2:21" x14ac:dyDescent="0.15">
      <c r="B744"/>
      <c r="N744"/>
      <c r="P744"/>
      <c r="Q744"/>
      <c r="R744"/>
      <c r="S744"/>
      <c r="U744"/>
    </row>
    <row r="745" spans="2:21" x14ac:dyDescent="0.15">
      <c r="B745"/>
      <c r="N745"/>
      <c r="P745"/>
      <c r="Q745"/>
      <c r="R745"/>
      <c r="S745"/>
      <c r="U745"/>
    </row>
    <row r="746" spans="2:21" x14ac:dyDescent="0.15">
      <c r="B746"/>
      <c r="N746"/>
      <c r="P746"/>
      <c r="Q746"/>
      <c r="R746"/>
      <c r="S746"/>
      <c r="U746"/>
    </row>
    <row r="747" spans="2:21" x14ac:dyDescent="0.15">
      <c r="B747"/>
      <c r="N747"/>
      <c r="P747"/>
      <c r="Q747"/>
      <c r="R747"/>
      <c r="S747"/>
      <c r="U747"/>
    </row>
    <row r="748" spans="2:21" x14ac:dyDescent="0.15">
      <c r="B748"/>
      <c r="N748"/>
      <c r="P748"/>
      <c r="Q748"/>
      <c r="R748"/>
      <c r="S748"/>
      <c r="U748"/>
    </row>
    <row r="749" spans="2:21" x14ac:dyDescent="0.15">
      <c r="B749"/>
      <c r="N749"/>
      <c r="P749"/>
      <c r="Q749"/>
      <c r="R749"/>
      <c r="S749"/>
      <c r="U749"/>
    </row>
    <row r="750" spans="2:21" x14ac:dyDescent="0.15">
      <c r="B750"/>
      <c r="N750"/>
      <c r="P750"/>
      <c r="Q750"/>
      <c r="R750"/>
      <c r="S750"/>
      <c r="U750"/>
    </row>
    <row r="751" spans="2:21" x14ac:dyDescent="0.15">
      <c r="B751"/>
      <c r="N751"/>
      <c r="P751"/>
      <c r="Q751"/>
      <c r="R751"/>
      <c r="S751"/>
      <c r="U751"/>
    </row>
    <row r="752" spans="2:21" x14ac:dyDescent="0.15">
      <c r="B752"/>
      <c r="N752"/>
      <c r="P752"/>
      <c r="Q752"/>
      <c r="R752"/>
      <c r="S752"/>
      <c r="U752"/>
    </row>
    <row r="753" spans="2:21" x14ac:dyDescent="0.15">
      <c r="B753"/>
      <c r="N753"/>
      <c r="P753"/>
      <c r="Q753"/>
      <c r="R753"/>
      <c r="S753"/>
      <c r="U753"/>
    </row>
    <row r="754" spans="2:21" x14ac:dyDescent="0.15">
      <c r="B754"/>
      <c r="N754"/>
      <c r="P754"/>
      <c r="Q754"/>
      <c r="R754"/>
      <c r="S754"/>
      <c r="U754"/>
    </row>
    <row r="755" spans="2:21" x14ac:dyDescent="0.15">
      <c r="B755"/>
      <c r="N755"/>
      <c r="P755"/>
      <c r="Q755"/>
      <c r="R755"/>
      <c r="S755"/>
      <c r="U755"/>
    </row>
    <row r="756" spans="2:21" x14ac:dyDescent="0.15">
      <c r="B756"/>
      <c r="N756"/>
      <c r="P756"/>
      <c r="Q756"/>
      <c r="R756"/>
      <c r="S756"/>
      <c r="U756"/>
    </row>
    <row r="757" spans="2:21" x14ac:dyDescent="0.15">
      <c r="B757"/>
      <c r="N757"/>
      <c r="P757"/>
      <c r="Q757"/>
      <c r="R757"/>
      <c r="S757"/>
      <c r="U757"/>
    </row>
    <row r="758" spans="2:21" x14ac:dyDescent="0.15">
      <c r="B758"/>
      <c r="N758"/>
      <c r="P758"/>
      <c r="Q758"/>
      <c r="R758"/>
      <c r="S758"/>
      <c r="U758"/>
    </row>
    <row r="759" spans="2:21" x14ac:dyDescent="0.15">
      <c r="B759"/>
      <c r="N759"/>
      <c r="P759"/>
      <c r="Q759"/>
      <c r="R759"/>
      <c r="S759"/>
      <c r="U759"/>
    </row>
    <row r="760" spans="2:21" x14ac:dyDescent="0.15">
      <c r="B760"/>
      <c r="N760"/>
      <c r="P760"/>
      <c r="Q760"/>
      <c r="R760"/>
      <c r="S760"/>
      <c r="U760"/>
    </row>
    <row r="761" spans="2:21" x14ac:dyDescent="0.15">
      <c r="B761"/>
      <c r="N761"/>
      <c r="P761"/>
      <c r="Q761"/>
      <c r="R761"/>
      <c r="S761"/>
      <c r="U761"/>
    </row>
    <row r="762" spans="2:21" x14ac:dyDescent="0.15">
      <c r="B762"/>
      <c r="N762"/>
      <c r="P762"/>
      <c r="Q762"/>
      <c r="R762"/>
      <c r="S762"/>
      <c r="U762"/>
    </row>
    <row r="763" spans="2:21" x14ac:dyDescent="0.15">
      <c r="B763"/>
      <c r="N763"/>
      <c r="P763"/>
      <c r="Q763"/>
      <c r="R763"/>
      <c r="S763"/>
      <c r="U763"/>
    </row>
    <row r="764" spans="2:21" x14ac:dyDescent="0.15">
      <c r="B764"/>
      <c r="N764"/>
      <c r="P764"/>
      <c r="Q764"/>
      <c r="R764"/>
      <c r="S764"/>
      <c r="U764"/>
    </row>
    <row r="765" spans="2:21" x14ac:dyDescent="0.15">
      <c r="B765"/>
      <c r="N765"/>
      <c r="P765"/>
      <c r="Q765"/>
      <c r="R765"/>
      <c r="S765"/>
      <c r="U765"/>
    </row>
    <row r="766" spans="2:21" x14ac:dyDescent="0.15">
      <c r="B766"/>
      <c r="N766"/>
      <c r="P766"/>
      <c r="Q766"/>
      <c r="R766"/>
      <c r="S766"/>
      <c r="U766"/>
    </row>
    <row r="767" spans="2:21" x14ac:dyDescent="0.15">
      <c r="B767"/>
      <c r="N767"/>
      <c r="P767"/>
      <c r="Q767"/>
      <c r="R767"/>
      <c r="S767"/>
      <c r="U767"/>
    </row>
    <row r="768" spans="2:21" x14ac:dyDescent="0.15">
      <c r="B768"/>
      <c r="N768"/>
      <c r="P768"/>
      <c r="Q768"/>
      <c r="R768"/>
      <c r="S768"/>
      <c r="U768"/>
    </row>
    <row r="769" spans="2:21" x14ac:dyDescent="0.15">
      <c r="B769"/>
      <c r="N769"/>
      <c r="P769"/>
      <c r="Q769"/>
      <c r="R769"/>
      <c r="S769"/>
      <c r="U769"/>
    </row>
    <row r="770" spans="2:21" x14ac:dyDescent="0.15">
      <c r="B770"/>
      <c r="N770"/>
      <c r="P770"/>
      <c r="Q770"/>
      <c r="R770"/>
      <c r="S770"/>
      <c r="U770"/>
    </row>
    <row r="771" spans="2:21" x14ac:dyDescent="0.15">
      <c r="B771"/>
      <c r="N771"/>
      <c r="P771"/>
      <c r="Q771"/>
      <c r="R771"/>
      <c r="S771"/>
      <c r="U771"/>
    </row>
    <row r="772" spans="2:21" x14ac:dyDescent="0.15">
      <c r="B772"/>
      <c r="N772"/>
      <c r="P772"/>
      <c r="Q772"/>
      <c r="R772"/>
      <c r="S772"/>
      <c r="U772"/>
    </row>
    <row r="773" spans="2:21" x14ac:dyDescent="0.15">
      <c r="B773"/>
      <c r="N773"/>
      <c r="P773"/>
      <c r="Q773"/>
      <c r="R773"/>
      <c r="S773"/>
      <c r="U773"/>
    </row>
    <row r="774" spans="2:21" x14ac:dyDescent="0.15">
      <c r="B774"/>
      <c r="N774"/>
      <c r="P774"/>
      <c r="Q774"/>
      <c r="R774"/>
      <c r="S774"/>
      <c r="U774"/>
    </row>
    <row r="775" spans="2:21" x14ac:dyDescent="0.15">
      <c r="B775"/>
      <c r="N775"/>
      <c r="P775"/>
      <c r="Q775"/>
      <c r="R775"/>
      <c r="S775"/>
      <c r="U775"/>
    </row>
    <row r="776" spans="2:21" x14ac:dyDescent="0.15">
      <c r="B776"/>
      <c r="N776"/>
      <c r="P776"/>
      <c r="Q776"/>
      <c r="R776"/>
      <c r="S776"/>
      <c r="U776"/>
    </row>
    <row r="777" spans="2:21" x14ac:dyDescent="0.15">
      <c r="B777"/>
      <c r="N777"/>
      <c r="P777"/>
      <c r="Q777"/>
      <c r="R777"/>
      <c r="S777"/>
      <c r="U777"/>
    </row>
    <row r="778" spans="2:21" x14ac:dyDescent="0.15">
      <c r="B778"/>
      <c r="N778"/>
      <c r="P778"/>
      <c r="Q778"/>
      <c r="R778"/>
      <c r="S778"/>
      <c r="U778"/>
    </row>
    <row r="779" spans="2:21" x14ac:dyDescent="0.15">
      <c r="B779"/>
      <c r="N779"/>
      <c r="P779"/>
      <c r="Q779"/>
      <c r="R779"/>
      <c r="S779"/>
      <c r="U779"/>
    </row>
    <row r="780" spans="2:21" x14ac:dyDescent="0.15">
      <c r="B780"/>
      <c r="N780"/>
      <c r="P780"/>
      <c r="Q780"/>
      <c r="R780"/>
      <c r="S780"/>
      <c r="U780"/>
    </row>
    <row r="781" spans="2:21" x14ac:dyDescent="0.15">
      <c r="B781"/>
      <c r="N781"/>
      <c r="P781"/>
      <c r="Q781"/>
      <c r="R781"/>
      <c r="S781"/>
      <c r="U781"/>
    </row>
    <row r="782" spans="2:21" x14ac:dyDescent="0.15">
      <c r="B782"/>
      <c r="N782"/>
      <c r="P782"/>
      <c r="Q782"/>
      <c r="R782"/>
      <c r="S782"/>
      <c r="U782"/>
    </row>
    <row r="783" spans="2:21" x14ac:dyDescent="0.15">
      <c r="B783"/>
      <c r="N783"/>
      <c r="P783"/>
      <c r="Q783"/>
      <c r="R783"/>
      <c r="S783"/>
      <c r="U783"/>
    </row>
    <row r="784" spans="2:21" x14ac:dyDescent="0.15">
      <c r="B784"/>
      <c r="N784"/>
      <c r="P784"/>
      <c r="Q784"/>
      <c r="R784"/>
      <c r="S784"/>
      <c r="U784"/>
    </row>
    <row r="785" spans="2:21" x14ac:dyDescent="0.15">
      <c r="B785"/>
      <c r="N785"/>
      <c r="P785"/>
      <c r="Q785"/>
      <c r="R785"/>
      <c r="S785"/>
      <c r="U785"/>
    </row>
    <row r="786" spans="2:21" x14ac:dyDescent="0.15">
      <c r="B786"/>
      <c r="N786"/>
      <c r="P786"/>
      <c r="Q786"/>
      <c r="R786"/>
      <c r="S786"/>
      <c r="U786"/>
    </row>
    <row r="787" spans="2:21" x14ac:dyDescent="0.15">
      <c r="B787"/>
      <c r="N787"/>
      <c r="P787"/>
      <c r="Q787"/>
      <c r="R787"/>
      <c r="S787"/>
      <c r="U787"/>
    </row>
    <row r="788" spans="2:21" x14ac:dyDescent="0.15">
      <c r="B788"/>
      <c r="N788"/>
      <c r="P788"/>
      <c r="Q788"/>
      <c r="R788"/>
      <c r="S788"/>
      <c r="U788"/>
    </row>
    <row r="789" spans="2:21" x14ac:dyDescent="0.15">
      <c r="B789"/>
      <c r="N789"/>
      <c r="P789"/>
      <c r="Q789"/>
      <c r="R789"/>
      <c r="S789"/>
      <c r="U789"/>
    </row>
    <row r="790" spans="2:21" x14ac:dyDescent="0.15">
      <c r="B790"/>
      <c r="N790"/>
      <c r="P790"/>
      <c r="Q790"/>
      <c r="R790"/>
      <c r="S790"/>
      <c r="U790"/>
    </row>
    <row r="791" spans="2:21" x14ac:dyDescent="0.15">
      <c r="B791"/>
      <c r="N791"/>
      <c r="P791"/>
      <c r="Q791"/>
      <c r="R791"/>
      <c r="S791"/>
      <c r="U791"/>
    </row>
    <row r="792" spans="2:21" x14ac:dyDescent="0.15">
      <c r="B792"/>
      <c r="N792"/>
      <c r="P792"/>
      <c r="Q792"/>
      <c r="R792"/>
      <c r="S792"/>
      <c r="U792"/>
    </row>
    <row r="793" spans="2:21" x14ac:dyDescent="0.15">
      <c r="B793"/>
      <c r="N793"/>
      <c r="P793"/>
      <c r="Q793"/>
      <c r="R793"/>
      <c r="S793"/>
      <c r="U793"/>
    </row>
    <row r="794" spans="2:21" x14ac:dyDescent="0.15">
      <c r="B794"/>
      <c r="N794"/>
      <c r="P794"/>
      <c r="Q794"/>
      <c r="R794"/>
      <c r="S794"/>
      <c r="U794"/>
    </row>
    <row r="795" spans="2:21" x14ac:dyDescent="0.15">
      <c r="B795"/>
      <c r="N795"/>
      <c r="P795"/>
      <c r="Q795"/>
      <c r="R795"/>
      <c r="S795"/>
      <c r="U795"/>
    </row>
    <row r="796" spans="2:21" x14ac:dyDescent="0.15">
      <c r="B796"/>
      <c r="N796"/>
      <c r="P796"/>
      <c r="Q796"/>
      <c r="R796"/>
      <c r="S796"/>
      <c r="U796"/>
    </row>
    <row r="797" spans="2:21" x14ac:dyDescent="0.15">
      <c r="B797"/>
      <c r="N797"/>
      <c r="P797"/>
      <c r="Q797"/>
      <c r="R797"/>
      <c r="S797"/>
      <c r="U797"/>
    </row>
    <row r="798" spans="2:21" x14ac:dyDescent="0.15">
      <c r="B798"/>
      <c r="N798"/>
      <c r="P798"/>
      <c r="Q798"/>
      <c r="R798"/>
      <c r="S798"/>
      <c r="U798"/>
    </row>
    <row r="799" spans="2:21" x14ac:dyDescent="0.15">
      <c r="B799"/>
      <c r="N799"/>
      <c r="P799"/>
      <c r="Q799"/>
      <c r="R799"/>
      <c r="S799"/>
      <c r="U799"/>
    </row>
    <row r="800" spans="2:21" x14ac:dyDescent="0.15">
      <c r="B800"/>
      <c r="N800"/>
      <c r="P800"/>
      <c r="Q800"/>
      <c r="R800"/>
      <c r="S800"/>
      <c r="U800"/>
    </row>
    <row r="801" spans="2:21" x14ac:dyDescent="0.15">
      <c r="B801"/>
      <c r="N801"/>
      <c r="P801"/>
      <c r="Q801"/>
      <c r="R801"/>
      <c r="S801"/>
      <c r="U801"/>
    </row>
    <row r="802" spans="2:21" x14ac:dyDescent="0.15">
      <c r="B802"/>
      <c r="N802"/>
      <c r="P802"/>
      <c r="Q802"/>
      <c r="R802"/>
      <c r="S802"/>
      <c r="U802"/>
    </row>
    <row r="803" spans="2:21" x14ac:dyDescent="0.15">
      <c r="B803"/>
      <c r="N803"/>
      <c r="P803"/>
      <c r="Q803"/>
      <c r="R803"/>
      <c r="S803"/>
      <c r="U803"/>
    </row>
    <row r="804" spans="2:21" x14ac:dyDescent="0.15">
      <c r="B804"/>
      <c r="N804"/>
      <c r="P804"/>
      <c r="Q804"/>
      <c r="R804"/>
      <c r="S804"/>
      <c r="U804"/>
    </row>
    <row r="805" spans="2:21" x14ac:dyDescent="0.15">
      <c r="B805"/>
      <c r="N805"/>
      <c r="P805"/>
      <c r="Q805"/>
      <c r="R805"/>
      <c r="S805"/>
      <c r="U805"/>
    </row>
    <row r="806" spans="2:21" x14ac:dyDescent="0.15">
      <c r="B806"/>
      <c r="N806"/>
      <c r="P806"/>
      <c r="Q806"/>
      <c r="R806"/>
      <c r="S806"/>
      <c r="U806"/>
    </row>
    <row r="807" spans="2:21" x14ac:dyDescent="0.15">
      <c r="B807"/>
      <c r="N807"/>
      <c r="P807"/>
      <c r="Q807"/>
      <c r="R807"/>
      <c r="S807"/>
      <c r="U807"/>
    </row>
    <row r="808" spans="2:21" x14ac:dyDescent="0.15">
      <c r="B808"/>
      <c r="N808"/>
      <c r="P808"/>
      <c r="Q808"/>
      <c r="R808"/>
      <c r="S808"/>
      <c r="U808"/>
    </row>
    <row r="809" spans="2:21" x14ac:dyDescent="0.15">
      <c r="B809"/>
      <c r="N809"/>
      <c r="P809"/>
      <c r="Q809"/>
      <c r="R809"/>
      <c r="S809"/>
      <c r="U809"/>
    </row>
    <row r="810" spans="2:21" x14ac:dyDescent="0.15">
      <c r="B810"/>
      <c r="N810"/>
      <c r="P810"/>
      <c r="Q810"/>
      <c r="R810"/>
      <c r="S810"/>
      <c r="U810"/>
    </row>
    <row r="811" spans="2:21" x14ac:dyDescent="0.15">
      <c r="B811"/>
      <c r="N811"/>
      <c r="P811"/>
      <c r="Q811"/>
      <c r="R811"/>
      <c r="S811"/>
      <c r="U811"/>
    </row>
    <row r="812" spans="2:21" x14ac:dyDescent="0.15">
      <c r="B812"/>
      <c r="N812"/>
      <c r="P812"/>
      <c r="Q812"/>
      <c r="R812"/>
      <c r="S812"/>
      <c r="U812"/>
    </row>
    <row r="813" spans="2:21" x14ac:dyDescent="0.15">
      <c r="B813"/>
      <c r="N813"/>
      <c r="P813"/>
      <c r="Q813"/>
      <c r="R813"/>
      <c r="S813"/>
      <c r="U813"/>
    </row>
    <row r="814" spans="2:21" x14ac:dyDescent="0.15">
      <c r="B814"/>
      <c r="N814"/>
      <c r="P814"/>
      <c r="Q814"/>
      <c r="R814"/>
      <c r="S814"/>
      <c r="U814"/>
    </row>
    <row r="815" spans="2:21" x14ac:dyDescent="0.15">
      <c r="B815"/>
      <c r="N815"/>
      <c r="P815"/>
      <c r="Q815"/>
      <c r="R815"/>
      <c r="S815"/>
      <c r="U815"/>
    </row>
    <row r="816" spans="2:21" x14ac:dyDescent="0.15">
      <c r="B816"/>
      <c r="N816"/>
      <c r="P816"/>
      <c r="Q816"/>
      <c r="R816"/>
      <c r="S816"/>
      <c r="U816"/>
    </row>
    <row r="817" spans="2:21" x14ac:dyDescent="0.15">
      <c r="B817"/>
      <c r="N817"/>
      <c r="P817"/>
      <c r="Q817"/>
      <c r="R817"/>
      <c r="S817"/>
      <c r="U817"/>
    </row>
    <row r="818" spans="2:21" x14ac:dyDescent="0.15">
      <c r="B818"/>
      <c r="N818"/>
      <c r="P818"/>
      <c r="Q818"/>
      <c r="R818"/>
      <c r="S818"/>
      <c r="U818"/>
    </row>
    <row r="819" spans="2:21" x14ac:dyDescent="0.15">
      <c r="B819"/>
      <c r="N819"/>
      <c r="P819"/>
      <c r="Q819"/>
      <c r="R819"/>
      <c r="S819"/>
      <c r="U819"/>
    </row>
    <row r="820" spans="2:21" x14ac:dyDescent="0.15">
      <c r="B820"/>
      <c r="N820"/>
      <c r="P820"/>
      <c r="Q820"/>
      <c r="R820"/>
      <c r="S820"/>
      <c r="U820"/>
    </row>
    <row r="821" spans="2:21" x14ac:dyDescent="0.15">
      <c r="B821"/>
      <c r="N821"/>
      <c r="P821"/>
      <c r="Q821"/>
      <c r="R821"/>
      <c r="S821"/>
      <c r="U821"/>
    </row>
    <row r="822" spans="2:21" x14ac:dyDescent="0.15">
      <c r="B822"/>
      <c r="N822"/>
      <c r="P822"/>
      <c r="Q822"/>
      <c r="R822"/>
      <c r="S822"/>
      <c r="U822"/>
    </row>
    <row r="823" spans="2:21" x14ac:dyDescent="0.15">
      <c r="B823"/>
      <c r="N823"/>
      <c r="P823"/>
      <c r="Q823"/>
      <c r="R823"/>
      <c r="S823"/>
      <c r="U823"/>
    </row>
    <row r="824" spans="2:21" x14ac:dyDescent="0.15">
      <c r="B824"/>
      <c r="N824"/>
      <c r="P824"/>
      <c r="Q824"/>
      <c r="R824"/>
      <c r="S824"/>
      <c r="U824"/>
    </row>
    <row r="825" spans="2:21" x14ac:dyDescent="0.15">
      <c r="B825"/>
      <c r="N825"/>
      <c r="P825"/>
      <c r="Q825"/>
      <c r="R825"/>
      <c r="S825"/>
      <c r="U825"/>
    </row>
    <row r="826" spans="2:21" x14ac:dyDescent="0.15">
      <c r="B826"/>
      <c r="N826"/>
      <c r="P826"/>
      <c r="Q826"/>
      <c r="R826"/>
      <c r="S826"/>
      <c r="U826"/>
    </row>
    <row r="827" spans="2:21" x14ac:dyDescent="0.15">
      <c r="B827"/>
      <c r="N827"/>
      <c r="P827"/>
      <c r="Q827"/>
      <c r="R827"/>
      <c r="S827"/>
      <c r="U827"/>
    </row>
    <row r="828" spans="2:21" x14ac:dyDescent="0.15">
      <c r="B828"/>
      <c r="N828"/>
      <c r="P828"/>
      <c r="Q828"/>
      <c r="R828"/>
      <c r="S828"/>
      <c r="U828"/>
    </row>
    <row r="829" spans="2:21" x14ac:dyDescent="0.15">
      <c r="B829"/>
      <c r="N829"/>
      <c r="P829"/>
      <c r="Q829"/>
      <c r="R829"/>
      <c r="S829"/>
      <c r="U829"/>
    </row>
    <row r="830" spans="2:21" x14ac:dyDescent="0.15">
      <c r="B830"/>
      <c r="N830"/>
      <c r="P830"/>
      <c r="Q830"/>
      <c r="R830"/>
      <c r="S830"/>
      <c r="U830"/>
    </row>
    <row r="831" spans="2:21" x14ac:dyDescent="0.15">
      <c r="B831"/>
      <c r="N831"/>
      <c r="P831"/>
      <c r="Q831"/>
      <c r="R831"/>
      <c r="S831"/>
      <c r="U831"/>
    </row>
    <row r="832" spans="2:21" x14ac:dyDescent="0.15">
      <c r="B832"/>
      <c r="N832"/>
      <c r="P832"/>
      <c r="Q832"/>
      <c r="R832"/>
      <c r="S832"/>
      <c r="U832"/>
    </row>
    <row r="833" spans="2:21" x14ac:dyDescent="0.15">
      <c r="B833"/>
      <c r="N833"/>
      <c r="P833"/>
      <c r="Q833"/>
      <c r="R833"/>
      <c r="S833"/>
      <c r="U833"/>
    </row>
    <row r="834" spans="2:21" x14ac:dyDescent="0.15">
      <c r="B834"/>
      <c r="N834"/>
      <c r="P834"/>
      <c r="Q834"/>
      <c r="R834"/>
      <c r="S834"/>
      <c r="U834"/>
    </row>
    <row r="835" spans="2:21" x14ac:dyDescent="0.15">
      <c r="B835"/>
      <c r="N835"/>
      <c r="P835"/>
      <c r="Q835"/>
      <c r="R835"/>
      <c r="S835"/>
      <c r="U835"/>
    </row>
    <row r="836" spans="2:21" x14ac:dyDescent="0.15">
      <c r="B836"/>
      <c r="N836"/>
      <c r="P836"/>
      <c r="Q836"/>
      <c r="R836"/>
      <c r="S836"/>
      <c r="U836"/>
    </row>
    <row r="837" spans="2:21" x14ac:dyDescent="0.15">
      <c r="B837"/>
      <c r="N837"/>
      <c r="P837"/>
      <c r="Q837"/>
      <c r="R837"/>
      <c r="S837"/>
      <c r="U837"/>
    </row>
    <row r="838" spans="2:21" x14ac:dyDescent="0.15">
      <c r="B838"/>
      <c r="N838"/>
      <c r="P838"/>
      <c r="Q838"/>
      <c r="R838"/>
      <c r="S838"/>
      <c r="U838"/>
    </row>
    <row r="839" spans="2:21" x14ac:dyDescent="0.15">
      <c r="B839"/>
      <c r="N839"/>
      <c r="P839"/>
      <c r="Q839"/>
      <c r="R839"/>
      <c r="S839"/>
      <c r="U839"/>
    </row>
    <row r="840" spans="2:21" x14ac:dyDescent="0.15">
      <c r="B840"/>
      <c r="N840"/>
      <c r="P840"/>
      <c r="Q840"/>
      <c r="R840"/>
      <c r="S840"/>
      <c r="U840"/>
    </row>
    <row r="841" spans="2:21" x14ac:dyDescent="0.15">
      <c r="B841"/>
      <c r="N841"/>
      <c r="P841"/>
      <c r="Q841"/>
      <c r="R841"/>
      <c r="S841"/>
      <c r="U841"/>
    </row>
    <row r="842" spans="2:21" x14ac:dyDescent="0.15">
      <c r="B842"/>
      <c r="N842"/>
      <c r="P842"/>
      <c r="Q842"/>
      <c r="R842"/>
      <c r="S842"/>
      <c r="U842"/>
    </row>
    <row r="843" spans="2:21" x14ac:dyDescent="0.15">
      <c r="B843"/>
      <c r="N843"/>
      <c r="P843"/>
      <c r="Q843"/>
      <c r="R843"/>
      <c r="S843"/>
      <c r="U843"/>
    </row>
    <row r="844" spans="2:21" x14ac:dyDescent="0.15">
      <c r="B844"/>
      <c r="N844"/>
      <c r="P844"/>
      <c r="Q844"/>
      <c r="R844"/>
      <c r="S844"/>
      <c r="U844"/>
    </row>
    <row r="845" spans="2:21" x14ac:dyDescent="0.15">
      <c r="B845"/>
      <c r="N845"/>
      <c r="P845"/>
      <c r="Q845"/>
      <c r="R845"/>
      <c r="S845"/>
      <c r="U845"/>
    </row>
    <row r="846" spans="2:21" x14ac:dyDescent="0.15">
      <c r="B846"/>
      <c r="N846"/>
      <c r="P846"/>
      <c r="Q846"/>
      <c r="R846"/>
      <c r="S846"/>
      <c r="U846"/>
    </row>
    <row r="847" spans="2:21" x14ac:dyDescent="0.15">
      <c r="B847"/>
      <c r="N847"/>
      <c r="P847"/>
      <c r="Q847"/>
      <c r="R847"/>
      <c r="S847"/>
      <c r="U847"/>
    </row>
    <row r="848" spans="2:21" x14ac:dyDescent="0.15">
      <c r="B848"/>
      <c r="N848"/>
      <c r="P848"/>
      <c r="Q848"/>
      <c r="R848"/>
      <c r="S848"/>
      <c r="U848"/>
    </row>
    <row r="849" spans="2:21" x14ac:dyDescent="0.15">
      <c r="B849"/>
      <c r="N849"/>
      <c r="P849"/>
      <c r="Q849"/>
      <c r="R849"/>
      <c r="S849"/>
      <c r="U849"/>
    </row>
    <row r="850" spans="2:21" x14ac:dyDescent="0.15">
      <c r="B850"/>
      <c r="N850"/>
      <c r="P850"/>
      <c r="Q850"/>
      <c r="R850"/>
      <c r="S850"/>
      <c r="U850"/>
    </row>
    <row r="851" spans="2:21" x14ac:dyDescent="0.15">
      <c r="B851"/>
      <c r="N851"/>
      <c r="P851"/>
      <c r="Q851"/>
      <c r="R851"/>
      <c r="S851"/>
      <c r="U851"/>
    </row>
    <row r="852" spans="2:21" x14ac:dyDescent="0.15">
      <c r="B852"/>
      <c r="N852"/>
      <c r="P852"/>
      <c r="Q852"/>
      <c r="R852"/>
      <c r="S852"/>
      <c r="U852"/>
    </row>
    <row r="853" spans="2:21" x14ac:dyDescent="0.15">
      <c r="B853"/>
      <c r="N853"/>
      <c r="P853"/>
      <c r="Q853"/>
      <c r="R853"/>
      <c r="S853"/>
      <c r="U853"/>
    </row>
    <row r="854" spans="2:21" x14ac:dyDescent="0.15">
      <c r="B854"/>
      <c r="N854"/>
      <c r="P854"/>
      <c r="Q854"/>
      <c r="R854"/>
      <c r="S854"/>
      <c r="U854"/>
    </row>
    <row r="855" spans="2:21" x14ac:dyDescent="0.15">
      <c r="B855"/>
      <c r="N855"/>
      <c r="P855"/>
      <c r="Q855"/>
      <c r="R855"/>
      <c r="S855"/>
      <c r="U855"/>
    </row>
    <row r="856" spans="2:21" x14ac:dyDescent="0.15">
      <c r="B856"/>
      <c r="N856"/>
      <c r="P856"/>
      <c r="Q856"/>
      <c r="R856"/>
      <c r="S856"/>
      <c r="U856"/>
    </row>
    <row r="857" spans="2:21" x14ac:dyDescent="0.15">
      <c r="B857"/>
      <c r="N857"/>
      <c r="P857"/>
      <c r="Q857"/>
      <c r="R857"/>
      <c r="S857"/>
      <c r="U857"/>
    </row>
    <row r="858" spans="2:21" x14ac:dyDescent="0.15">
      <c r="B858"/>
      <c r="N858"/>
      <c r="P858"/>
      <c r="Q858"/>
      <c r="R858"/>
      <c r="S858"/>
      <c r="U858"/>
    </row>
    <row r="859" spans="2:21" x14ac:dyDescent="0.15">
      <c r="B859"/>
      <c r="N859"/>
      <c r="P859"/>
      <c r="Q859"/>
      <c r="R859"/>
      <c r="S859"/>
      <c r="U859"/>
    </row>
    <row r="860" spans="2:21" x14ac:dyDescent="0.15">
      <c r="B860"/>
      <c r="N860"/>
      <c r="P860"/>
      <c r="Q860"/>
      <c r="R860"/>
      <c r="S860"/>
      <c r="U860"/>
    </row>
    <row r="861" spans="2:21" x14ac:dyDescent="0.15">
      <c r="B861"/>
      <c r="N861"/>
      <c r="P861"/>
      <c r="Q861"/>
      <c r="R861"/>
      <c r="S861"/>
      <c r="U861"/>
    </row>
    <row r="862" spans="2:21" x14ac:dyDescent="0.15">
      <c r="B862"/>
      <c r="N862"/>
      <c r="P862"/>
      <c r="Q862"/>
      <c r="R862"/>
      <c r="S862"/>
      <c r="U862"/>
    </row>
    <row r="863" spans="2:21" x14ac:dyDescent="0.15">
      <c r="B863"/>
      <c r="N863"/>
      <c r="P863"/>
      <c r="Q863"/>
      <c r="R863"/>
      <c r="S863"/>
      <c r="U863"/>
    </row>
    <row r="864" spans="2:21" x14ac:dyDescent="0.15">
      <c r="B864"/>
      <c r="N864"/>
      <c r="P864"/>
      <c r="Q864"/>
      <c r="R864"/>
      <c r="S864"/>
      <c r="U864"/>
    </row>
    <row r="865" spans="2:21" x14ac:dyDescent="0.15">
      <c r="B865"/>
      <c r="N865"/>
      <c r="P865"/>
      <c r="Q865"/>
      <c r="R865"/>
      <c r="S865"/>
      <c r="U865"/>
    </row>
    <row r="866" spans="2:21" x14ac:dyDescent="0.15">
      <c r="B866"/>
      <c r="N866"/>
      <c r="P866"/>
      <c r="Q866"/>
      <c r="R866"/>
      <c r="S866"/>
      <c r="U866"/>
    </row>
    <row r="867" spans="2:21" x14ac:dyDescent="0.15">
      <c r="B867"/>
      <c r="N867"/>
      <c r="P867"/>
      <c r="Q867"/>
      <c r="R867"/>
      <c r="S867"/>
      <c r="U867"/>
    </row>
    <row r="868" spans="2:21" x14ac:dyDescent="0.15">
      <c r="B868"/>
      <c r="N868"/>
      <c r="P868"/>
      <c r="Q868"/>
      <c r="R868"/>
      <c r="S868"/>
      <c r="U868"/>
    </row>
    <row r="869" spans="2:21" x14ac:dyDescent="0.15">
      <c r="B869"/>
      <c r="N869"/>
      <c r="P869"/>
      <c r="Q869"/>
      <c r="R869"/>
      <c r="S869"/>
      <c r="U869"/>
    </row>
    <row r="870" spans="2:21" x14ac:dyDescent="0.15">
      <c r="B870"/>
      <c r="N870"/>
      <c r="P870"/>
      <c r="Q870"/>
      <c r="R870"/>
      <c r="S870"/>
      <c r="U870"/>
    </row>
    <row r="871" spans="2:21" x14ac:dyDescent="0.15">
      <c r="B871"/>
      <c r="N871"/>
      <c r="P871"/>
      <c r="Q871"/>
      <c r="R871"/>
      <c r="S871"/>
      <c r="U871"/>
    </row>
    <row r="872" spans="2:21" x14ac:dyDescent="0.15">
      <c r="B872"/>
      <c r="N872"/>
      <c r="P872"/>
      <c r="Q872"/>
      <c r="R872"/>
      <c r="S872"/>
      <c r="U872"/>
    </row>
    <row r="873" spans="2:21" x14ac:dyDescent="0.15">
      <c r="B873"/>
      <c r="N873"/>
      <c r="P873"/>
      <c r="Q873"/>
      <c r="R873"/>
      <c r="S873"/>
      <c r="U873"/>
    </row>
    <row r="874" spans="2:21" x14ac:dyDescent="0.15">
      <c r="B874"/>
      <c r="N874"/>
      <c r="P874"/>
      <c r="Q874"/>
      <c r="R874"/>
      <c r="S874"/>
      <c r="U874"/>
    </row>
    <row r="875" spans="2:21" x14ac:dyDescent="0.15">
      <c r="B875"/>
      <c r="N875"/>
      <c r="P875"/>
      <c r="Q875"/>
      <c r="R875"/>
      <c r="S875"/>
      <c r="U875"/>
    </row>
    <row r="876" spans="2:21" x14ac:dyDescent="0.15">
      <c r="B876"/>
      <c r="N876"/>
      <c r="P876"/>
      <c r="Q876"/>
      <c r="R876"/>
      <c r="S876"/>
      <c r="U876"/>
    </row>
    <row r="877" spans="2:21" x14ac:dyDescent="0.15">
      <c r="B877"/>
      <c r="N877"/>
      <c r="P877"/>
      <c r="Q877"/>
      <c r="R877"/>
      <c r="S877"/>
      <c r="U877"/>
    </row>
    <row r="878" spans="2:21" x14ac:dyDescent="0.15">
      <c r="B878"/>
      <c r="N878"/>
      <c r="P878"/>
      <c r="Q878"/>
      <c r="R878"/>
      <c r="S878"/>
      <c r="U878"/>
    </row>
    <row r="879" spans="2:21" x14ac:dyDescent="0.15">
      <c r="B879"/>
      <c r="N879"/>
      <c r="P879"/>
      <c r="Q879"/>
      <c r="R879"/>
      <c r="S879"/>
      <c r="U879"/>
    </row>
    <row r="880" spans="2:21" x14ac:dyDescent="0.15">
      <c r="B880"/>
      <c r="N880"/>
      <c r="P880"/>
      <c r="Q880"/>
      <c r="R880"/>
      <c r="S880"/>
      <c r="U880"/>
    </row>
    <row r="881" spans="2:21" x14ac:dyDescent="0.15">
      <c r="B881"/>
      <c r="N881"/>
      <c r="P881"/>
      <c r="Q881"/>
      <c r="R881"/>
      <c r="S881"/>
      <c r="U881"/>
    </row>
    <row r="882" spans="2:21" x14ac:dyDescent="0.15">
      <c r="B882"/>
      <c r="N882"/>
      <c r="P882"/>
      <c r="Q882"/>
      <c r="R882"/>
      <c r="S882"/>
      <c r="U882"/>
    </row>
    <row r="883" spans="2:21" x14ac:dyDescent="0.15">
      <c r="B883"/>
      <c r="N883"/>
      <c r="P883"/>
      <c r="Q883"/>
      <c r="R883"/>
      <c r="S883"/>
      <c r="U883"/>
    </row>
    <row r="884" spans="2:21" x14ac:dyDescent="0.15">
      <c r="B884"/>
      <c r="N884"/>
      <c r="P884"/>
      <c r="Q884"/>
      <c r="R884"/>
      <c r="S884"/>
      <c r="U884"/>
    </row>
    <row r="885" spans="2:21" x14ac:dyDescent="0.15">
      <c r="B885"/>
      <c r="N885"/>
      <c r="P885"/>
      <c r="Q885"/>
      <c r="R885"/>
      <c r="S885"/>
      <c r="U885"/>
    </row>
    <row r="886" spans="2:21" x14ac:dyDescent="0.15">
      <c r="B886"/>
      <c r="N886"/>
      <c r="P886"/>
      <c r="Q886"/>
      <c r="R886"/>
      <c r="S886"/>
      <c r="U886"/>
    </row>
    <row r="887" spans="2:21" x14ac:dyDescent="0.15">
      <c r="B887"/>
      <c r="N887"/>
      <c r="P887"/>
      <c r="Q887"/>
      <c r="R887"/>
      <c r="S887"/>
      <c r="U887"/>
    </row>
    <row r="888" spans="2:21" x14ac:dyDescent="0.15">
      <c r="B888"/>
      <c r="N888"/>
      <c r="P888"/>
      <c r="Q888"/>
      <c r="R888"/>
      <c r="S888"/>
      <c r="U888"/>
    </row>
    <row r="889" spans="2:21" x14ac:dyDescent="0.15">
      <c r="B889"/>
      <c r="N889"/>
      <c r="P889"/>
      <c r="Q889"/>
      <c r="R889"/>
      <c r="S889"/>
      <c r="U889"/>
    </row>
    <row r="890" spans="2:21" x14ac:dyDescent="0.15">
      <c r="B890"/>
      <c r="N890"/>
      <c r="P890"/>
      <c r="Q890"/>
      <c r="R890"/>
      <c r="S890"/>
      <c r="U890"/>
    </row>
    <row r="891" spans="2:21" x14ac:dyDescent="0.15">
      <c r="B891"/>
      <c r="N891"/>
      <c r="P891"/>
      <c r="Q891"/>
      <c r="R891"/>
      <c r="S891"/>
      <c r="U891"/>
    </row>
    <row r="892" spans="2:21" x14ac:dyDescent="0.15">
      <c r="B892"/>
      <c r="N892"/>
      <c r="P892"/>
      <c r="Q892"/>
      <c r="R892"/>
      <c r="S892"/>
      <c r="U892"/>
    </row>
    <row r="893" spans="2:21" x14ac:dyDescent="0.15">
      <c r="B893"/>
      <c r="N893"/>
      <c r="P893"/>
      <c r="Q893"/>
      <c r="R893"/>
      <c r="S893"/>
      <c r="U893"/>
    </row>
    <row r="894" spans="2:21" x14ac:dyDescent="0.15">
      <c r="B894"/>
      <c r="N894"/>
      <c r="P894"/>
      <c r="Q894"/>
      <c r="R894"/>
      <c r="S894"/>
      <c r="U894"/>
    </row>
    <row r="895" spans="2:21" x14ac:dyDescent="0.15">
      <c r="B895"/>
      <c r="N895"/>
      <c r="P895"/>
      <c r="Q895"/>
      <c r="R895"/>
      <c r="S895"/>
      <c r="U895"/>
    </row>
    <row r="896" spans="2:21" x14ac:dyDescent="0.15">
      <c r="B896"/>
      <c r="N896"/>
      <c r="P896"/>
      <c r="Q896"/>
      <c r="R896"/>
      <c r="S896"/>
      <c r="U896"/>
    </row>
    <row r="897" spans="2:21" x14ac:dyDescent="0.15">
      <c r="B897"/>
      <c r="N897"/>
      <c r="P897"/>
      <c r="Q897"/>
      <c r="R897"/>
      <c r="S897"/>
      <c r="U897"/>
    </row>
    <row r="898" spans="2:21" x14ac:dyDescent="0.15">
      <c r="B898"/>
      <c r="N898"/>
      <c r="P898"/>
      <c r="Q898"/>
      <c r="R898"/>
      <c r="S898"/>
      <c r="U898"/>
    </row>
    <row r="899" spans="2:21" x14ac:dyDescent="0.15">
      <c r="B899"/>
      <c r="N899"/>
      <c r="P899"/>
      <c r="Q899"/>
      <c r="R899"/>
      <c r="S899"/>
      <c r="U899"/>
    </row>
    <row r="900" spans="2:21" x14ac:dyDescent="0.15">
      <c r="B900"/>
      <c r="N900"/>
      <c r="P900"/>
      <c r="Q900"/>
      <c r="R900"/>
      <c r="S900"/>
      <c r="U900"/>
    </row>
    <row r="901" spans="2:21" x14ac:dyDescent="0.15">
      <c r="B901"/>
      <c r="N901"/>
      <c r="P901"/>
      <c r="Q901"/>
      <c r="R901"/>
      <c r="S901"/>
      <c r="U901"/>
    </row>
    <row r="902" spans="2:21" x14ac:dyDescent="0.15">
      <c r="B902"/>
      <c r="N902"/>
      <c r="P902"/>
      <c r="Q902"/>
      <c r="R902"/>
      <c r="S902"/>
      <c r="U902"/>
    </row>
    <row r="903" spans="2:21" x14ac:dyDescent="0.15">
      <c r="B903"/>
      <c r="N903"/>
      <c r="P903"/>
      <c r="Q903"/>
      <c r="R903"/>
      <c r="S903"/>
      <c r="U903"/>
    </row>
    <row r="904" spans="2:21" x14ac:dyDescent="0.15">
      <c r="B904"/>
      <c r="N904"/>
      <c r="P904"/>
      <c r="Q904"/>
      <c r="R904"/>
      <c r="S904"/>
      <c r="U904"/>
    </row>
    <row r="905" spans="2:21" x14ac:dyDescent="0.15">
      <c r="B905"/>
      <c r="N905"/>
      <c r="P905"/>
      <c r="Q905"/>
      <c r="R905"/>
      <c r="S905"/>
      <c r="U905"/>
    </row>
    <row r="906" spans="2:21" x14ac:dyDescent="0.15">
      <c r="B906"/>
      <c r="N906"/>
      <c r="P906"/>
      <c r="Q906"/>
      <c r="R906"/>
      <c r="S906"/>
      <c r="U906"/>
    </row>
    <row r="907" spans="2:21" x14ac:dyDescent="0.15">
      <c r="B907"/>
      <c r="N907"/>
      <c r="P907"/>
      <c r="Q907"/>
      <c r="R907"/>
      <c r="S907"/>
      <c r="U907"/>
    </row>
    <row r="908" spans="2:21" x14ac:dyDescent="0.15">
      <c r="B908"/>
      <c r="N908"/>
      <c r="P908"/>
      <c r="Q908"/>
      <c r="R908"/>
      <c r="S908"/>
      <c r="U908"/>
    </row>
    <row r="909" spans="2:21" x14ac:dyDescent="0.15">
      <c r="B909"/>
      <c r="N909"/>
      <c r="P909"/>
      <c r="Q909"/>
      <c r="R909"/>
      <c r="S909"/>
      <c r="U909"/>
    </row>
    <row r="910" spans="2:21" x14ac:dyDescent="0.15">
      <c r="B910"/>
      <c r="N910"/>
      <c r="P910"/>
      <c r="Q910"/>
      <c r="R910"/>
      <c r="S910"/>
      <c r="U910"/>
    </row>
    <row r="911" spans="2:21" x14ac:dyDescent="0.15">
      <c r="B911"/>
      <c r="N911"/>
      <c r="P911"/>
      <c r="Q911"/>
      <c r="R911"/>
      <c r="S911"/>
      <c r="U911"/>
    </row>
    <row r="912" spans="2:21" x14ac:dyDescent="0.15">
      <c r="B912"/>
      <c r="N912"/>
      <c r="P912"/>
      <c r="Q912"/>
      <c r="R912"/>
      <c r="S912"/>
      <c r="U912"/>
    </row>
    <row r="913" spans="2:21" x14ac:dyDescent="0.15">
      <c r="B913"/>
      <c r="N913"/>
      <c r="P913"/>
      <c r="Q913"/>
      <c r="R913"/>
      <c r="S913"/>
      <c r="U913"/>
    </row>
    <row r="914" spans="2:21" x14ac:dyDescent="0.15">
      <c r="B914"/>
      <c r="N914"/>
      <c r="P914"/>
      <c r="Q914"/>
      <c r="R914"/>
      <c r="S914"/>
      <c r="U914"/>
    </row>
    <row r="915" spans="2:21" x14ac:dyDescent="0.15">
      <c r="B915"/>
      <c r="N915"/>
      <c r="P915"/>
      <c r="Q915"/>
      <c r="R915"/>
      <c r="S915"/>
      <c r="U915"/>
    </row>
    <row r="916" spans="2:21" x14ac:dyDescent="0.15">
      <c r="B916"/>
      <c r="N916"/>
      <c r="P916"/>
      <c r="Q916"/>
      <c r="R916"/>
      <c r="S916"/>
      <c r="U916"/>
    </row>
    <row r="917" spans="2:21" x14ac:dyDescent="0.15">
      <c r="B917"/>
      <c r="N917"/>
      <c r="P917"/>
      <c r="Q917"/>
      <c r="R917"/>
      <c r="S917"/>
      <c r="U917"/>
    </row>
    <row r="918" spans="2:21" x14ac:dyDescent="0.15">
      <c r="B918"/>
      <c r="N918"/>
      <c r="P918"/>
      <c r="Q918"/>
      <c r="R918"/>
      <c r="S918"/>
      <c r="U918"/>
    </row>
    <row r="919" spans="2:21" x14ac:dyDescent="0.15">
      <c r="B919"/>
      <c r="N919"/>
      <c r="P919"/>
      <c r="Q919"/>
      <c r="R919"/>
      <c r="S919"/>
      <c r="U919"/>
    </row>
    <row r="920" spans="2:21" x14ac:dyDescent="0.15">
      <c r="B920"/>
      <c r="N920"/>
      <c r="P920"/>
      <c r="Q920"/>
      <c r="R920"/>
      <c r="S920"/>
      <c r="U920"/>
    </row>
    <row r="921" spans="2:21" x14ac:dyDescent="0.15">
      <c r="B921"/>
      <c r="N921"/>
      <c r="P921"/>
      <c r="Q921"/>
      <c r="R921"/>
      <c r="S921"/>
      <c r="U921"/>
    </row>
    <row r="922" spans="2:21" x14ac:dyDescent="0.15">
      <c r="B922"/>
      <c r="N922"/>
      <c r="P922"/>
      <c r="Q922"/>
      <c r="R922"/>
      <c r="S922"/>
      <c r="U922"/>
    </row>
    <row r="923" spans="2:21" x14ac:dyDescent="0.15">
      <c r="B923"/>
      <c r="N923"/>
      <c r="P923"/>
      <c r="Q923"/>
      <c r="R923"/>
      <c r="S923"/>
      <c r="U923"/>
    </row>
    <row r="924" spans="2:21" x14ac:dyDescent="0.15">
      <c r="B924"/>
      <c r="N924"/>
      <c r="P924"/>
      <c r="Q924"/>
      <c r="R924"/>
      <c r="S924"/>
      <c r="U924"/>
    </row>
    <row r="925" spans="2:21" x14ac:dyDescent="0.15">
      <c r="B925"/>
      <c r="N925"/>
      <c r="P925"/>
      <c r="Q925"/>
      <c r="R925"/>
      <c r="S925"/>
      <c r="U925"/>
    </row>
    <row r="926" spans="2:21" x14ac:dyDescent="0.15">
      <c r="B926"/>
      <c r="N926"/>
      <c r="P926"/>
      <c r="Q926"/>
      <c r="R926"/>
      <c r="S926"/>
      <c r="U926"/>
    </row>
    <row r="927" spans="2:21" x14ac:dyDescent="0.15">
      <c r="B927"/>
      <c r="N927"/>
      <c r="P927"/>
      <c r="Q927"/>
      <c r="R927"/>
      <c r="S927"/>
      <c r="U927"/>
    </row>
    <row r="928" spans="2:21" x14ac:dyDescent="0.15">
      <c r="B928"/>
      <c r="N928"/>
      <c r="P928"/>
      <c r="Q928"/>
      <c r="R928"/>
      <c r="S928"/>
      <c r="U928"/>
    </row>
    <row r="929" spans="2:21" x14ac:dyDescent="0.15">
      <c r="B929"/>
      <c r="N929"/>
      <c r="P929"/>
      <c r="Q929"/>
      <c r="R929"/>
      <c r="S929"/>
      <c r="U929"/>
    </row>
    <row r="930" spans="2:21" x14ac:dyDescent="0.15">
      <c r="B930"/>
      <c r="N930"/>
      <c r="P930"/>
      <c r="Q930"/>
      <c r="R930"/>
      <c r="S930"/>
      <c r="U930"/>
    </row>
    <row r="931" spans="2:21" x14ac:dyDescent="0.15">
      <c r="B931"/>
      <c r="N931"/>
      <c r="P931"/>
      <c r="Q931"/>
      <c r="R931"/>
      <c r="S931"/>
      <c r="U931"/>
    </row>
    <row r="932" spans="2:21" x14ac:dyDescent="0.15">
      <c r="B932"/>
      <c r="N932"/>
      <c r="P932"/>
      <c r="Q932"/>
      <c r="R932"/>
      <c r="S932"/>
      <c r="U932"/>
    </row>
    <row r="933" spans="2:21" x14ac:dyDescent="0.15">
      <c r="B933"/>
      <c r="N933"/>
      <c r="P933"/>
      <c r="Q933"/>
      <c r="R933"/>
      <c r="S933"/>
      <c r="U933"/>
    </row>
    <row r="934" spans="2:21" x14ac:dyDescent="0.15">
      <c r="B934"/>
      <c r="N934"/>
      <c r="P934"/>
      <c r="Q934"/>
      <c r="R934"/>
      <c r="S934"/>
      <c r="U934"/>
    </row>
    <row r="935" spans="2:21" x14ac:dyDescent="0.15">
      <c r="B935"/>
      <c r="N935"/>
      <c r="P935"/>
      <c r="Q935"/>
      <c r="R935"/>
      <c r="S935"/>
      <c r="U935"/>
    </row>
    <row r="936" spans="2:21" x14ac:dyDescent="0.15">
      <c r="B936"/>
      <c r="N936"/>
      <c r="P936"/>
      <c r="Q936"/>
      <c r="R936"/>
      <c r="S936"/>
      <c r="U936"/>
    </row>
    <row r="937" spans="2:21" x14ac:dyDescent="0.15">
      <c r="B937"/>
      <c r="N937"/>
      <c r="P937"/>
      <c r="Q937"/>
      <c r="R937"/>
      <c r="S937"/>
      <c r="U937"/>
    </row>
    <row r="938" spans="2:21" x14ac:dyDescent="0.15">
      <c r="B938"/>
      <c r="N938"/>
      <c r="P938"/>
      <c r="Q938"/>
      <c r="R938"/>
      <c r="S938"/>
      <c r="U938"/>
    </row>
    <row r="939" spans="2:21" x14ac:dyDescent="0.15">
      <c r="B939"/>
      <c r="N939"/>
      <c r="P939"/>
      <c r="Q939"/>
      <c r="R939"/>
      <c r="S939"/>
      <c r="U939"/>
    </row>
    <row r="940" spans="2:21" x14ac:dyDescent="0.15">
      <c r="B940"/>
      <c r="N940"/>
      <c r="P940"/>
      <c r="Q940"/>
      <c r="R940"/>
      <c r="S940"/>
      <c r="U940"/>
    </row>
    <row r="941" spans="2:21" x14ac:dyDescent="0.15">
      <c r="B941"/>
      <c r="N941"/>
      <c r="P941"/>
      <c r="Q941"/>
      <c r="R941"/>
      <c r="S941"/>
      <c r="U941"/>
    </row>
    <row r="942" spans="2:21" x14ac:dyDescent="0.15">
      <c r="B942"/>
      <c r="N942"/>
      <c r="P942"/>
      <c r="Q942"/>
      <c r="R942"/>
      <c r="S942"/>
      <c r="U942"/>
    </row>
    <row r="943" spans="2:21" x14ac:dyDescent="0.15">
      <c r="B943"/>
      <c r="N943"/>
      <c r="P943"/>
      <c r="Q943"/>
      <c r="R943"/>
      <c r="S943"/>
      <c r="U943"/>
    </row>
    <row r="944" spans="2:21" x14ac:dyDescent="0.15">
      <c r="B944"/>
      <c r="N944"/>
      <c r="P944"/>
      <c r="Q944"/>
      <c r="R944"/>
      <c r="S944"/>
      <c r="U944"/>
    </row>
    <row r="945" spans="2:21" x14ac:dyDescent="0.15">
      <c r="B945"/>
      <c r="N945"/>
      <c r="P945"/>
      <c r="Q945"/>
      <c r="R945"/>
      <c r="S945"/>
      <c r="U945"/>
    </row>
    <row r="946" spans="2:21" x14ac:dyDescent="0.15">
      <c r="B946"/>
      <c r="N946"/>
      <c r="P946"/>
      <c r="Q946"/>
      <c r="R946"/>
      <c r="S946"/>
      <c r="U946"/>
    </row>
    <row r="947" spans="2:21" x14ac:dyDescent="0.15">
      <c r="B947"/>
      <c r="N947"/>
      <c r="P947"/>
      <c r="Q947"/>
      <c r="R947"/>
      <c r="S947"/>
      <c r="U947"/>
    </row>
    <row r="948" spans="2:21" x14ac:dyDescent="0.15">
      <c r="B948"/>
      <c r="N948"/>
      <c r="P948"/>
      <c r="Q948"/>
      <c r="R948"/>
      <c r="S948"/>
      <c r="U948"/>
    </row>
    <row r="949" spans="2:21" x14ac:dyDescent="0.15">
      <c r="B949"/>
      <c r="N949"/>
      <c r="P949"/>
      <c r="Q949"/>
      <c r="R949"/>
      <c r="S949"/>
      <c r="U949"/>
    </row>
    <row r="950" spans="2:21" x14ac:dyDescent="0.15">
      <c r="B950"/>
      <c r="N950"/>
      <c r="P950"/>
      <c r="Q950"/>
      <c r="R950"/>
      <c r="S950"/>
      <c r="U950"/>
    </row>
    <row r="951" spans="2:21" x14ac:dyDescent="0.15">
      <c r="B951"/>
      <c r="N951"/>
      <c r="P951"/>
      <c r="Q951"/>
      <c r="R951"/>
      <c r="S951"/>
      <c r="U951"/>
    </row>
    <row r="952" spans="2:21" x14ac:dyDescent="0.15">
      <c r="B952"/>
      <c r="N952"/>
      <c r="P952"/>
      <c r="Q952"/>
      <c r="R952"/>
      <c r="S952"/>
      <c r="U952"/>
    </row>
    <row r="953" spans="2:21" x14ac:dyDescent="0.15">
      <c r="B953"/>
      <c r="N953"/>
      <c r="P953"/>
      <c r="Q953"/>
      <c r="R953"/>
      <c r="S953"/>
      <c r="U953"/>
    </row>
    <row r="954" spans="2:21" x14ac:dyDescent="0.15">
      <c r="B954"/>
      <c r="N954"/>
      <c r="P954"/>
      <c r="Q954"/>
      <c r="R954"/>
      <c r="S954"/>
      <c r="U954"/>
    </row>
    <row r="955" spans="2:21" x14ac:dyDescent="0.15">
      <c r="B955"/>
      <c r="N955"/>
      <c r="P955"/>
      <c r="Q955"/>
      <c r="R955"/>
      <c r="S955"/>
      <c r="U955"/>
    </row>
    <row r="956" spans="2:21" x14ac:dyDescent="0.15">
      <c r="B956"/>
      <c r="N956"/>
      <c r="P956"/>
      <c r="Q956"/>
      <c r="R956"/>
      <c r="S956"/>
      <c r="U956"/>
    </row>
    <row r="957" spans="2:21" x14ac:dyDescent="0.15">
      <c r="B957"/>
      <c r="N957"/>
      <c r="P957"/>
      <c r="Q957"/>
      <c r="R957"/>
      <c r="S957"/>
      <c r="U957"/>
    </row>
    <row r="958" spans="2:21" x14ac:dyDescent="0.15">
      <c r="B958"/>
      <c r="N958"/>
      <c r="P958"/>
      <c r="Q958"/>
      <c r="R958"/>
      <c r="S958"/>
      <c r="U958"/>
    </row>
    <row r="959" spans="2:21" x14ac:dyDescent="0.15">
      <c r="B959"/>
      <c r="N959"/>
      <c r="P959"/>
      <c r="Q959"/>
      <c r="R959"/>
      <c r="S959"/>
      <c r="U959"/>
    </row>
    <row r="960" spans="2:21" x14ac:dyDescent="0.15">
      <c r="B960"/>
      <c r="N960"/>
      <c r="P960"/>
      <c r="Q960"/>
      <c r="R960"/>
      <c r="S960"/>
      <c r="U960"/>
    </row>
    <row r="961" spans="2:21" x14ac:dyDescent="0.15">
      <c r="B961"/>
      <c r="N961"/>
      <c r="P961"/>
      <c r="Q961"/>
      <c r="R961"/>
      <c r="S961"/>
      <c r="U961"/>
    </row>
    <row r="962" spans="2:21" x14ac:dyDescent="0.15">
      <c r="B962"/>
      <c r="N962"/>
      <c r="P962"/>
      <c r="Q962"/>
      <c r="R962"/>
      <c r="S962"/>
      <c r="U962"/>
    </row>
    <row r="963" spans="2:21" x14ac:dyDescent="0.15">
      <c r="B963"/>
      <c r="N963"/>
      <c r="P963"/>
      <c r="Q963"/>
      <c r="R963"/>
      <c r="S963"/>
      <c r="U963"/>
    </row>
    <row r="964" spans="2:21" x14ac:dyDescent="0.15">
      <c r="B964"/>
      <c r="N964"/>
      <c r="P964"/>
      <c r="Q964"/>
      <c r="R964"/>
      <c r="S964"/>
      <c r="U964"/>
    </row>
    <row r="965" spans="2:21" x14ac:dyDescent="0.15">
      <c r="B965"/>
      <c r="N965"/>
      <c r="P965"/>
      <c r="Q965"/>
      <c r="R965"/>
      <c r="S965"/>
      <c r="U965"/>
    </row>
    <row r="966" spans="2:21" x14ac:dyDescent="0.15">
      <c r="B966"/>
      <c r="N966"/>
      <c r="P966"/>
      <c r="Q966"/>
      <c r="R966"/>
      <c r="S966"/>
      <c r="U966"/>
    </row>
    <row r="967" spans="2:21" x14ac:dyDescent="0.15">
      <c r="B967"/>
      <c r="N967"/>
      <c r="P967"/>
      <c r="Q967"/>
      <c r="R967"/>
      <c r="S967"/>
      <c r="U967"/>
    </row>
    <row r="968" spans="2:21" x14ac:dyDescent="0.15">
      <c r="B968"/>
      <c r="N968"/>
      <c r="P968"/>
      <c r="Q968"/>
      <c r="R968"/>
      <c r="S968"/>
      <c r="U968"/>
    </row>
    <row r="969" spans="2:21" x14ac:dyDescent="0.15">
      <c r="B969"/>
      <c r="N969"/>
      <c r="P969"/>
      <c r="Q969"/>
      <c r="R969"/>
      <c r="S969"/>
      <c r="U969"/>
    </row>
    <row r="970" spans="2:21" x14ac:dyDescent="0.15">
      <c r="B970"/>
      <c r="N970"/>
      <c r="P970"/>
      <c r="Q970"/>
      <c r="R970"/>
      <c r="S970"/>
      <c r="U970"/>
    </row>
    <row r="971" spans="2:21" x14ac:dyDescent="0.15">
      <c r="B971"/>
      <c r="N971"/>
      <c r="P971"/>
      <c r="Q971"/>
      <c r="R971"/>
      <c r="S971"/>
      <c r="U971"/>
    </row>
    <row r="972" spans="2:21" x14ac:dyDescent="0.15">
      <c r="B972"/>
      <c r="N972"/>
      <c r="P972"/>
      <c r="Q972"/>
      <c r="R972"/>
      <c r="S972"/>
      <c r="U972"/>
    </row>
    <row r="973" spans="2:21" x14ac:dyDescent="0.15">
      <c r="B973"/>
      <c r="N973"/>
      <c r="P973"/>
      <c r="Q973"/>
      <c r="R973"/>
      <c r="S973"/>
      <c r="U973"/>
    </row>
    <row r="974" spans="2:21" x14ac:dyDescent="0.15">
      <c r="B974"/>
      <c r="N974"/>
      <c r="P974"/>
      <c r="Q974"/>
      <c r="R974"/>
      <c r="S974"/>
      <c r="U974"/>
    </row>
    <row r="975" spans="2:21" x14ac:dyDescent="0.15">
      <c r="B975"/>
      <c r="N975"/>
      <c r="P975"/>
      <c r="Q975"/>
      <c r="R975"/>
      <c r="S975"/>
      <c r="U975"/>
    </row>
    <row r="976" spans="2:21" x14ac:dyDescent="0.15">
      <c r="B976"/>
      <c r="N976"/>
      <c r="P976"/>
      <c r="Q976"/>
      <c r="R976"/>
      <c r="S976"/>
      <c r="U976"/>
    </row>
    <row r="977" spans="2:21" x14ac:dyDescent="0.15">
      <c r="B977"/>
      <c r="N977"/>
      <c r="P977"/>
      <c r="Q977"/>
      <c r="R977"/>
      <c r="S977"/>
      <c r="U977"/>
    </row>
    <row r="978" spans="2:21" x14ac:dyDescent="0.15">
      <c r="B978"/>
      <c r="N978"/>
      <c r="P978"/>
      <c r="Q978"/>
      <c r="R978"/>
      <c r="S978"/>
      <c r="U978"/>
    </row>
    <row r="979" spans="2:21" x14ac:dyDescent="0.15">
      <c r="B979"/>
      <c r="N979"/>
      <c r="P979"/>
      <c r="Q979"/>
      <c r="R979"/>
      <c r="S979"/>
      <c r="U979"/>
    </row>
    <row r="980" spans="2:21" x14ac:dyDescent="0.15">
      <c r="B980"/>
      <c r="N980"/>
      <c r="P980"/>
      <c r="Q980"/>
      <c r="R980"/>
      <c r="S980"/>
      <c r="U980"/>
    </row>
    <row r="981" spans="2:21" x14ac:dyDescent="0.15">
      <c r="B981"/>
      <c r="N981"/>
      <c r="P981"/>
      <c r="Q981"/>
      <c r="R981"/>
      <c r="S981"/>
      <c r="U981"/>
    </row>
    <row r="982" spans="2:21" x14ac:dyDescent="0.15">
      <c r="B982"/>
      <c r="N982"/>
      <c r="P982"/>
      <c r="Q982"/>
      <c r="R982"/>
      <c r="S982"/>
      <c r="U982"/>
    </row>
    <row r="983" spans="2:21" x14ac:dyDescent="0.15">
      <c r="B983"/>
      <c r="N983"/>
      <c r="P983"/>
      <c r="Q983"/>
      <c r="R983"/>
      <c r="S983"/>
      <c r="U983"/>
    </row>
    <row r="984" spans="2:21" x14ac:dyDescent="0.15">
      <c r="B984"/>
      <c r="N984"/>
      <c r="P984"/>
      <c r="Q984"/>
      <c r="R984"/>
      <c r="S984"/>
      <c r="U984"/>
    </row>
    <row r="985" spans="2:21" x14ac:dyDescent="0.15">
      <c r="B985"/>
      <c r="N985"/>
      <c r="P985"/>
      <c r="Q985"/>
      <c r="R985"/>
      <c r="S985"/>
      <c r="U985"/>
    </row>
    <row r="986" spans="2:21" x14ac:dyDescent="0.15">
      <c r="B986"/>
      <c r="N986"/>
      <c r="P986"/>
      <c r="Q986"/>
      <c r="R986"/>
      <c r="S986"/>
      <c r="U986"/>
    </row>
    <row r="987" spans="2:21" x14ac:dyDescent="0.15">
      <c r="B987"/>
      <c r="N987"/>
      <c r="P987"/>
      <c r="Q987"/>
      <c r="R987"/>
      <c r="S987"/>
      <c r="U987"/>
    </row>
    <row r="988" spans="2:21" x14ac:dyDescent="0.15">
      <c r="B988"/>
      <c r="N988"/>
      <c r="P988"/>
      <c r="Q988"/>
      <c r="R988"/>
      <c r="S988"/>
      <c r="U988"/>
    </row>
    <row r="989" spans="2:21" x14ac:dyDescent="0.15">
      <c r="B989"/>
      <c r="N989"/>
      <c r="P989"/>
      <c r="Q989"/>
      <c r="R989"/>
      <c r="S989"/>
      <c r="U989"/>
    </row>
    <row r="990" spans="2:21" x14ac:dyDescent="0.15">
      <c r="B990"/>
      <c r="N990"/>
      <c r="P990"/>
      <c r="Q990"/>
      <c r="R990"/>
      <c r="S990"/>
      <c r="U990"/>
    </row>
    <row r="991" spans="2:21" x14ac:dyDescent="0.15">
      <c r="B991"/>
      <c r="N991"/>
      <c r="P991"/>
      <c r="Q991"/>
      <c r="R991"/>
      <c r="S991"/>
      <c r="U991"/>
    </row>
    <row r="992" spans="2:21" x14ac:dyDescent="0.15">
      <c r="B992"/>
      <c r="N992"/>
      <c r="P992"/>
      <c r="Q992"/>
      <c r="R992"/>
      <c r="S992"/>
      <c r="U992"/>
    </row>
    <row r="993" spans="2:21" x14ac:dyDescent="0.15">
      <c r="B993"/>
      <c r="N993"/>
      <c r="P993"/>
      <c r="Q993"/>
      <c r="R993"/>
      <c r="S993"/>
      <c r="U993"/>
    </row>
    <row r="994" spans="2:21" x14ac:dyDescent="0.15">
      <c r="B994"/>
      <c r="N994"/>
      <c r="P994"/>
      <c r="Q994"/>
      <c r="R994"/>
      <c r="S994"/>
      <c r="U994"/>
    </row>
    <row r="995" spans="2:21" x14ac:dyDescent="0.15">
      <c r="B995"/>
      <c r="N995"/>
      <c r="P995"/>
      <c r="Q995"/>
      <c r="R995"/>
      <c r="S995"/>
      <c r="U995"/>
    </row>
    <row r="996" spans="2:21" x14ac:dyDescent="0.15">
      <c r="B996"/>
      <c r="N996"/>
      <c r="P996"/>
      <c r="Q996"/>
      <c r="R996"/>
      <c r="S996"/>
      <c r="U996"/>
    </row>
    <row r="997" spans="2:21" x14ac:dyDescent="0.15">
      <c r="B997"/>
      <c r="N997"/>
      <c r="P997"/>
      <c r="Q997"/>
      <c r="R997"/>
      <c r="S997"/>
      <c r="U997"/>
    </row>
    <row r="998" spans="2:21" x14ac:dyDescent="0.15">
      <c r="B998"/>
      <c r="N998"/>
      <c r="P998"/>
      <c r="Q998"/>
      <c r="R998"/>
      <c r="S998"/>
      <c r="U998"/>
    </row>
    <row r="999" spans="2:21" x14ac:dyDescent="0.15">
      <c r="B999"/>
      <c r="N999"/>
      <c r="P999"/>
      <c r="Q999"/>
      <c r="R999"/>
      <c r="S999"/>
      <c r="U999"/>
    </row>
    <row r="1000" spans="2:21" x14ac:dyDescent="0.15">
      <c r="B1000"/>
      <c r="N1000"/>
      <c r="P1000"/>
      <c r="Q1000"/>
      <c r="R1000"/>
      <c r="S1000"/>
      <c r="U1000"/>
    </row>
    <row r="1001" spans="2:21" x14ac:dyDescent="0.15">
      <c r="B1001"/>
      <c r="N1001"/>
      <c r="P1001"/>
      <c r="Q1001"/>
      <c r="R1001"/>
      <c r="S1001"/>
      <c r="U1001"/>
    </row>
    <row r="1002" spans="2:21" x14ac:dyDescent="0.15">
      <c r="B1002"/>
      <c r="N1002"/>
      <c r="P1002"/>
      <c r="Q1002"/>
      <c r="R1002"/>
      <c r="S1002"/>
      <c r="U1002"/>
    </row>
    <row r="1003" spans="2:21" x14ac:dyDescent="0.15">
      <c r="B1003"/>
      <c r="N1003"/>
      <c r="P1003"/>
      <c r="Q1003"/>
      <c r="R1003"/>
      <c r="S1003"/>
      <c r="U1003"/>
    </row>
    <row r="1004" spans="2:21" x14ac:dyDescent="0.15">
      <c r="B1004"/>
      <c r="N1004"/>
      <c r="P1004"/>
      <c r="Q1004"/>
      <c r="R1004"/>
      <c r="S1004"/>
      <c r="U1004"/>
    </row>
    <row r="1005" spans="2:21" x14ac:dyDescent="0.15">
      <c r="B1005"/>
      <c r="N1005"/>
      <c r="P1005"/>
      <c r="Q1005"/>
      <c r="R1005"/>
      <c r="S1005"/>
      <c r="U1005"/>
    </row>
    <row r="1006" spans="2:21" x14ac:dyDescent="0.15">
      <c r="B1006"/>
      <c r="N1006"/>
      <c r="P1006"/>
      <c r="Q1006"/>
      <c r="R1006"/>
      <c r="S1006"/>
      <c r="U1006"/>
    </row>
    <row r="1007" spans="2:21" x14ac:dyDescent="0.15">
      <c r="B1007"/>
      <c r="N1007"/>
      <c r="P1007"/>
      <c r="Q1007"/>
      <c r="R1007"/>
      <c r="S1007"/>
      <c r="U1007"/>
    </row>
    <row r="1008" spans="2:21" x14ac:dyDescent="0.15">
      <c r="B1008"/>
      <c r="N1008"/>
      <c r="P1008"/>
      <c r="Q1008"/>
      <c r="R1008"/>
      <c r="S1008"/>
      <c r="U1008"/>
    </row>
    <row r="1009" spans="2:21" x14ac:dyDescent="0.15">
      <c r="B1009"/>
      <c r="N1009"/>
      <c r="P1009"/>
      <c r="Q1009"/>
      <c r="R1009"/>
      <c r="S1009"/>
      <c r="U1009"/>
    </row>
    <row r="1010" spans="2:21" x14ac:dyDescent="0.15">
      <c r="B1010"/>
      <c r="N1010"/>
      <c r="P1010"/>
      <c r="Q1010"/>
      <c r="R1010"/>
      <c r="S1010"/>
      <c r="U1010"/>
    </row>
    <row r="1011" spans="2:21" x14ac:dyDescent="0.15">
      <c r="B1011"/>
      <c r="N1011"/>
      <c r="P1011"/>
      <c r="Q1011"/>
      <c r="R1011"/>
      <c r="S1011"/>
      <c r="U1011"/>
    </row>
    <row r="1012" spans="2:21" x14ac:dyDescent="0.15">
      <c r="B1012"/>
      <c r="N1012"/>
      <c r="P1012"/>
      <c r="Q1012"/>
      <c r="R1012"/>
      <c r="S1012"/>
      <c r="U1012"/>
    </row>
    <row r="1013" spans="2:21" x14ac:dyDescent="0.15">
      <c r="B1013"/>
      <c r="N1013"/>
      <c r="P1013"/>
      <c r="Q1013"/>
      <c r="R1013"/>
      <c r="S1013"/>
      <c r="U1013"/>
    </row>
    <row r="1014" spans="2:21" x14ac:dyDescent="0.15">
      <c r="B1014"/>
      <c r="N1014"/>
      <c r="P1014"/>
      <c r="Q1014"/>
      <c r="R1014"/>
      <c r="S1014"/>
      <c r="U1014"/>
    </row>
    <row r="1015" spans="2:21" x14ac:dyDescent="0.15">
      <c r="B1015"/>
      <c r="N1015"/>
      <c r="P1015"/>
      <c r="Q1015"/>
      <c r="R1015"/>
      <c r="S1015"/>
      <c r="U1015"/>
    </row>
    <row r="1016" spans="2:21" x14ac:dyDescent="0.15">
      <c r="B1016"/>
      <c r="N1016"/>
      <c r="P1016"/>
      <c r="Q1016"/>
      <c r="R1016"/>
      <c r="S1016"/>
      <c r="U1016"/>
    </row>
    <row r="1017" spans="2:21" x14ac:dyDescent="0.15">
      <c r="B1017"/>
      <c r="N1017"/>
      <c r="P1017"/>
      <c r="Q1017"/>
      <c r="R1017"/>
      <c r="S1017"/>
      <c r="U1017"/>
    </row>
    <row r="1018" spans="2:21" x14ac:dyDescent="0.15">
      <c r="B1018"/>
      <c r="N1018"/>
      <c r="P1018"/>
      <c r="Q1018"/>
      <c r="R1018"/>
      <c r="S1018"/>
      <c r="U1018"/>
    </row>
    <row r="1019" spans="2:21" x14ac:dyDescent="0.15">
      <c r="B1019"/>
      <c r="N1019"/>
      <c r="P1019"/>
      <c r="Q1019"/>
      <c r="R1019"/>
      <c r="S1019"/>
      <c r="U1019"/>
    </row>
    <row r="1020" spans="2:21" x14ac:dyDescent="0.15">
      <c r="B1020"/>
      <c r="N1020"/>
      <c r="P1020"/>
      <c r="Q1020"/>
      <c r="R1020"/>
      <c r="S1020"/>
      <c r="U1020"/>
    </row>
    <row r="1021" spans="2:21" x14ac:dyDescent="0.15">
      <c r="B1021"/>
      <c r="N1021"/>
      <c r="P1021"/>
      <c r="Q1021"/>
      <c r="R1021"/>
      <c r="S1021"/>
      <c r="U1021"/>
    </row>
    <row r="1022" spans="2:21" x14ac:dyDescent="0.15">
      <c r="B1022"/>
      <c r="N1022"/>
      <c r="P1022"/>
      <c r="Q1022"/>
      <c r="R1022"/>
      <c r="S1022"/>
      <c r="U1022"/>
    </row>
    <row r="1023" spans="2:21" x14ac:dyDescent="0.15">
      <c r="B1023"/>
      <c r="N1023"/>
      <c r="P1023"/>
      <c r="Q1023"/>
      <c r="R1023"/>
      <c r="S1023"/>
      <c r="U1023"/>
    </row>
    <row r="1024" spans="2:21" x14ac:dyDescent="0.15">
      <c r="B1024"/>
      <c r="N1024"/>
      <c r="P1024"/>
      <c r="Q1024"/>
      <c r="R1024"/>
      <c r="S1024"/>
      <c r="U1024"/>
    </row>
    <row r="1025" spans="2:21" x14ac:dyDescent="0.15">
      <c r="B1025"/>
      <c r="N1025"/>
      <c r="P1025"/>
      <c r="Q1025"/>
      <c r="R1025"/>
      <c r="S1025"/>
      <c r="U1025"/>
    </row>
    <row r="1026" spans="2:21" x14ac:dyDescent="0.15">
      <c r="B1026"/>
      <c r="N1026"/>
      <c r="P1026"/>
      <c r="Q1026"/>
      <c r="R1026"/>
      <c r="S1026"/>
      <c r="U1026"/>
    </row>
    <row r="1027" spans="2:21" x14ac:dyDescent="0.15">
      <c r="B1027"/>
      <c r="N1027"/>
      <c r="P1027"/>
      <c r="Q1027"/>
      <c r="R1027"/>
      <c r="S1027"/>
      <c r="U1027"/>
    </row>
    <row r="1028" spans="2:21" x14ac:dyDescent="0.15">
      <c r="B1028"/>
      <c r="N1028"/>
      <c r="P1028"/>
      <c r="Q1028"/>
      <c r="R1028"/>
      <c r="S1028"/>
      <c r="U1028"/>
    </row>
    <row r="1029" spans="2:21" x14ac:dyDescent="0.15">
      <c r="B1029"/>
      <c r="N1029"/>
      <c r="P1029"/>
      <c r="Q1029"/>
      <c r="R1029"/>
      <c r="S1029"/>
      <c r="U1029"/>
    </row>
    <row r="1030" spans="2:21" x14ac:dyDescent="0.15">
      <c r="B1030"/>
      <c r="N1030"/>
      <c r="P1030"/>
      <c r="Q1030"/>
      <c r="R1030"/>
      <c r="S1030"/>
      <c r="U1030"/>
    </row>
    <row r="1031" spans="2:21" x14ac:dyDescent="0.15">
      <c r="B1031"/>
      <c r="N1031"/>
      <c r="P1031"/>
      <c r="Q1031"/>
      <c r="R1031"/>
      <c r="S1031"/>
      <c r="U1031"/>
    </row>
    <row r="1032" spans="2:21" x14ac:dyDescent="0.15">
      <c r="B1032"/>
      <c r="N1032"/>
      <c r="P1032"/>
      <c r="Q1032"/>
      <c r="R1032"/>
      <c r="S1032"/>
      <c r="U1032"/>
    </row>
    <row r="1033" spans="2:21" x14ac:dyDescent="0.15">
      <c r="B1033"/>
      <c r="N1033"/>
      <c r="P1033"/>
      <c r="Q1033"/>
      <c r="R1033"/>
      <c r="S1033"/>
      <c r="U1033"/>
    </row>
    <row r="1034" spans="2:21" x14ac:dyDescent="0.15">
      <c r="B1034"/>
      <c r="N1034"/>
      <c r="P1034"/>
      <c r="Q1034"/>
      <c r="R1034"/>
      <c r="S1034"/>
      <c r="U1034"/>
    </row>
    <row r="1035" spans="2:21" x14ac:dyDescent="0.15">
      <c r="B1035"/>
      <c r="N1035"/>
      <c r="P1035"/>
      <c r="Q1035"/>
      <c r="R1035"/>
      <c r="S1035"/>
      <c r="U1035"/>
    </row>
    <row r="1036" spans="2:21" x14ac:dyDescent="0.15">
      <c r="B1036"/>
      <c r="N1036"/>
      <c r="P1036"/>
      <c r="Q1036"/>
      <c r="R1036"/>
      <c r="S1036"/>
      <c r="U1036"/>
    </row>
    <row r="1037" spans="2:21" x14ac:dyDescent="0.15">
      <c r="B1037"/>
      <c r="N1037"/>
      <c r="P1037"/>
      <c r="Q1037"/>
      <c r="R1037"/>
      <c r="S1037"/>
      <c r="U1037"/>
    </row>
    <row r="1038" spans="2:21" x14ac:dyDescent="0.15">
      <c r="B1038"/>
      <c r="N1038"/>
      <c r="P1038"/>
      <c r="Q1038"/>
      <c r="R1038"/>
      <c r="S1038"/>
      <c r="U1038"/>
    </row>
    <row r="1039" spans="2:21" x14ac:dyDescent="0.15">
      <c r="B1039"/>
      <c r="N1039"/>
      <c r="P1039"/>
      <c r="Q1039"/>
      <c r="R1039"/>
      <c r="S1039"/>
      <c r="U1039"/>
    </row>
    <row r="1040" spans="2:21" x14ac:dyDescent="0.15">
      <c r="B1040"/>
      <c r="N1040"/>
      <c r="P1040"/>
      <c r="Q1040"/>
      <c r="R1040"/>
      <c r="S1040"/>
      <c r="U1040"/>
    </row>
    <row r="1041" spans="2:21" x14ac:dyDescent="0.15">
      <c r="B1041"/>
      <c r="N1041"/>
      <c r="P1041"/>
      <c r="Q1041"/>
      <c r="R1041"/>
      <c r="S1041"/>
      <c r="U1041"/>
    </row>
    <row r="1042" spans="2:21" x14ac:dyDescent="0.15">
      <c r="B1042"/>
      <c r="N1042"/>
      <c r="P1042"/>
      <c r="Q1042"/>
      <c r="R1042"/>
      <c r="S1042"/>
      <c r="U1042"/>
    </row>
    <row r="1043" spans="2:21" x14ac:dyDescent="0.15">
      <c r="B1043"/>
      <c r="N1043"/>
      <c r="P1043"/>
      <c r="Q1043"/>
      <c r="R1043"/>
      <c r="S1043"/>
      <c r="U1043"/>
    </row>
    <row r="1044" spans="2:21" x14ac:dyDescent="0.15">
      <c r="B1044"/>
      <c r="N1044"/>
      <c r="P1044"/>
      <c r="Q1044"/>
      <c r="R1044"/>
      <c r="S1044"/>
      <c r="U1044"/>
    </row>
    <row r="1045" spans="2:21" x14ac:dyDescent="0.15">
      <c r="B1045"/>
      <c r="N1045"/>
      <c r="P1045"/>
      <c r="Q1045"/>
      <c r="R1045"/>
      <c r="S1045"/>
      <c r="U1045"/>
    </row>
    <row r="1046" spans="2:21" x14ac:dyDescent="0.15">
      <c r="B1046"/>
      <c r="N1046"/>
      <c r="P1046"/>
      <c r="Q1046"/>
      <c r="R1046"/>
      <c r="S1046"/>
      <c r="U1046"/>
    </row>
    <row r="1047" spans="2:21" x14ac:dyDescent="0.15">
      <c r="B1047"/>
      <c r="N1047"/>
      <c r="P1047"/>
      <c r="Q1047"/>
      <c r="R1047"/>
      <c r="S1047"/>
      <c r="U1047"/>
    </row>
    <row r="1048" spans="2:21" x14ac:dyDescent="0.15">
      <c r="B1048"/>
      <c r="N1048"/>
      <c r="P1048"/>
      <c r="Q1048"/>
      <c r="R1048"/>
      <c r="S1048"/>
      <c r="U1048"/>
    </row>
    <row r="1049" spans="2:21" x14ac:dyDescent="0.15">
      <c r="B1049"/>
      <c r="N1049"/>
      <c r="P1049"/>
      <c r="Q1049"/>
      <c r="R1049"/>
      <c r="S1049"/>
      <c r="U1049"/>
    </row>
    <row r="1050" spans="2:21" x14ac:dyDescent="0.15">
      <c r="B1050"/>
      <c r="N1050"/>
      <c r="P1050"/>
      <c r="Q1050"/>
      <c r="R1050"/>
      <c r="S1050"/>
      <c r="U1050"/>
    </row>
    <row r="1051" spans="2:21" x14ac:dyDescent="0.15">
      <c r="B1051"/>
      <c r="N1051"/>
      <c r="P1051"/>
      <c r="Q1051"/>
      <c r="R1051"/>
      <c r="S1051"/>
      <c r="U1051"/>
    </row>
    <row r="1052" spans="2:21" x14ac:dyDescent="0.15">
      <c r="B1052"/>
      <c r="N1052"/>
      <c r="P1052"/>
      <c r="Q1052"/>
      <c r="R1052"/>
      <c r="S1052"/>
      <c r="U1052"/>
    </row>
    <row r="1053" spans="2:21" x14ac:dyDescent="0.15">
      <c r="B1053"/>
      <c r="N1053"/>
      <c r="P1053"/>
      <c r="Q1053"/>
      <c r="R1053"/>
      <c r="S1053"/>
      <c r="U1053"/>
    </row>
    <row r="1054" spans="2:21" x14ac:dyDescent="0.15">
      <c r="B1054"/>
      <c r="N1054"/>
      <c r="P1054"/>
      <c r="Q1054"/>
      <c r="R1054"/>
      <c r="S1054"/>
      <c r="U1054"/>
    </row>
    <row r="1055" spans="2:21" x14ac:dyDescent="0.15">
      <c r="B1055"/>
      <c r="N1055"/>
      <c r="P1055"/>
      <c r="Q1055"/>
      <c r="R1055"/>
      <c r="S1055"/>
      <c r="U1055"/>
    </row>
    <row r="1056" spans="2:21" x14ac:dyDescent="0.15">
      <c r="B1056"/>
      <c r="N1056"/>
      <c r="P1056"/>
      <c r="Q1056"/>
      <c r="R1056"/>
      <c r="S1056"/>
      <c r="U1056"/>
    </row>
    <row r="1057" spans="2:21" x14ac:dyDescent="0.15">
      <c r="B1057"/>
      <c r="N1057"/>
      <c r="P1057"/>
      <c r="Q1057"/>
      <c r="R1057"/>
      <c r="S1057"/>
      <c r="U1057"/>
    </row>
    <row r="1058" spans="2:21" x14ac:dyDescent="0.15">
      <c r="B1058"/>
      <c r="N1058"/>
      <c r="P1058"/>
      <c r="Q1058"/>
      <c r="R1058"/>
      <c r="S1058"/>
      <c r="U1058"/>
    </row>
    <row r="1059" spans="2:21" x14ac:dyDescent="0.15">
      <c r="B1059"/>
      <c r="N1059"/>
      <c r="P1059"/>
      <c r="Q1059"/>
      <c r="R1059"/>
      <c r="S1059"/>
      <c r="U1059"/>
    </row>
    <row r="1060" spans="2:21" x14ac:dyDescent="0.15">
      <c r="B1060"/>
      <c r="N1060"/>
      <c r="P1060"/>
      <c r="Q1060"/>
      <c r="R1060"/>
      <c r="S1060"/>
      <c r="U1060"/>
    </row>
    <row r="1061" spans="2:21" x14ac:dyDescent="0.15">
      <c r="B1061"/>
      <c r="N1061"/>
      <c r="P1061"/>
      <c r="Q1061"/>
      <c r="R1061"/>
      <c r="S1061"/>
      <c r="U1061"/>
    </row>
    <row r="1062" spans="2:21" x14ac:dyDescent="0.15">
      <c r="B1062"/>
      <c r="N1062"/>
      <c r="P1062"/>
      <c r="Q1062"/>
      <c r="R1062"/>
      <c r="S1062"/>
      <c r="U1062"/>
    </row>
    <row r="1063" spans="2:21" x14ac:dyDescent="0.15">
      <c r="B1063"/>
      <c r="N1063"/>
      <c r="P1063"/>
      <c r="Q1063"/>
      <c r="R1063"/>
      <c r="S1063"/>
      <c r="U1063"/>
    </row>
    <row r="1064" spans="2:21" x14ac:dyDescent="0.15">
      <c r="B1064"/>
      <c r="N1064"/>
      <c r="P1064"/>
      <c r="Q1064"/>
      <c r="R1064"/>
      <c r="S1064"/>
      <c r="U1064"/>
    </row>
    <row r="1065" spans="2:21" x14ac:dyDescent="0.15">
      <c r="B1065"/>
      <c r="N1065"/>
      <c r="P1065"/>
      <c r="Q1065"/>
      <c r="R1065"/>
      <c r="S1065"/>
      <c r="U1065"/>
    </row>
    <row r="1066" spans="2:21" x14ac:dyDescent="0.15">
      <c r="B1066"/>
      <c r="N1066"/>
      <c r="P1066"/>
      <c r="Q1066"/>
      <c r="R1066"/>
      <c r="S1066"/>
      <c r="U1066"/>
    </row>
    <row r="1067" spans="2:21" x14ac:dyDescent="0.15">
      <c r="B1067"/>
      <c r="N1067"/>
      <c r="P1067"/>
      <c r="Q1067"/>
      <c r="R1067"/>
      <c r="S1067"/>
      <c r="U1067"/>
    </row>
    <row r="1068" spans="2:21" x14ac:dyDescent="0.15">
      <c r="B1068"/>
      <c r="N1068"/>
      <c r="P1068"/>
      <c r="Q1068"/>
      <c r="R1068"/>
      <c r="S1068"/>
      <c r="U1068"/>
    </row>
    <row r="1069" spans="2:21" x14ac:dyDescent="0.15">
      <c r="B1069"/>
      <c r="N1069"/>
      <c r="P1069"/>
      <c r="Q1069"/>
      <c r="R1069"/>
      <c r="S1069"/>
      <c r="U1069"/>
    </row>
    <row r="1070" spans="2:21" x14ac:dyDescent="0.15">
      <c r="B1070"/>
      <c r="N1070"/>
      <c r="P1070"/>
      <c r="Q1070"/>
      <c r="R1070"/>
      <c r="S1070"/>
      <c r="U1070"/>
    </row>
    <row r="1071" spans="2:21" x14ac:dyDescent="0.15">
      <c r="B1071"/>
      <c r="N1071"/>
      <c r="P1071"/>
      <c r="Q1071"/>
      <c r="R1071"/>
      <c r="S1071"/>
      <c r="U1071"/>
    </row>
    <row r="1072" spans="2:21" x14ac:dyDescent="0.15">
      <c r="B1072"/>
      <c r="N1072"/>
      <c r="P1072"/>
      <c r="Q1072"/>
      <c r="R1072"/>
      <c r="S1072"/>
      <c r="U1072"/>
    </row>
    <row r="1073" spans="2:21" x14ac:dyDescent="0.15">
      <c r="B1073"/>
      <c r="N1073"/>
      <c r="P1073"/>
      <c r="Q1073"/>
      <c r="R1073"/>
      <c r="S1073"/>
      <c r="U1073"/>
    </row>
    <row r="1074" spans="2:21" x14ac:dyDescent="0.15">
      <c r="B1074"/>
      <c r="N1074"/>
      <c r="P1074"/>
      <c r="Q1074"/>
      <c r="R1074"/>
      <c r="S1074"/>
      <c r="U1074"/>
    </row>
    <row r="1075" spans="2:21" x14ac:dyDescent="0.15">
      <c r="B1075"/>
      <c r="N1075"/>
      <c r="P1075"/>
      <c r="Q1075"/>
      <c r="R1075"/>
      <c r="S1075"/>
      <c r="U1075"/>
    </row>
    <row r="1076" spans="2:21" x14ac:dyDescent="0.15">
      <c r="B1076"/>
      <c r="N1076"/>
      <c r="P1076"/>
      <c r="Q1076"/>
      <c r="R1076"/>
      <c r="S1076"/>
      <c r="U1076"/>
    </row>
    <row r="1077" spans="2:21" x14ac:dyDescent="0.15">
      <c r="B1077"/>
      <c r="N1077"/>
      <c r="P1077"/>
      <c r="Q1077"/>
      <c r="R1077"/>
      <c r="S1077"/>
      <c r="U1077"/>
    </row>
    <row r="1078" spans="2:21" x14ac:dyDescent="0.15">
      <c r="B1078"/>
      <c r="N1078"/>
      <c r="P1078"/>
      <c r="Q1078"/>
      <c r="R1078"/>
      <c r="S1078"/>
      <c r="U1078"/>
    </row>
    <row r="1079" spans="2:21" x14ac:dyDescent="0.15">
      <c r="B1079"/>
      <c r="N1079"/>
      <c r="P1079"/>
      <c r="Q1079"/>
      <c r="R1079"/>
      <c r="S1079"/>
      <c r="U1079"/>
    </row>
    <row r="1080" spans="2:21" x14ac:dyDescent="0.15">
      <c r="B1080"/>
      <c r="N1080"/>
      <c r="P1080"/>
      <c r="Q1080"/>
      <c r="R1080"/>
      <c r="S1080"/>
      <c r="U1080"/>
    </row>
    <row r="1081" spans="2:21" x14ac:dyDescent="0.15">
      <c r="B1081"/>
      <c r="N1081"/>
      <c r="P1081"/>
      <c r="Q1081"/>
      <c r="R1081"/>
      <c r="S1081"/>
      <c r="U1081"/>
    </row>
    <row r="1082" spans="2:21" x14ac:dyDescent="0.15">
      <c r="B1082"/>
      <c r="N1082"/>
      <c r="P1082"/>
      <c r="Q1082"/>
      <c r="R1082"/>
      <c r="S1082"/>
      <c r="U1082"/>
    </row>
    <row r="1083" spans="2:21" x14ac:dyDescent="0.15">
      <c r="B1083"/>
      <c r="N1083"/>
      <c r="P1083"/>
      <c r="Q1083"/>
      <c r="R1083"/>
      <c r="S1083"/>
      <c r="U1083"/>
    </row>
    <row r="1084" spans="2:21" x14ac:dyDescent="0.15">
      <c r="B1084"/>
      <c r="N1084"/>
      <c r="P1084"/>
      <c r="Q1084"/>
      <c r="R1084"/>
      <c r="S1084"/>
      <c r="U1084"/>
    </row>
    <row r="1085" spans="2:21" x14ac:dyDescent="0.15">
      <c r="B1085"/>
      <c r="N1085"/>
      <c r="P1085"/>
      <c r="Q1085"/>
      <c r="R1085"/>
      <c r="S1085"/>
      <c r="U1085"/>
    </row>
    <row r="1086" spans="2:21" x14ac:dyDescent="0.15">
      <c r="B1086"/>
      <c r="N1086"/>
      <c r="P1086"/>
      <c r="Q1086"/>
      <c r="R1086"/>
      <c r="S1086"/>
      <c r="U1086"/>
    </row>
    <row r="1087" spans="2:21" x14ac:dyDescent="0.15">
      <c r="B1087"/>
      <c r="N1087"/>
      <c r="P1087"/>
      <c r="Q1087"/>
      <c r="R1087"/>
      <c r="S1087"/>
      <c r="U1087"/>
    </row>
    <row r="1088" spans="2:21" x14ac:dyDescent="0.15">
      <c r="B1088"/>
      <c r="N1088"/>
      <c r="P1088"/>
      <c r="Q1088"/>
      <c r="R1088"/>
      <c r="S1088"/>
      <c r="U1088"/>
    </row>
    <row r="1089" spans="2:21" x14ac:dyDescent="0.15">
      <c r="B1089"/>
      <c r="N1089"/>
      <c r="P1089"/>
      <c r="Q1089"/>
      <c r="R1089"/>
      <c r="S1089"/>
      <c r="U1089"/>
    </row>
    <row r="1090" spans="2:21" x14ac:dyDescent="0.15">
      <c r="B1090"/>
      <c r="N1090"/>
      <c r="P1090"/>
      <c r="Q1090"/>
      <c r="R1090"/>
      <c r="S1090"/>
      <c r="U1090"/>
    </row>
    <row r="1091" spans="2:21" x14ac:dyDescent="0.15">
      <c r="B1091"/>
      <c r="N1091"/>
      <c r="P1091"/>
      <c r="Q1091"/>
      <c r="R1091"/>
      <c r="S1091"/>
      <c r="U1091"/>
    </row>
    <row r="1092" spans="2:21" x14ac:dyDescent="0.15">
      <c r="B1092"/>
      <c r="N1092"/>
      <c r="P1092"/>
      <c r="Q1092"/>
      <c r="R1092"/>
      <c r="S1092"/>
      <c r="U1092"/>
    </row>
    <row r="1093" spans="2:21" x14ac:dyDescent="0.15">
      <c r="B1093"/>
      <c r="N1093"/>
      <c r="P1093"/>
      <c r="Q1093"/>
      <c r="R1093"/>
      <c r="S1093"/>
      <c r="U1093"/>
    </row>
    <row r="1094" spans="2:21" x14ac:dyDescent="0.15">
      <c r="B1094"/>
      <c r="N1094"/>
      <c r="P1094"/>
      <c r="Q1094"/>
      <c r="R1094"/>
      <c r="S1094"/>
      <c r="U1094"/>
    </row>
    <row r="1095" spans="2:21" x14ac:dyDescent="0.15">
      <c r="B1095"/>
      <c r="N1095"/>
      <c r="P1095"/>
      <c r="Q1095"/>
      <c r="R1095"/>
      <c r="S1095"/>
      <c r="U1095"/>
    </row>
    <row r="1096" spans="2:21" x14ac:dyDescent="0.15">
      <c r="B1096"/>
      <c r="N1096"/>
      <c r="P1096"/>
      <c r="Q1096"/>
      <c r="R1096"/>
      <c r="S1096"/>
      <c r="U1096"/>
    </row>
    <row r="1097" spans="2:21" x14ac:dyDescent="0.15">
      <c r="B1097"/>
      <c r="N1097"/>
      <c r="P1097"/>
      <c r="Q1097"/>
      <c r="R1097"/>
      <c r="S1097"/>
      <c r="U1097"/>
    </row>
    <row r="1098" spans="2:21" x14ac:dyDescent="0.15">
      <c r="B1098"/>
      <c r="N1098"/>
      <c r="P1098"/>
      <c r="Q1098"/>
      <c r="R1098"/>
      <c r="S1098"/>
      <c r="U1098"/>
    </row>
    <row r="1099" spans="2:21" x14ac:dyDescent="0.15">
      <c r="B1099"/>
      <c r="N1099"/>
      <c r="P1099"/>
      <c r="Q1099"/>
      <c r="R1099"/>
      <c r="S1099"/>
      <c r="U1099"/>
    </row>
    <row r="1100" spans="2:21" x14ac:dyDescent="0.15">
      <c r="B1100"/>
      <c r="N1100"/>
      <c r="P1100"/>
      <c r="Q1100"/>
      <c r="R1100"/>
      <c r="S1100"/>
      <c r="U1100"/>
    </row>
    <row r="1101" spans="2:21" x14ac:dyDescent="0.15">
      <c r="B1101"/>
      <c r="N1101"/>
      <c r="P1101"/>
      <c r="Q1101"/>
      <c r="R1101"/>
      <c r="S1101"/>
      <c r="U1101"/>
    </row>
    <row r="1102" spans="2:21" x14ac:dyDescent="0.15">
      <c r="B1102"/>
      <c r="N1102"/>
      <c r="P1102"/>
      <c r="Q1102"/>
      <c r="R1102"/>
      <c r="S1102"/>
      <c r="U1102"/>
    </row>
    <row r="1103" spans="2:21" x14ac:dyDescent="0.15">
      <c r="B1103"/>
      <c r="N1103"/>
      <c r="P1103"/>
      <c r="Q1103"/>
      <c r="R1103"/>
      <c r="S1103"/>
      <c r="U1103"/>
    </row>
    <row r="1104" spans="2:21" x14ac:dyDescent="0.15">
      <c r="B1104"/>
      <c r="N1104"/>
      <c r="P1104"/>
      <c r="Q1104"/>
      <c r="R1104"/>
      <c r="S1104"/>
      <c r="U1104"/>
    </row>
    <row r="1105" spans="2:25" x14ac:dyDescent="0.15">
      <c r="B1105"/>
      <c r="N1105"/>
      <c r="P1105"/>
      <c r="Q1105"/>
      <c r="R1105"/>
      <c r="S1105"/>
      <c r="U1105"/>
    </row>
    <row r="1106" spans="2:25" x14ac:dyDescent="0.15">
      <c r="B1106"/>
      <c r="N1106"/>
      <c r="P1106"/>
      <c r="Q1106"/>
      <c r="R1106"/>
      <c r="S1106"/>
      <c r="U1106"/>
    </row>
    <row r="1107" spans="2:25" x14ac:dyDescent="0.15">
      <c r="B1107"/>
      <c r="N1107"/>
      <c r="P1107"/>
      <c r="Q1107"/>
      <c r="R1107"/>
      <c r="S1107"/>
      <c r="U1107"/>
    </row>
    <row r="1108" spans="2:25" x14ac:dyDescent="0.15">
      <c r="B1108"/>
      <c r="N1108"/>
      <c r="P1108"/>
      <c r="Q1108"/>
      <c r="R1108"/>
      <c r="S1108"/>
      <c r="U1108"/>
    </row>
    <row r="1109" spans="2:25" x14ac:dyDescent="0.15">
      <c r="B1109"/>
      <c r="N1109"/>
      <c r="P1109"/>
      <c r="Q1109"/>
      <c r="R1109"/>
      <c r="S1109"/>
      <c r="U1109"/>
    </row>
    <row r="1110" spans="2:25" x14ac:dyDescent="0.15">
      <c r="B1110"/>
      <c r="N1110"/>
      <c r="P1110"/>
      <c r="Q1110"/>
      <c r="R1110"/>
      <c r="S1110"/>
      <c r="U1110"/>
    </row>
    <row r="1111" spans="2:25" x14ac:dyDescent="0.15">
      <c r="B1111"/>
      <c r="N1111"/>
      <c r="P1111"/>
      <c r="Q1111"/>
      <c r="R1111"/>
      <c r="S1111"/>
      <c r="U1111"/>
    </row>
    <row r="1112" spans="2:25" x14ac:dyDescent="0.15">
      <c r="B1112"/>
      <c r="N1112"/>
      <c r="P1112"/>
      <c r="Q1112"/>
      <c r="R1112"/>
      <c r="S1112"/>
      <c r="U1112"/>
    </row>
    <row r="1113" spans="2:25" x14ac:dyDescent="0.15">
      <c r="B1113"/>
      <c r="N1113"/>
      <c r="P1113"/>
      <c r="Q1113"/>
      <c r="R1113"/>
      <c r="S1113"/>
      <c r="U1113"/>
    </row>
    <row r="1114" spans="2:25" x14ac:dyDescent="0.15">
      <c r="B1114"/>
      <c r="N1114"/>
      <c r="P1114"/>
      <c r="Q1114"/>
      <c r="R1114"/>
      <c r="S1114"/>
      <c r="U1114"/>
    </row>
    <row r="1115" spans="2:25" x14ac:dyDescent="0.15">
      <c r="B1115"/>
      <c r="N1115"/>
      <c r="P1115"/>
      <c r="Q1115"/>
      <c r="R1115"/>
      <c r="S1115"/>
      <c r="U1115"/>
    </row>
    <row r="1116" spans="2:25" x14ac:dyDescent="0.15">
      <c r="B1116"/>
      <c r="N1116"/>
      <c r="P1116"/>
      <c r="Q1116"/>
      <c r="R1116"/>
      <c r="S1116"/>
      <c r="U1116"/>
    </row>
    <row r="1117" spans="2:25" x14ac:dyDescent="0.15">
      <c r="B1117"/>
      <c r="N1117"/>
      <c r="P1117"/>
      <c r="Q1117"/>
      <c r="R1117"/>
      <c r="S1117"/>
      <c r="U1117"/>
    </row>
    <row r="1118" spans="2:25" x14ac:dyDescent="0.15">
      <c r="B1118" s="406"/>
      <c r="C1118" s="407"/>
      <c r="D1118" s="406"/>
      <c r="E1118" s="406"/>
      <c r="F1118" s="406"/>
      <c r="G1118" s="406"/>
      <c r="H1118" s="406"/>
      <c r="I1118" s="406"/>
      <c r="J1118" s="406"/>
      <c r="K1118" s="406"/>
      <c r="L1118" s="406"/>
      <c r="M1118" s="406"/>
      <c r="N1118" s="406"/>
      <c r="O1118" s="406"/>
      <c r="P1118" s="406"/>
      <c r="Q1118" s="406"/>
      <c r="R1118" s="406"/>
      <c r="S1118" s="406"/>
      <c r="T1118" s="406"/>
      <c r="U1118" s="406"/>
      <c r="V1118" s="406"/>
      <c r="W1118" s="406"/>
      <c r="X1118" s="406"/>
      <c r="Y1118" s="406"/>
    </row>
    <row r="1119" spans="2:25" x14ac:dyDescent="0.15">
      <c r="B1119"/>
      <c r="N1119"/>
      <c r="P1119"/>
      <c r="Q1119"/>
      <c r="R1119"/>
      <c r="S1119"/>
      <c r="U1119"/>
    </row>
    <row r="1120" spans="2:25" x14ac:dyDescent="0.15">
      <c r="B1120"/>
      <c r="N1120"/>
      <c r="P1120"/>
      <c r="Q1120"/>
      <c r="R1120"/>
      <c r="S1120"/>
      <c r="U1120"/>
    </row>
    <row r="1121" spans="2:21" x14ac:dyDescent="0.15">
      <c r="B1121"/>
      <c r="N1121"/>
      <c r="P1121"/>
      <c r="Q1121"/>
      <c r="R1121"/>
      <c r="S1121"/>
      <c r="U1121"/>
    </row>
    <row r="1122" spans="2:21" x14ac:dyDescent="0.15">
      <c r="B1122"/>
      <c r="N1122"/>
      <c r="P1122"/>
      <c r="Q1122"/>
      <c r="R1122"/>
      <c r="S1122"/>
      <c r="U1122"/>
    </row>
    <row r="1123" spans="2:21" x14ac:dyDescent="0.15">
      <c r="B1123"/>
      <c r="N1123"/>
      <c r="P1123"/>
      <c r="Q1123"/>
      <c r="R1123"/>
      <c r="S1123"/>
      <c r="U1123"/>
    </row>
    <row r="1124" spans="2:21" x14ac:dyDescent="0.15">
      <c r="B1124"/>
      <c r="N1124"/>
      <c r="P1124"/>
      <c r="Q1124"/>
      <c r="R1124"/>
      <c r="S1124"/>
      <c r="U1124"/>
    </row>
    <row r="1125" spans="2:21" x14ac:dyDescent="0.15">
      <c r="B1125"/>
      <c r="N1125"/>
      <c r="P1125"/>
      <c r="Q1125"/>
      <c r="R1125"/>
      <c r="S1125"/>
      <c r="U1125"/>
    </row>
    <row r="1126" spans="2:21" x14ac:dyDescent="0.15">
      <c r="B1126"/>
      <c r="N1126"/>
      <c r="P1126"/>
      <c r="Q1126"/>
      <c r="R1126"/>
      <c r="S1126"/>
      <c r="U1126"/>
    </row>
    <row r="1127" spans="2:21" x14ac:dyDescent="0.15">
      <c r="B1127"/>
      <c r="N1127"/>
      <c r="P1127"/>
      <c r="Q1127"/>
      <c r="R1127"/>
      <c r="S1127"/>
      <c r="U1127"/>
    </row>
    <row r="1128" spans="2:21" x14ac:dyDescent="0.15">
      <c r="B1128"/>
      <c r="N1128"/>
      <c r="P1128"/>
      <c r="Q1128"/>
      <c r="R1128"/>
      <c r="S1128"/>
      <c r="U1128"/>
    </row>
    <row r="1129" spans="2:21" x14ac:dyDescent="0.15">
      <c r="B1129"/>
      <c r="N1129"/>
      <c r="P1129"/>
      <c r="Q1129"/>
      <c r="R1129"/>
      <c r="S1129"/>
      <c r="U1129"/>
    </row>
    <row r="1130" spans="2:21" x14ac:dyDescent="0.15">
      <c r="B1130"/>
      <c r="N1130"/>
      <c r="P1130"/>
      <c r="Q1130"/>
      <c r="R1130"/>
      <c r="S1130"/>
      <c r="U1130"/>
    </row>
    <row r="1131" spans="2:21" x14ac:dyDescent="0.15">
      <c r="B1131"/>
      <c r="N1131"/>
      <c r="P1131"/>
      <c r="Q1131"/>
      <c r="R1131"/>
      <c r="S1131"/>
      <c r="U1131"/>
    </row>
    <row r="1132" spans="2:21" x14ac:dyDescent="0.15">
      <c r="B1132"/>
      <c r="N1132"/>
      <c r="P1132"/>
      <c r="Q1132"/>
      <c r="R1132"/>
      <c r="S1132"/>
      <c r="U1132"/>
    </row>
    <row r="1133" spans="2:21" x14ac:dyDescent="0.15">
      <c r="B1133"/>
      <c r="N1133"/>
      <c r="P1133"/>
      <c r="Q1133"/>
      <c r="R1133"/>
      <c r="S1133"/>
      <c r="U1133"/>
    </row>
    <row r="1134" spans="2:21" x14ac:dyDescent="0.15">
      <c r="B1134"/>
      <c r="N1134"/>
      <c r="P1134"/>
      <c r="Q1134"/>
      <c r="R1134"/>
      <c r="S1134"/>
      <c r="U1134"/>
    </row>
    <row r="1135" spans="2:21" x14ac:dyDescent="0.15">
      <c r="B1135"/>
      <c r="N1135"/>
      <c r="P1135"/>
      <c r="Q1135"/>
      <c r="R1135"/>
      <c r="S1135"/>
      <c r="U1135"/>
    </row>
    <row r="1136" spans="2:21" x14ac:dyDescent="0.15">
      <c r="B1136"/>
      <c r="N1136"/>
      <c r="P1136"/>
      <c r="Q1136"/>
      <c r="R1136"/>
      <c r="S1136"/>
      <c r="U1136"/>
    </row>
    <row r="1137" spans="2:21" x14ac:dyDescent="0.15">
      <c r="B1137"/>
      <c r="N1137"/>
      <c r="P1137"/>
      <c r="Q1137"/>
      <c r="R1137"/>
      <c r="S1137"/>
      <c r="U1137"/>
    </row>
    <row r="1138" spans="2:21" x14ac:dyDescent="0.15">
      <c r="B1138"/>
      <c r="N1138"/>
      <c r="P1138"/>
      <c r="Q1138"/>
      <c r="R1138"/>
      <c r="S1138"/>
      <c r="U1138"/>
    </row>
    <row r="1139" spans="2:21" x14ac:dyDescent="0.15">
      <c r="B1139"/>
      <c r="N1139"/>
      <c r="P1139"/>
      <c r="Q1139"/>
      <c r="R1139"/>
      <c r="S1139"/>
      <c r="U1139"/>
    </row>
    <row r="1140" spans="2:21" x14ac:dyDescent="0.15">
      <c r="B1140"/>
      <c r="N1140"/>
      <c r="P1140"/>
      <c r="Q1140"/>
      <c r="R1140"/>
      <c r="S1140"/>
      <c r="U1140"/>
    </row>
    <row r="1141" spans="2:21" x14ac:dyDescent="0.15">
      <c r="B1141"/>
      <c r="N1141"/>
      <c r="P1141"/>
      <c r="Q1141"/>
      <c r="R1141"/>
      <c r="S1141"/>
      <c r="U1141"/>
    </row>
    <row r="1142" spans="2:21" x14ac:dyDescent="0.15">
      <c r="B1142"/>
      <c r="N1142"/>
      <c r="P1142"/>
      <c r="Q1142"/>
      <c r="R1142"/>
      <c r="S1142"/>
      <c r="U1142"/>
    </row>
    <row r="1143" spans="2:21" x14ac:dyDescent="0.15">
      <c r="B1143"/>
      <c r="N1143"/>
      <c r="P1143"/>
      <c r="Q1143"/>
      <c r="R1143"/>
      <c r="S1143"/>
      <c r="U1143"/>
    </row>
    <row r="1144" spans="2:21" x14ac:dyDescent="0.15">
      <c r="B1144"/>
      <c r="N1144"/>
      <c r="P1144"/>
      <c r="Q1144"/>
      <c r="R1144"/>
      <c r="S1144"/>
      <c r="U1144"/>
    </row>
    <row r="1145" spans="2:21" x14ac:dyDescent="0.15">
      <c r="B1145"/>
      <c r="N1145"/>
      <c r="P1145"/>
      <c r="Q1145"/>
      <c r="R1145"/>
      <c r="S1145"/>
      <c r="U1145"/>
    </row>
    <row r="1146" spans="2:21" x14ac:dyDescent="0.15">
      <c r="B1146"/>
      <c r="N1146"/>
      <c r="P1146"/>
      <c r="Q1146"/>
      <c r="R1146"/>
      <c r="S1146"/>
      <c r="U1146"/>
    </row>
    <row r="1147" spans="2:21" x14ac:dyDescent="0.15">
      <c r="B1147"/>
      <c r="N1147"/>
      <c r="P1147"/>
      <c r="Q1147"/>
      <c r="R1147"/>
      <c r="S1147"/>
      <c r="U1147"/>
    </row>
    <row r="1148" spans="2:21" x14ac:dyDescent="0.15">
      <c r="B1148"/>
      <c r="N1148"/>
      <c r="P1148"/>
      <c r="Q1148"/>
      <c r="R1148"/>
      <c r="S1148"/>
      <c r="U1148"/>
    </row>
    <row r="1149" spans="2:21" x14ac:dyDescent="0.15">
      <c r="B1149"/>
      <c r="N1149"/>
      <c r="P1149"/>
      <c r="Q1149"/>
      <c r="R1149"/>
      <c r="S1149"/>
      <c r="U1149"/>
    </row>
    <row r="1150" spans="2:21" x14ac:dyDescent="0.15">
      <c r="B1150"/>
      <c r="N1150"/>
      <c r="P1150"/>
      <c r="Q1150"/>
      <c r="R1150"/>
      <c r="S1150"/>
      <c r="U1150"/>
    </row>
    <row r="1151" spans="2:21" x14ac:dyDescent="0.15">
      <c r="B1151"/>
      <c r="N1151"/>
      <c r="P1151"/>
      <c r="Q1151"/>
      <c r="R1151"/>
      <c r="S1151"/>
      <c r="U1151"/>
    </row>
    <row r="1152" spans="2:21" x14ac:dyDescent="0.15">
      <c r="B1152"/>
      <c r="N1152"/>
      <c r="P1152"/>
      <c r="Q1152"/>
      <c r="R1152"/>
      <c r="S1152"/>
      <c r="U1152"/>
    </row>
    <row r="1153" spans="2:21" x14ac:dyDescent="0.15">
      <c r="B1153"/>
      <c r="N1153"/>
      <c r="P1153"/>
      <c r="Q1153"/>
      <c r="R1153"/>
      <c r="S1153"/>
      <c r="U1153"/>
    </row>
    <row r="1154" spans="2:21" x14ac:dyDescent="0.15">
      <c r="B1154"/>
      <c r="N1154"/>
      <c r="P1154"/>
      <c r="Q1154"/>
      <c r="R1154"/>
      <c r="S1154"/>
      <c r="U1154"/>
    </row>
    <row r="1155" spans="2:21" x14ac:dyDescent="0.15">
      <c r="B1155"/>
      <c r="N1155"/>
      <c r="P1155"/>
      <c r="Q1155"/>
      <c r="R1155"/>
      <c r="S1155"/>
      <c r="U1155"/>
    </row>
    <row r="1156" spans="2:21" x14ac:dyDescent="0.15">
      <c r="B1156"/>
      <c r="N1156"/>
      <c r="P1156"/>
      <c r="Q1156"/>
      <c r="R1156"/>
      <c r="S1156"/>
      <c r="U1156"/>
    </row>
    <row r="1157" spans="2:21" x14ac:dyDescent="0.15">
      <c r="B1157"/>
      <c r="N1157"/>
      <c r="P1157"/>
      <c r="Q1157"/>
      <c r="R1157"/>
      <c r="S1157"/>
      <c r="U1157"/>
    </row>
    <row r="1158" spans="2:21" x14ac:dyDescent="0.15">
      <c r="B1158"/>
      <c r="N1158"/>
      <c r="P1158"/>
      <c r="Q1158"/>
      <c r="R1158"/>
      <c r="S1158"/>
      <c r="U1158"/>
    </row>
    <row r="1159" spans="2:21" x14ac:dyDescent="0.15">
      <c r="B1159"/>
      <c r="N1159"/>
      <c r="P1159"/>
      <c r="Q1159"/>
      <c r="R1159"/>
      <c r="S1159"/>
      <c r="U1159"/>
    </row>
    <row r="1160" spans="2:21" x14ac:dyDescent="0.15">
      <c r="B1160"/>
      <c r="N1160"/>
      <c r="P1160"/>
      <c r="Q1160"/>
      <c r="R1160"/>
      <c r="S1160"/>
      <c r="U1160"/>
    </row>
    <row r="1161" spans="2:21" x14ac:dyDescent="0.15">
      <c r="B1161"/>
      <c r="N1161"/>
      <c r="P1161"/>
      <c r="Q1161"/>
      <c r="R1161"/>
      <c r="S1161"/>
      <c r="U1161"/>
    </row>
    <row r="1162" spans="2:21" x14ac:dyDescent="0.15">
      <c r="B1162"/>
      <c r="N1162"/>
      <c r="P1162"/>
      <c r="Q1162"/>
      <c r="R1162"/>
      <c r="S1162"/>
      <c r="U1162"/>
    </row>
    <row r="1163" spans="2:21" x14ac:dyDescent="0.15">
      <c r="B1163"/>
      <c r="N1163"/>
      <c r="P1163"/>
      <c r="Q1163"/>
      <c r="R1163"/>
      <c r="S1163"/>
      <c r="U1163"/>
    </row>
    <row r="1164" spans="2:21" x14ac:dyDescent="0.15">
      <c r="B1164"/>
      <c r="N1164"/>
      <c r="P1164"/>
      <c r="Q1164"/>
      <c r="R1164"/>
      <c r="S1164"/>
      <c r="U1164"/>
    </row>
    <row r="1165" spans="2:21" x14ac:dyDescent="0.15">
      <c r="B1165"/>
      <c r="N1165"/>
      <c r="P1165"/>
      <c r="Q1165"/>
      <c r="R1165"/>
      <c r="S1165"/>
      <c r="U1165"/>
    </row>
    <row r="1166" spans="2:21" x14ac:dyDescent="0.15">
      <c r="B1166"/>
      <c r="N1166"/>
      <c r="P1166"/>
      <c r="Q1166"/>
      <c r="R1166"/>
      <c r="S1166"/>
      <c r="U1166"/>
    </row>
    <row r="1167" spans="2:21" x14ac:dyDescent="0.15">
      <c r="B1167"/>
      <c r="N1167"/>
      <c r="P1167"/>
      <c r="Q1167"/>
      <c r="R1167"/>
      <c r="S1167"/>
      <c r="U1167"/>
    </row>
    <row r="1168" spans="2:21" x14ac:dyDescent="0.15">
      <c r="B1168"/>
      <c r="N1168"/>
      <c r="P1168"/>
      <c r="Q1168"/>
      <c r="R1168"/>
      <c r="S1168"/>
      <c r="U1168"/>
    </row>
    <row r="1169" spans="2:21" x14ac:dyDescent="0.15">
      <c r="B1169"/>
      <c r="N1169"/>
      <c r="P1169"/>
      <c r="Q1169"/>
      <c r="R1169"/>
      <c r="S1169"/>
      <c r="U1169"/>
    </row>
    <row r="1170" spans="2:21" x14ac:dyDescent="0.15">
      <c r="B1170"/>
      <c r="N1170"/>
      <c r="P1170"/>
      <c r="Q1170"/>
      <c r="R1170"/>
      <c r="S1170"/>
      <c r="U1170"/>
    </row>
    <row r="1171" spans="2:21" x14ac:dyDescent="0.15">
      <c r="B1171"/>
      <c r="N1171"/>
      <c r="P1171"/>
      <c r="Q1171"/>
      <c r="R1171"/>
      <c r="S1171"/>
      <c r="U1171"/>
    </row>
    <row r="1172" spans="2:21" x14ac:dyDescent="0.15">
      <c r="B1172"/>
      <c r="N1172"/>
      <c r="P1172"/>
      <c r="Q1172"/>
      <c r="R1172"/>
      <c r="S1172"/>
      <c r="U1172"/>
    </row>
    <row r="1173" spans="2:21" x14ac:dyDescent="0.15">
      <c r="B1173"/>
      <c r="N1173"/>
      <c r="P1173"/>
      <c r="Q1173"/>
      <c r="R1173"/>
      <c r="S1173"/>
      <c r="U1173"/>
    </row>
    <row r="1174" spans="2:21" x14ac:dyDescent="0.15">
      <c r="B1174"/>
      <c r="N1174"/>
      <c r="P1174"/>
      <c r="Q1174"/>
      <c r="R1174"/>
      <c r="S1174"/>
      <c r="U1174"/>
    </row>
    <row r="1175" spans="2:21" x14ac:dyDescent="0.15">
      <c r="B1175"/>
      <c r="N1175"/>
      <c r="P1175"/>
      <c r="Q1175"/>
      <c r="R1175"/>
      <c r="S1175"/>
      <c r="U1175"/>
    </row>
    <row r="1176" spans="2:21" x14ac:dyDescent="0.15">
      <c r="B1176"/>
      <c r="N1176"/>
      <c r="P1176"/>
      <c r="Q1176"/>
      <c r="R1176"/>
      <c r="S1176"/>
      <c r="U1176"/>
    </row>
    <row r="1177" spans="2:21" x14ac:dyDescent="0.15">
      <c r="B1177"/>
      <c r="N1177"/>
      <c r="P1177"/>
      <c r="Q1177"/>
      <c r="R1177"/>
      <c r="S1177"/>
      <c r="U1177"/>
    </row>
    <row r="1178" spans="2:21" x14ac:dyDescent="0.15">
      <c r="B1178"/>
      <c r="N1178"/>
      <c r="P1178"/>
      <c r="Q1178"/>
      <c r="R1178"/>
      <c r="S1178"/>
      <c r="U1178"/>
    </row>
    <row r="1179" spans="2:21" x14ac:dyDescent="0.15">
      <c r="B1179"/>
      <c r="N1179"/>
      <c r="P1179"/>
      <c r="Q1179"/>
      <c r="R1179"/>
      <c r="S1179"/>
      <c r="U1179"/>
    </row>
    <row r="1180" spans="2:21" x14ac:dyDescent="0.15">
      <c r="B1180"/>
      <c r="N1180"/>
      <c r="P1180"/>
      <c r="Q1180"/>
      <c r="R1180"/>
      <c r="S1180"/>
      <c r="U1180"/>
    </row>
    <row r="1181" spans="2:21" x14ac:dyDescent="0.15">
      <c r="B1181"/>
      <c r="N1181"/>
      <c r="P1181"/>
      <c r="Q1181"/>
      <c r="R1181"/>
      <c r="S1181"/>
      <c r="U1181"/>
    </row>
    <row r="1182" spans="2:21" x14ac:dyDescent="0.15">
      <c r="B1182"/>
      <c r="N1182"/>
      <c r="P1182"/>
      <c r="Q1182"/>
      <c r="R1182"/>
      <c r="S1182"/>
      <c r="U1182"/>
    </row>
    <row r="1183" spans="2:21" x14ac:dyDescent="0.15">
      <c r="B1183"/>
      <c r="N1183"/>
      <c r="P1183"/>
      <c r="Q1183"/>
      <c r="R1183"/>
      <c r="S1183"/>
      <c r="U1183"/>
    </row>
    <row r="1184" spans="2:21" x14ac:dyDescent="0.15">
      <c r="B1184"/>
      <c r="N1184"/>
      <c r="P1184"/>
      <c r="Q1184"/>
      <c r="R1184"/>
      <c r="S1184"/>
      <c r="U1184"/>
    </row>
    <row r="1185" spans="2:21" x14ac:dyDescent="0.15">
      <c r="B1185"/>
      <c r="N1185"/>
      <c r="P1185"/>
      <c r="Q1185"/>
      <c r="R1185"/>
      <c r="S1185"/>
      <c r="U1185"/>
    </row>
    <row r="1186" spans="2:21" x14ac:dyDescent="0.15">
      <c r="B1186"/>
      <c r="N1186"/>
      <c r="P1186"/>
      <c r="Q1186"/>
      <c r="R1186"/>
      <c r="S1186"/>
      <c r="U1186"/>
    </row>
    <row r="1187" spans="2:21" x14ac:dyDescent="0.15">
      <c r="B1187"/>
      <c r="N1187"/>
      <c r="P1187"/>
      <c r="Q1187"/>
      <c r="R1187"/>
      <c r="S1187"/>
      <c r="U1187"/>
    </row>
    <row r="1188" spans="2:21" x14ac:dyDescent="0.15">
      <c r="B1188"/>
      <c r="N1188"/>
      <c r="P1188"/>
      <c r="Q1188"/>
      <c r="R1188"/>
      <c r="S1188"/>
      <c r="U1188"/>
    </row>
    <row r="1189" spans="2:21" x14ac:dyDescent="0.15">
      <c r="B1189"/>
      <c r="N1189"/>
      <c r="P1189"/>
      <c r="Q1189"/>
      <c r="R1189"/>
      <c r="S1189"/>
      <c r="U1189"/>
    </row>
    <row r="1190" spans="2:21" x14ac:dyDescent="0.15">
      <c r="B1190"/>
      <c r="N1190"/>
      <c r="P1190"/>
      <c r="Q1190"/>
      <c r="R1190"/>
      <c r="S1190"/>
      <c r="U1190"/>
    </row>
    <row r="1191" spans="2:21" x14ac:dyDescent="0.15">
      <c r="B1191"/>
      <c r="N1191"/>
      <c r="P1191"/>
      <c r="Q1191"/>
      <c r="R1191"/>
      <c r="S1191"/>
      <c r="U1191"/>
    </row>
    <row r="1192" spans="2:21" x14ac:dyDescent="0.15">
      <c r="B1192"/>
      <c r="N1192"/>
      <c r="P1192"/>
      <c r="Q1192"/>
      <c r="R1192"/>
      <c r="S1192"/>
      <c r="U1192"/>
    </row>
    <row r="1193" spans="2:21" x14ac:dyDescent="0.15">
      <c r="B1193"/>
      <c r="N1193"/>
      <c r="P1193"/>
      <c r="Q1193"/>
      <c r="R1193"/>
      <c r="S1193"/>
      <c r="U1193"/>
    </row>
    <row r="1194" spans="2:21" x14ac:dyDescent="0.15">
      <c r="B1194"/>
      <c r="N1194"/>
      <c r="P1194"/>
      <c r="Q1194"/>
      <c r="R1194"/>
      <c r="S1194"/>
      <c r="U1194"/>
    </row>
    <row r="1195" spans="2:21" x14ac:dyDescent="0.15">
      <c r="B1195"/>
      <c r="N1195"/>
      <c r="P1195"/>
      <c r="Q1195"/>
      <c r="R1195"/>
      <c r="S1195"/>
      <c r="U1195"/>
    </row>
    <row r="1196" spans="2:21" x14ac:dyDescent="0.15">
      <c r="B1196"/>
      <c r="N1196"/>
      <c r="P1196"/>
      <c r="Q1196"/>
      <c r="R1196"/>
      <c r="S1196"/>
      <c r="U1196"/>
    </row>
    <row r="1197" spans="2:21" x14ac:dyDescent="0.15">
      <c r="B1197"/>
      <c r="N1197"/>
      <c r="P1197"/>
      <c r="Q1197"/>
      <c r="R1197"/>
      <c r="S1197"/>
      <c r="U1197"/>
    </row>
    <row r="1198" spans="2:21" x14ac:dyDescent="0.15">
      <c r="B1198"/>
      <c r="N1198"/>
      <c r="P1198"/>
      <c r="Q1198"/>
      <c r="R1198"/>
      <c r="S1198"/>
      <c r="U1198"/>
    </row>
    <row r="1199" spans="2:21" x14ac:dyDescent="0.15">
      <c r="B1199"/>
      <c r="N1199"/>
      <c r="P1199"/>
      <c r="Q1199"/>
      <c r="R1199"/>
      <c r="S1199"/>
      <c r="U1199"/>
    </row>
    <row r="1200" spans="2:21" x14ac:dyDescent="0.15">
      <c r="B1200"/>
      <c r="N1200"/>
      <c r="P1200"/>
      <c r="Q1200"/>
      <c r="R1200"/>
      <c r="S1200"/>
      <c r="U1200"/>
    </row>
    <row r="1201" spans="2:21" x14ac:dyDescent="0.15">
      <c r="B1201"/>
      <c r="N1201"/>
      <c r="P1201"/>
      <c r="Q1201"/>
      <c r="R1201"/>
      <c r="S1201"/>
      <c r="U1201"/>
    </row>
    <row r="1202" spans="2:21" x14ac:dyDescent="0.15">
      <c r="B1202"/>
      <c r="N1202"/>
      <c r="P1202"/>
      <c r="Q1202"/>
      <c r="R1202"/>
      <c r="S1202"/>
      <c r="U1202"/>
    </row>
    <row r="1203" spans="2:21" x14ac:dyDescent="0.15">
      <c r="B1203"/>
      <c r="N1203"/>
      <c r="P1203"/>
      <c r="Q1203"/>
      <c r="R1203"/>
      <c r="S1203"/>
      <c r="U1203"/>
    </row>
    <row r="1204" spans="2:21" x14ac:dyDescent="0.15">
      <c r="B1204"/>
      <c r="N1204"/>
      <c r="P1204"/>
      <c r="Q1204"/>
      <c r="R1204"/>
      <c r="S1204"/>
      <c r="U1204"/>
    </row>
    <row r="1205" spans="2:21" x14ac:dyDescent="0.15">
      <c r="B1205"/>
      <c r="N1205"/>
      <c r="P1205"/>
      <c r="Q1205"/>
      <c r="R1205"/>
      <c r="S1205"/>
      <c r="U1205"/>
    </row>
    <row r="1206" spans="2:21" x14ac:dyDescent="0.15">
      <c r="B1206"/>
      <c r="N1206"/>
      <c r="P1206"/>
      <c r="Q1206"/>
      <c r="R1206"/>
      <c r="S1206"/>
      <c r="U1206"/>
    </row>
    <row r="1207" spans="2:21" x14ac:dyDescent="0.15">
      <c r="B1207"/>
      <c r="N1207"/>
      <c r="P1207"/>
      <c r="Q1207"/>
      <c r="R1207"/>
      <c r="S1207"/>
      <c r="U1207"/>
    </row>
    <row r="1208" spans="2:21" x14ac:dyDescent="0.15">
      <c r="B1208"/>
      <c r="N1208"/>
      <c r="P1208"/>
      <c r="Q1208"/>
      <c r="R1208"/>
      <c r="S1208"/>
      <c r="U1208"/>
    </row>
    <row r="1209" spans="2:21" x14ac:dyDescent="0.15">
      <c r="B1209"/>
      <c r="N1209"/>
      <c r="P1209"/>
      <c r="Q1209"/>
      <c r="R1209"/>
      <c r="S1209"/>
      <c r="U1209"/>
    </row>
    <row r="1210" spans="2:21" x14ac:dyDescent="0.15">
      <c r="B1210"/>
      <c r="N1210"/>
      <c r="P1210"/>
      <c r="Q1210"/>
      <c r="R1210"/>
      <c r="S1210"/>
      <c r="U1210"/>
    </row>
    <row r="1211" spans="2:21" x14ac:dyDescent="0.15">
      <c r="B1211"/>
      <c r="N1211"/>
      <c r="P1211"/>
      <c r="Q1211"/>
      <c r="R1211"/>
      <c r="S1211"/>
      <c r="U1211"/>
    </row>
    <row r="1212" spans="2:21" x14ac:dyDescent="0.15">
      <c r="B1212"/>
      <c r="N1212"/>
      <c r="P1212"/>
      <c r="Q1212"/>
      <c r="R1212"/>
      <c r="S1212"/>
      <c r="U1212"/>
    </row>
    <row r="1213" spans="2:21" x14ac:dyDescent="0.15">
      <c r="B1213"/>
      <c r="N1213"/>
      <c r="P1213"/>
      <c r="Q1213"/>
      <c r="R1213"/>
      <c r="S1213"/>
      <c r="U1213"/>
    </row>
    <row r="1214" spans="2:21" x14ac:dyDescent="0.15">
      <c r="B1214"/>
      <c r="N1214"/>
      <c r="P1214"/>
      <c r="Q1214"/>
      <c r="R1214"/>
      <c r="S1214"/>
      <c r="U1214"/>
    </row>
    <row r="1215" spans="2:21" x14ac:dyDescent="0.15">
      <c r="B1215"/>
      <c r="N1215"/>
      <c r="P1215"/>
      <c r="Q1215"/>
      <c r="R1215"/>
      <c r="S1215"/>
      <c r="U1215"/>
    </row>
    <row r="1216" spans="2:21" x14ac:dyDescent="0.15">
      <c r="B1216"/>
      <c r="N1216"/>
      <c r="P1216"/>
      <c r="Q1216"/>
      <c r="R1216"/>
      <c r="S1216"/>
      <c r="U1216"/>
    </row>
    <row r="1217" spans="2:21" x14ac:dyDescent="0.15">
      <c r="B1217"/>
      <c r="N1217"/>
      <c r="P1217"/>
      <c r="Q1217"/>
      <c r="R1217"/>
      <c r="S1217"/>
      <c r="U1217"/>
    </row>
    <row r="1218" spans="2:21" x14ac:dyDescent="0.15">
      <c r="B1218"/>
      <c r="N1218"/>
      <c r="P1218"/>
      <c r="Q1218"/>
      <c r="R1218"/>
      <c r="S1218"/>
      <c r="U1218"/>
    </row>
    <row r="1219" spans="2:21" x14ac:dyDescent="0.15">
      <c r="B1219"/>
      <c r="N1219"/>
      <c r="P1219"/>
      <c r="Q1219"/>
      <c r="R1219"/>
      <c r="S1219"/>
      <c r="U1219"/>
    </row>
    <row r="1220" spans="2:21" x14ac:dyDescent="0.15">
      <c r="B1220"/>
      <c r="N1220"/>
      <c r="P1220"/>
      <c r="Q1220"/>
      <c r="R1220"/>
      <c r="S1220"/>
      <c r="U1220"/>
    </row>
    <row r="1221" spans="2:21" x14ac:dyDescent="0.15">
      <c r="B1221"/>
      <c r="N1221"/>
      <c r="P1221"/>
      <c r="Q1221"/>
      <c r="R1221"/>
      <c r="S1221"/>
      <c r="U1221"/>
    </row>
    <row r="1222" spans="2:21" x14ac:dyDescent="0.15">
      <c r="B1222"/>
      <c r="N1222"/>
      <c r="P1222"/>
      <c r="Q1222"/>
      <c r="R1222"/>
      <c r="S1222"/>
      <c r="U1222"/>
    </row>
    <row r="1223" spans="2:21" x14ac:dyDescent="0.15">
      <c r="B1223"/>
      <c r="N1223"/>
      <c r="P1223"/>
      <c r="Q1223"/>
      <c r="R1223"/>
      <c r="S1223"/>
      <c r="U1223"/>
    </row>
    <row r="1224" spans="2:21" x14ac:dyDescent="0.15">
      <c r="B1224"/>
      <c r="N1224"/>
      <c r="P1224"/>
      <c r="Q1224"/>
      <c r="R1224"/>
      <c r="S1224"/>
      <c r="U1224"/>
    </row>
    <row r="1225" spans="2:21" x14ac:dyDescent="0.15">
      <c r="B1225"/>
      <c r="N1225"/>
      <c r="P1225"/>
      <c r="Q1225"/>
      <c r="R1225"/>
      <c r="S1225"/>
      <c r="U1225"/>
    </row>
    <row r="1226" spans="2:21" x14ac:dyDescent="0.15">
      <c r="B1226"/>
      <c r="N1226"/>
      <c r="P1226"/>
      <c r="Q1226"/>
      <c r="R1226"/>
      <c r="S1226"/>
      <c r="U1226"/>
    </row>
    <row r="1227" spans="2:21" x14ac:dyDescent="0.15">
      <c r="B1227"/>
      <c r="N1227"/>
      <c r="P1227"/>
      <c r="Q1227"/>
      <c r="R1227"/>
      <c r="S1227"/>
      <c r="U1227"/>
    </row>
    <row r="1228" spans="2:21" x14ac:dyDescent="0.15">
      <c r="B1228"/>
      <c r="N1228"/>
      <c r="P1228"/>
      <c r="Q1228"/>
      <c r="R1228"/>
      <c r="S1228"/>
      <c r="U1228"/>
    </row>
    <row r="1229" spans="2:21" x14ac:dyDescent="0.15">
      <c r="B1229"/>
      <c r="N1229"/>
      <c r="P1229"/>
      <c r="Q1229"/>
      <c r="R1229"/>
      <c r="S1229"/>
      <c r="U1229"/>
    </row>
    <row r="1230" spans="2:21" x14ac:dyDescent="0.15">
      <c r="B1230"/>
      <c r="N1230"/>
      <c r="P1230"/>
      <c r="Q1230"/>
      <c r="R1230"/>
      <c r="S1230"/>
      <c r="U1230"/>
    </row>
    <row r="1231" spans="2:21" x14ac:dyDescent="0.15">
      <c r="B1231"/>
      <c r="N1231"/>
      <c r="P1231"/>
      <c r="Q1231"/>
      <c r="R1231"/>
      <c r="S1231"/>
      <c r="U1231"/>
    </row>
    <row r="1232" spans="2:21" x14ac:dyDescent="0.15">
      <c r="B1232"/>
      <c r="N1232"/>
      <c r="P1232"/>
      <c r="Q1232"/>
      <c r="R1232"/>
      <c r="S1232"/>
      <c r="U1232"/>
    </row>
    <row r="1233" spans="2:21" x14ac:dyDescent="0.15">
      <c r="B1233"/>
      <c r="N1233"/>
      <c r="P1233"/>
      <c r="Q1233"/>
      <c r="R1233"/>
      <c r="S1233"/>
      <c r="U1233"/>
    </row>
    <row r="1234" spans="2:21" x14ac:dyDescent="0.15">
      <c r="B1234"/>
      <c r="N1234"/>
      <c r="P1234"/>
      <c r="Q1234"/>
      <c r="R1234"/>
      <c r="S1234"/>
      <c r="U1234"/>
    </row>
    <row r="1235" spans="2:21" x14ac:dyDescent="0.15">
      <c r="B1235"/>
      <c r="N1235"/>
      <c r="P1235"/>
      <c r="Q1235"/>
      <c r="R1235"/>
      <c r="S1235"/>
      <c r="U1235"/>
    </row>
    <row r="1236" spans="2:21" x14ac:dyDescent="0.15">
      <c r="B1236"/>
      <c r="N1236"/>
      <c r="P1236"/>
      <c r="Q1236"/>
      <c r="R1236"/>
      <c r="S1236"/>
      <c r="U1236"/>
    </row>
    <row r="1237" spans="2:21" x14ac:dyDescent="0.15">
      <c r="B1237"/>
      <c r="N1237"/>
      <c r="P1237"/>
      <c r="Q1237"/>
      <c r="R1237"/>
      <c r="S1237"/>
      <c r="U1237"/>
    </row>
    <row r="1238" spans="2:21" x14ac:dyDescent="0.15">
      <c r="B1238"/>
      <c r="N1238"/>
      <c r="P1238"/>
      <c r="Q1238"/>
      <c r="R1238"/>
      <c r="S1238"/>
      <c r="U1238"/>
    </row>
    <row r="1239" spans="2:21" x14ac:dyDescent="0.15">
      <c r="B1239"/>
      <c r="N1239"/>
      <c r="P1239"/>
      <c r="Q1239"/>
      <c r="R1239"/>
      <c r="S1239"/>
      <c r="U1239"/>
    </row>
    <row r="1240" spans="2:21" x14ac:dyDescent="0.15">
      <c r="B1240"/>
      <c r="N1240"/>
      <c r="P1240"/>
      <c r="Q1240"/>
      <c r="R1240"/>
      <c r="S1240"/>
      <c r="U1240"/>
    </row>
    <row r="1241" spans="2:21" x14ac:dyDescent="0.15">
      <c r="B1241"/>
      <c r="N1241"/>
      <c r="P1241"/>
      <c r="Q1241"/>
      <c r="R1241"/>
      <c r="S1241"/>
      <c r="U1241"/>
    </row>
    <row r="1242" spans="2:21" x14ac:dyDescent="0.15">
      <c r="B1242"/>
      <c r="N1242"/>
      <c r="P1242"/>
      <c r="Q1242"/>
      <c r="R1242"/>
      <c r="S1242"/>
      <c r="U1242"/>
    </row>
    <row r="1243" spans="2:21" x14ac:dyDescent="0.15">
      <c r="B1243"/>
      <c r="N1243"/>
      <c r="P1243"/>
      <c r="Q1243"/>
      <c r="R1243"/>
      <c r="S1243"/>
      <c r="U1243"/>
    </row>
    <row r="1244" spans="2:21" x14ac:dyDescent="0.15">
      <c r="B1244"/>
      <c r="N1244"/>
      <c r="P1244"/>
      <c r="Q1244"/>
      <c r="R1244"/>
      <c r="S1244"/>
      <c r="U1244"/>
    </row>
    <row r="1245" spans="2:21" x14ac:dyDescent="0.15">
      <c r="B1245"/>
      <c r="N1245"/>
      <c r="P1245"/>
      <c r="Q1245"/>
      <c r="R1245"/>
      <c r="S1245"/>
      <c r="U1245"/>
    </row>
    <row r="1246" spans="2:21" x14ac:dyDescent="0.15">
      <c r="B1246"/>
      <c r="N1246"/>
      <c r="P1246"/>
      <c r="Q1246"/>
      <c r="R1246"/>
      <c r="S1246"/>
      <c r="U1246"/>
    </row>
    <row r="1247" spans="2:21" x14ac:dyDescent="0.15">
      <c r="B1247"/>
      <c r="N1247"/>
      <c r="P1247"/>
      <c r="Q1247"/>
      <c r="R1247"/>
      <c r="S1247"/>
      <c r="U1247"/>
    </row>
    <row r="1248" spans="2:21" x14ac:dyDescent="0.15">
      <c r="B1248"/>
      <c r="N1248"/>
      <c r="P1248"/>
      <c r="Q1248"/>
      <c r="R1248"/>
      <c r="S1248"/>
      <c r="U1248"/>
    </row>
    <row r="1249" spans="2:21" x14ac:dyDescent="0.15">
      <c r="B1249"/>
      <c r="N1249"/>
      <c r="P1249"/>
      <c r="Q1249"/>
      <c r="R1249"/>
      <c r="S1249"/>
      <c r="U1249"/>
    </row>
    <row r="1250" spans="2:21" x14ac:dyDescent="0.15">
      <c r="B1250"/>
      <c r="N1250"/>
      <c r="P1250"/>
      <c r="Q1250"/>
      <c r="R1250"/>
      <c r="S1250"/>
      <c r="U1250"/>
    </row>
    <row r="1251" spans="2:21" x14ac:dyDescent="0.15">
      <c r="B1251"/>
      <c r="N1251"/>
      <c r="P1251"/>
      <c r="Q1251"/>
      <c r="R1251"/>
      <c r="S1251"/>
      <c r="U1251"/>
    </row>
    <row r="1252" spans="2:21" x14ac:dyDescent="0.15">
      <c r="B1252"/>
      <c r="N1252"/>
      <c r="P1252"/>
      <c r="Q1252"/>
      <c r="R1252"/>
      <c r="S1252"/>
      <c r="U1252"/>
    </row>
    <row r="1253" spans="2:21" x14ac:dyDescent="0.15">
      <c r="B1253"/>
      <c r="N1253"/>
      <c r="P1253"/>
      <c r="Q1253"/>
      <c r="R1253"/>
      <c r="S1253"/>
      <c r="U1253"/>
    </row>
    <row r="1254" spans="2:21" x14ac:dyDescent="0.15">
      <c r="B1254"/>
      <c r="N1254"/>
      <c r="P1254"/>
      <c r="Q1254"/>
      <c r="R1254"/>
      <c r="S1254"/>
      <c r="U1254"/>
    </row>
    <row r="1255" spans="2:21" x14ac:dyDescent="0.15">
      <c r="B1255"/>
      <c r="N1255"/>
      <c r="P1255"/>
      <c r="Q1255"/>
      <c r="R1255"/>
      <c r="S1255"/>
      <c r="U1255"/>
    </row>
    <row r="1256" spans="2:21" x14ac:dyDescent="0.15">
      <c r="B1256"/>
      <c r="N1256"/>
      <c r="P1256"/>
      <c r="Q1256"/>
      <c r="R1256"/>
      <c r="S1256"/>
      <c r="U1256"/>
    </row>
    <row r="1257" spans="2:21" x14ac:dyDescent="0.15">
      <c r="B1257"/>
      <c r="N1257"/>
      <c r="P1257"/>
      <c r="Q1257"/>
      <c r="R1257"/>
      <c r="S1257"/>
      <c r="U1257"/>
    </row>
    <row r="1258" spans="2:21" x14ac:dyDescent="0.15">
      <c r="B1258"/>
      <c r="N1258"/>
      <c r="P1258"/>
      <c r="Q1258"/>
      <c r="R1258"/>
      <c r="S1258"/>
      <c r="U1258"/>
    </row>
    <row r="1259" spans="2:21" x14ac:dyDescent="0.15">
      <c r="B1259"/>
      <c r="N1259"/>
      <c r="P1259"/>
      <c r="Q1259"/>
      <c r="R1259"/>
      <c r="S1259"/>
      <c r="U1259"/>
    </row>
    <row r="1260" spans="2:21" x14ac:dyDescent="0.15">
      <c r="B1260"/>
      <c r="N1260"/>
      <c r="P1260"/>
      <c r="Q1260"/>
      <c r="R1260"/>
      <c r="S1260"/>
      <c r="U1260"/>
    </row>
    <row r="1261" spans="2:21" x14ac:dyDescent="0.15">
      <c r="B1261"/>
      <c r="N1261"/>
      <c r="P1261"/>
      <c r="Q1261"/>
      <c r="R1261"/>
      <c r="S1261"/>
      <c r="U1261"/>
    </row>
    <row r="1262" spans="2:21" x14ac:dyDescent="0.15">
      <c r="B1262"/>
      <c r="N1262"/>
      <c r="P1262"/>
      <c r="Q1262"/>
      <c r="R1262"/>
      <c r="S1262"/>
      <c r="U1262"/>
    </row>
    <row r="1263" spans="2:21" x14ac:dyDescent="0.15">
      <c r="B1263"/>
      <c r="N1263"/>
      <c r="P1263"/>
      <c r="Q1263"/>
      <c r="R1263"/>
      <c r="S1263"/>
      <c r="U1263"/>
    </row>
    <row r="1264" spans="2:21" x14ac:dyDescent="0.15">
      <c r="B1264"/>
      <c r="N1264"/>
      <c r="P1264"/>
      <c r="Q1264"/>
      <c r="R1264"/>
      <c r="S1264"/>
      <c r="U1264"/>
    </row>
    <row r="1265" spans="2:21" x14ac:dyDescent="0.15">
      <c r="B1265"/>
      <c r="N1265"/>
      <c r="P1265"/>
      <c r="Q1265"/>
      <c r="R1265"/>
      <c r="S1265"/>
      <c r="U1265"/>
    </row>
    <row r="1266" spans="2:21" x14ac:dyDescent="0.15">
      <c r="B1266"/>
      <c r="N1266"/>
      <c r="P1266"/>
      <c r="Q1266"/>
      <c r="R1266"/>
      <c r="S1266"/>
      <c r="U1266"/>
    </row>
    <row r="1267" spans="2:21" x14ac:dyDescent="0.15">
      <c r="B1267"/>
      <c r="N1267"/>
      <c r="P1267"/>
      <c r="Q1267"/>
      <c r="R1267"/>
      <c r="S1267"/>
      <c r="U1267"/>
    </row>
    <row r="1268" spans="2:21" x14ac:dyDescent="0.15">
      <c r="B1268"/>
      <c r="N1268"/>
      <c r="P1268"/>
      <c r="Q1268"/>
      <c r="R1268"/>
      <c r="S1268"/>
      <c r="U1268"/>
    </row>
    <row r="1269" spans="2:21" x14ac:dyDescent="0.15">
      <c r="B1269"/>
      <c r="N1269"/>
      <c r="P1269"/>
      <c r="Q1269"/>
      <c r="R1269"/>
      <c r="S1269"/>
      <c r="U1269"/>
    </row>
    <row r="1270" spans="2:21" x14ac:dyDescent="0.15">
      <c r="B1270"/>
      <c r="N1270"/>
      <c r="P1270"/>
      <c r="Q1270"/>
      <c r="R1270"/>
      <c r="S1270"/>
      <c r="U1270"/>
    </row>
    <row r="1271" spans="2:21" x14ac:dyDescent="0.15">
      <c r="B1271"/>
      <c r="N1271"/>
      <c r="P1271"/>
      <c r="Q1271"/>
      <c r="R1271"/>
      <c r="S1271"/>
      <c r="U1271"/>
    </row>
    <row r="1272" spans="2:21" x14ac:dyDescent="0.15">
      <c r="B1272"/>
      <c r="N1272"/>
      <c r="P1272"/>
      <c r="Q1272"/>
      <c r="R1272"/>
      <c r="S1272"/>
      <c r="U1272"/>
    </row>
    <row r="1273" spans="2:21" x14ac:dyDescent="0.15">
      <c r="B1273"/>
      <c r="N1273"/>
      <c r="P1273"/>
      <c r="Q1273"/>
      <c r="R1273"/>
      <c r="S1273"/>
      <c r="U1273"/>
    </row>
    <row r="1274" spans="2:21" x14ac:dyDescent="0.15">
      <c r="B1274"/>
      <c r="N1274"/>
      <c r="P1274"/>
      <c r="Q1274"/>
      <c r="R1274"/>
      <c r="S1274"/>
      <c r="U1274"/>
    </row>
    <row r="1275" spans="2:21" x14ac:dyDescent="0.15">
      <c r="B1275"/>
      <c r="N1275"/>
      <c r="P1275"/>
      <c r="Q1275"/>
      <c r="R1275"/>
      <c r="S1275"/>
      <c r="U1275"/>
    </row>
    <row r="1276" spans="2:21" x14ac:dyDescent="0.15">
      <c r="B1276"/>
      <c r="N1276"/>
      <c r="P1276"/>
      <c r="Q1276"/>
      <c r="R1276"/>
      <c r="S1276"/>
      <c r="U1276"/>
    </row>
    <row r="1277" spans="2:21" x14ac:dyDescent="0.15">
      <c r="B1277"/>
      <c r="N1277"/>
      <c r="P1277"/>
      <c r="Q1277"/>
      <c r="R1277"/>
      <c r="S1277"/>
      <c r="U1277"/>
    </row>
    <row r="1278" spans="2:21" x14ac:dyDescent="0.15">
      <c r="B1278"/>
      <c r="N1278"/>
      <c r="P1278"/>
      <c r="Q1278"/>
      <c r="R1278"/>
      <c r="S1278"/>
      <c r="U1278"/>
    </row>
    <row r="1279" spans="2:21" x14ac:dyDescent="0.15">
      <c r="B1279"/>
      <c r="N1279"/>
      <c r="P1279"/>
      <c r="Q1279"/>
      <c r="R1279"/>
      <c r="S1279"/>
      <c r="U1279"/>
    </row>
    <row r="1280" spans="2:21" x14ac:dyDescent="0.15">
      <c r="B1280"/>
      <c r="N1280"/>
      <c r="P1280"/>
      <c r="Q1280"/>
      <c r="R1280"/>
      <c r="S1280"/>
      <c r="U1280"/>
    </row>
    <row r="1281" spans="2:21" x14ac:dyDescent="0.15">
      <c r="B1281"/>
      <c r="N1281"/>
      <c r="P1281"/>
      <c r="Q1281"/>
      <c r="R1281"/>
      <c r="S1281"/>
      <c r="U1281"/>
    </row>
    <row r="1282" spans="2:21" x14ac:dyDescent="0.15">
      <c r="B1282"/>
      <c r="N1282"/>
      <c r="P1282"/>
      <c r="Q1282"/>
      <c r="R1282"/>
      <c r="S1282"/>
      <c r="U1282"/>
    </row>
    <row r="1283" spans="2:21" x14ac:dyDescent="0.15">
      <c r="B1283"/>
      <c r="N1283"/>
      <c r="P1283"/>
      <c r="Q1283"/>
      <c r="R1283"/>
      <c r="S1283"/>
      <c r="U1283"/>
    </row>
    <row r="1284" spans="2:21" x14ac:dyDescent="0.15">
      <c r="B1284"/>
      <c r="N1284"/>
      <c r="P1284"/>
      <c r="Q1284"/>
      <c r="R1284"/>
      <c r="S1284"/>
      <c r="U1284"/>
    </row>
    <row r="1285" spans="2:21" x14ac:dyDescent="0.15">
      <c r="B1285"/>
      <c r="N1285"/>
      <c r="P1285"/>
      <c r="Q1285"/>
      <c r="R1285"/>
      <c r="S1285"/>
      <c r="U1285"/>
    </row>
    <row r="1286" spans="2:21" x14ac:dyDescent="0.15">
      <c r="B1286"/>
      <c r="N1286"/>
      <c r="P1286"/>
      <c r="Q1286"/>
      <c r="R1286"/>
      <c r="S1286"/>
      <c r="U1286"/>
    </row>
    <row r="1287" spans="2:21" x14ac:dyDescent="0.15">
      <c r="B1287"/>
      <c r="N1287"/>
      <c r="P1287"/>
      <c r="Q1287"/>
      <c r="R1287"/>
      <c r="S1287"/>
      <c r="U1287"/>
    </row>
    <row r="1288" spans="2:21" x14ac:dyDescent="0.15">
      <c r="B1288"/>
      <c r="N1288"/>
      <c r="P1288"/>
      <c r="Q1288"/>
      <c r="R1288"/>
      <c r="S1288"/>
      <c r="U1288"/>
    </row>
    <row r="1289" spans="2:21" x14ac:dyDescent="0.15">
      <c r="B1289"/>
      <c r="N1289"/>
      <c r="P1289"/>
      <c r="Q1289"/>
      <c r="R1289"/>
      <c r="S1289"/>
      <c r="U1289"/>
    </row>
    <row r="1290" spans="2:21" x14ac:dyDescent="0.15">
      <c r="B1290"/>
      <c r="N1290"/>
      <c r="P1290"/>
      <c r="Q1290"/>
      <c r="R1290"/>
      <c r="S1290"/>
      <c r="U1290"/>
    </row>
    <row r="1291" spans="2:21" x14ac:dyDescent="0.15">
      <c r="B1291"/>
      <c r="N1291"/>
      <c r="P1291"/>
      <c r="Q1291"/>
      <c r="R1291"/>
      <c r="S1291"/>
      <c r="U1291"/>
    </row>
    <row r="1292" spans="2:21" x14ac:dyDescent="0.15">
      <c r="B1292"/>
      <c r="N1292"/>
      <c r="P1292"/>
      <c r="Q1292"/>
      <c r="R1292"/>
      <c r="S1292"/>
      <c r="U1292"/>
    </row>
    <row r="1293" spans="2:21" x14ac:dyDescent="0.15">
      <c r="B1293"/>
      <c r="N1293"/>
      <c r="P1293"/>
      <c r="Q1293"/>
      <c r="R1293"/>
      <c r="S1293"/>
      <c r="U1293"/>
    </row>
    <row r="1294" spans="2:21" x14ac:dyDescent="0.15">
      <c r="B1294"/>
      <c r="N1294"/>
      <c r="P1294"/>
      <c r="Q1294"/>
      <c r="R1294"/>
      <c r="S1294"/>
      <c r="U1294"/>
    </row>
    <row r="1295" spans="2:21" x14ac:dyDescent="0.15">
      <c r="B1295"/>
      <c r="N1295"/>
      <c r="P1295"/>
      <c r="Q1295"/>
      <c r="R1295"/>
      <c r="S1295"/>
      <c r="U1295"/>
    </row>
    <row r="1296" spans="2:21" x14ac:dyDescent="0.15">
      <c r="B1296"/>
      <c r="N1296"/>
      <c r="P1296"/>
      <c r="Q1296"/>
      <c r="R1296"/>
      <c r="S1296"/>
      <c r="U1296"/>
    </row>
    <row r="1297" spans="2:21" x14ac:dyDescent="0.15">
      <c r="B1297"/>
      <c r="N1297"/>
      <c r="P1297"/>
      <c r="Q1297"/>
      <c r="R1297"/>
      <c r="S1297"/>
      <c r="U1297"/>
    </row>
    <row r="1298" spans="2:21" x14ac:dyDescent="0.15">
      <c r="B1298"/>
      <c r="N1298"/>
      <c r="P1298"/>
      <c r="Q1298"/>
      <c r="R1298"/>
      <c r="S1298"/>
      <c r="U1298"/>
    </row>
    <row r="1299" spans="2:21" x14ac:dyDescent="0.15">
      <c r="B1299"/>
      <c r="N1299"/>
      <c r="P1299"/>
      <c r="Q1299"/>
      <c r="R1299"/>
      <c r="S1299"/>
      <c r="U1299"/>
    </row>
    <row r="1300" spans="2:21" x14ac:dyDescent="0.15">
      <c r="B1300"/>
      <c r="N1300"/>
      <c r="P1300"/>
      <c r="Q1300"/>
      <c r="R1300"/>
      <c r="S1300"/>
      <c r="U1300"/>
    </row>
    <row r="1301" spans="2:21" x14ac:dyDescent="0.15">
      <c r="B1301"/>
      <c r="N1301"/>
      <c r="P1301"/>
      <c r="Q1301"/>
      <c r="R1301"/>
      <c r="S1301"/>
      <c r="U1301"/>
    </row>
    <row r="1302" spans="2:21" x14ac:dyDescent="0.15">
      <c r="B1302"/>
      <c r="N1302"/>
      <c r="P1302"/>
      <c r="Q1302"/>
      <c r="R1302"/>
      <c r="S1302"/>
      <c r="U1302"/>
    </row>
    <row r="1303" spans="2:21" x14ac:dyDescent="0.15">
      <c r="B1303"/>
      <c r="N1303"/>
      <c r="P1303"/>
      <c r="Q1303"/>
      <c r="R1303"/>
      <c r="S1303"/>
      <c r="U1303"/>
    </row>
    <row r="1304" spans="2:21" x14ac:dyDescent="0.15">
      <c r="B1304"/>
      <c r="N1304"/>
      <c r="P1304"/>
      <c r="Q1304"/>
      <c r="R1304"/>
      <c r="S1304"/>
      <c r="U1304"/>
    </row>
    <row r="1305" spans="2:21" x14ac:dyDescent="0.15">
      <c r="B1305"/>
      <c r="N1305"/>
      <c r="P1305"/>
      <c r="Q1305"/>
      <c r="R1305"/>
      <c r="S1305"/>
      <c r="U1305"/>
    </row>
    <row r="1306" spans="2:21" x14ac:dyDescent="0.15">
      <c r="B1306"/>
      <c r="N1306"/>
      <c r="P1306"/>
      <c r="Q1306"/>
      <c r="R1306"/>
      <c r="S1306"/>
      <c r="U1306"/>
    </row>
    <row r="1307" spans="2:21" x14ac:dyDescent="0.15">
      <c r="B1307"/>
      <c r="N1307"/>
      <c r="P1307"/>
      <c r="Q1307"/>
      <c r="R1307"/>
      <c r="S1307"/>
      <c r="U1307"/>
    </row>
    <row r="1308" spans="2:21" x14ac:dyDescent="0.15">
      <c r="B1308"/>
      <c r="N1308"/>
      <c r="P1308"/>
      <c r="Q1308"/>
      <c r="R1308"/>
      <c r="S1308"/>
      <c r="U1308"/>
    </row>
    <row r="1309" spans="2:21" x14ac:dyDescent="0.15">
      <c r="B1309"/>
      <c r="N1309"/>
      <c r="P1309"/>
      <c r="Q1309"/>
      <c r="R1309"/>
      <c r="S1309"/>
      <c r="U1309"/>
    </row>
    <row r="1310" spans="2:21" x14ac:dyDescent="0.15">
      <c r="B1310"/>
      <c r="N1310"/>
      <c r="P1310"/>
      <c r="Q1310"/>
      <c r="R1310"/>
      <c r="S1310"/>
      <c r="U1310"/>
    </row>
    <row r="1311" spans="2:21" x14ac:dyDescent="0.15">
      <c r="B1311"/>
      <c r="N1311"/>
      <c r="P1311"/>
      <c r="Q1311"/>
      <c r="R1311"/>
      <c r="S1311"/>
      <c r="U1311"/>
    </row>
    <row r="1312" spans="2:21" x14ac:dyDescent="0.15">
      <c r="B1312"/>
      <c r="N1312"/>
      <c r="P1312"/>
      <c r="Q1312"/>
      <c r="R1312"/>
      <c r="S1312"/>
      <c r="U1312"/>
    </row>
    <row r="1313" spans="2:21" x14ac:dyDescent="0.15">
      <c r="B1313"/>
      <c r="N1313"/>
      <c r="P1313"/>
      <c r="Q1313"/>
      <c r="R1313"/>
      <c r="S1313"/>
      <c r="U1313"/>
    </row>
    <row r="1314" spans="2:21" x14ac:dyDescent="0.15">
      <c r="B1314"/>
      <c r="N1314"/>
      <c r="P1314"/>
      <c r="Q1314"/>
      <c r="R1314"/>
      <c r="S1314"/>
      <c r="U1314"/>
    </row>
    <row r="1315" spans="2:21" x14ac:dyDescent="0.15">
      <c r="B1315"/>
      <c r="N1315"/>
      <c r="P1315"/>
      <c r="Q1315"/>
      <c r="R1315"/>
      <c r="S1315"/>
      <c r="U1315"/>
    </row>
    <row r="1316" spans="2:21" x14ac:dyDescent="0.15">
      <c r="B1316"/>
      <c r="N1316"/>
      <c r="P1316"/>
      <c r="Q1316"/>
      <c r="R1316"/>
      <c r="S1316"/>
      <c r="U1316"/>
    </row>
    <row r="1317" spans="2:21" x14ac:dyDescent="0.15">
      <c r="B1317"/>
      <c r="N1317"/>
      <c r="P1317"/>
      <c r="Q1317"/>
      <c r="R1317"/>
      <c r="S1317"/>
      <c r="U1317"/>
    </row>
    <row r="1318" spans="2:21" x14ac:dyDescent="0.15">
      <c r="B1318"/>
      <c r="N1318"/>
      <c r="P1318"/>
      <c r="Q1318"/>
      <c r="R1318"/>
      <c r="S1318"/>
      <c r="U1318"/>
    </row>
    <row r="1319" spans="2:21" x14ac:dyDescent="0.15">
      <c r="B1319"/>
      <c r="N1319"/>
      <c r="P1319"/>
      <c r="Q1319"/>
      <c r="R1319"/>
      <c r="S1319"/>
      <c r="U1319"/>
    </row>
    <row r="1320" spans="2:21" x14ac:dyDescent="0.15">
      <c r="B1320"/>
      <c r="N1320"/>
      <c r="P1320"/>
      <c r="Q1320"/>
      <c r="R1320"/>
      <c r="S1320"/>
      <c r="U1320"/>
    </row>
    <row r="1321" spans="2:21" x14ac:dyDescent="0.15">
      <c r="B1321"/>
      <c r="N1321"/>
      <c r="P1321"/>
      <c r="Q1321"/>
      <c r="R1321"/>
      <c r="S1321"/>
      <c r="U1321"/>
    </row>
    <row r="1322" spans="2:21" x14ac:dyDescent="0.15">
      <c r="B1322"/>
      <c r="N1322"/>
      <c r="P1322"/>
      <c r="Q1322"/>
      <c r="R1322"/>
      <c r="S1322"/>
      <c r="U1322"/>
    </row>
    <row r="1323" spans="2:21" x14ac:dyDescent="0.15">
      <c r="B1323"/>
      <c r="N1323"/>
      <c r="P1323"/>
      <c r="Q1323"/>
      <c r="R1323"/>
      <c r="S1323"/>
      <c r="U1323"/>
    </row>
    <row r="1324" spans="2:21" x14ac:dyDescent="0.15">
      <c r="B1324"/>
      <c r="N1324"/>
      <c r="P1324"/>
      <c r="Q1324"/>
      <c r="R1324"/>
      <c r="S1324"/>
      <c r="U1324"/>
    </row>
    <row r="1325" spans="2:21" x14ac:dyDescent="0.15">
      <c r="B1325"/>
      <c r="N1325"/>
      <c r="P1325"/>
      <c r="Q1325"/>
      <c r="R1325"/>
      <c r="S1325"/>
      <c r="U1325"/>
    </row>
    <row r="1326" spans="2:21" x14ac:dyDescent="0.15">
      <c r="B1326"/>
      <c r="N1326"/>
      <c r="P1326"/>
      <c r="Q1326"/>
      <c r="R1326"/>
      <c r="S1326"/>
      <c r="U1326"/>
    </row>
    <row r="1327" spans="2:21" x14ac:dyDescent="0.15">
      <c r="B1327"/>
      <c r="N1327"/>
      <c r="P1327"/>
      <c r="Q1327"/>
      <c r="R1327"/>
      <c r="S1327"/>
      <c r="U1327"/>
    </row>
    <row r="1328" spans="2:21" x14ac:dyDescent="0.15">
      <c r="B1328"/>
      <c r="N1328"/>
      <c r="P1328"/>
      <c r="Q1328"/>
      <c r="R1328"/>
      <c r="S1328"/>
      <c r="U1328"/>
    </row>
    <row r="1329" spans="2:21" x14ac:dyDescent="0.15">
      <c r="B1329"/>
      <c r="N1329"/>
      <c r="P1329"/>
      <c r="Q1329"/>
      <c r="R1329"/>
      <c r="S1329"/>
      <c r="U1329"/>
    </row>
    <row r="1330" spans="2:21" x14ac:dyDescent="0.15">
      <c r="B1330"/>
      <c r="N1330"/>
      <c r="P1330"/>
      <c r="Q1330"/>
      <c r="R1330"/>
      <c r="S1330"/>
      <c r="U1330"/>
    </row>
    <row r="1331" spans="2:21" x14ac:dyDescent="0.15">
      <c r="B1331"/>
      <c r="N1331"/>
      <c r="P1331"/>
      <c r="Q1331"/>
      <c r="R1331"/>
      <c r="S1331"/>
      <c r="U1331"/>
    </row>
    <row r="1332" spans="2:21" x14ac:dyDescent="0.15">
      <c r="B1332"/>
      <c r="N1332"/>
      <c r="P1332"/>
      <c r="Q1332"/>
      <c r="R1332"/>
      <c r="S1332"/>
      <c r="U1332"/>
    </row>
    <row r="1333" spans="2:21" x14ac:dyDescent="0.15">
      <c r="B1333"/>
      <c r="N1333"/>
      <c r="P1333"/>
      <c r="Q1333"/>
      <c r="R1333"/>
      <c r="S1333"/>
      <c r="U1333"/>
    </row>
    <row r="1334" spans="2:21" x14ac:dyDescent="0.15">
      <c r="B1334"/>
      <c r="N1334"/>
      <c r="P1334"/>
      <c r="Q1334"/>
      <c r="R1334"/>
      <c r="S1334"/>
      <c r="U1334"/>
    </row>
    <row r="1335" spans="2:21" x14ac:dyDescent="0.15">
      <c r="B1335"/>
      <c r="N1335"/>
      <c r="P1335"/>
      <c r="Q1335"/>
      <c r="R1335"/>
      <c r="S1335"/>
      <c r="U1335"/>
    </row>
    <row r="1336" spans="2:21" x14ac:dyDescent="0.15">
      <c r="B1336"/>
      <c r="N1336"/>
      <c r="P1336"/>
      <c r="Q1336"/>
      <c r="R1336"/>
      <c r="S1336"/>
      <c r="U1336"/>
    </row>
    <row r="1337" spans="2:21" x14ac:dyDescent="0.15">
      <c r="B1337"/>
      <c r="N1337"/>
      <c r="P1337"/>
      <c r="Q1337"/>
      <c r="R1337"/>
      <c r="S1337"/>
      <c r="U1337"/>
    </row>
    <row r="1338" spans="2:21" x14ac:dyDescent="0.15">
      <c r="B1338"/>
      <c r="N1338"/>
      <c r="P1338"/>
      <c r="Q1338"/>
      <c r="R1338"/>
      <c r="S1338"/>
      <c r="U1338"/>
    </row>
    <row r="1339" spans="2:21" x14ac:dyDescent="0.15">
      <c r="B1339"/>
      <c r="N1339"/>
      <c r="P1339"/>
      <c r="Q1339"/>
      <c r="R1339"/>
      <c r="S1339"/>
      <c r="U1339"/>
    </row>
    <row r="1340" spans="2:21" x14ac:dyDescent="0.15">
      <c r="B1340"/>
      <c r="N1340"/>
      <c r="P1340"/>
      <c r="Q1340"/>
      <c r="R1340"/>
      <c r="S1340"/>
      <c r="U1340"/>
    </row>
    <row r="1341" spans="2:21" x14ac:dyDescent="0.15">
      <c r="B1341"/>
      <c r="N1341"/>
      <c r="P1341"/>
      <c r="Q1341"/>
      <c r="R1341"/>
      <c r="S1341"/>
      <c r="U1341"/>
    </row>
    <row r="1342" spans="2:21" x14ac:dyDescent="0.15">
      <c r="B1342"/>
      <c r="N1342"/>
      <c r="P1342"/>
      <c r="Q1342"/>
      <c r="R1342"/>
      <c r="S1342"/>
      <c r="U1342"/>
    </row>
    <row r="1343" spans="2:21" x14ac:dyDescent="0.15">
      <c r="B1343"/>
      <c r="N1343"/>
      <c r="P1343"/>
      <c r="Q1343"/>
      <c r="R1343"/>
      <c r="S1343"/>
      <c r="U1343"/>
    </row>
    <row r="1344" spans="2:21" x14ac:dyDescent="0.15">
      <c r="B1344"/>
      <c r="N1344"/>
      <c r="P1344"/>
      <c r="Q1344"/>
      <c r="R1344"/>
      <c r="S1344"/>
      <c r="U1344"/>
    </row>
    <row r="1345" spans="2:21" x14ac:dyDescent="0.15">
      <c r="B1345"/>
      <c r="N1345"/>
      <c r="P1345"/>
      <c r="Q1345"/>
      <c r="R1345"/>
      <c r="S1345"/>
      <c r="U1345"/>
    </row>
    <row r="1346" spans="2:21" x14ac:dyDescent="0.15">
      <c r="B1346"/>
      <c r="N1346"/>
      <c r="P1346"/>
      <c r="Q1346"/>
      <c r="R1346"/>
      <c r="S1346"/>
      <c r="U1346"/>
    </row>
    <row r="1347" spans="2:21" x14ac:dyDescent="0.15">
      <c r="B1347"/>
      <c r="N1347"/>
      <c r="P1347"/>
      <c r="Q1347"/>
      <c r="R1347"/>
      <c r="S1347"/>
      <c r="U1347"/>
    </row>
    <row r="1348" spans="2:21" x14ac:dyDescent="0.15">
      <c r="B1348"/>
      <c r="N1348"/>
      <c r="P1348"/>
      <c r="Q1348"/>
      <c r="R1348"/>
      <c r="S1348"/>
      <c r="U1348"/>
    </row>
    <row r="1349" spans="2:21" x14ac:dyDescent="0.15">
      <c r="B1349"/>
      <c r="N1349"/>
      <c r="P1349"/>
      <c r="Q1349"/>
      <c r="R1349"/>
      <c r="S1349"/>
      <c r="U1349"/>
    </row>
    <row r="1350" spans="2:21" x14ac:dyDescent="0.15">
      <c r="B1350"/>
      <c r="N1350"/>
      <c r="P1350"/>
      <c r="Q1350"/>
      <c r="R1350"/>
      <c r="S1350"/>
      <c r="U1350"/>
    </row>
    <row r="1351" spans="2:21" x14ac:dyDescent="0.15">
      <c r="B1351"/>
      <c r="N1351"/>
      <c r="P1351"/>
      <c r="Q1351"/>
      <c r="R1351"/>
      <c r="S1351"/>
      <c r="U1351"/>
    </row>
    <row r="1352" spans="2:21" x14ac:dyDescent="0.15">
      <c r="B1352"/>
      <c r="N1352"/>
      <c r="P1352"/>
      <c r="Q1352"/>
      <c r="R1352"/>
      <c r="S1352"/>
      <c r="U1352"/>
    </row>
    <row r="1353" spans="2:21" x14ac:dyDescent="0.15">
      <c r="B1353"/>
      <c r="N1353"/>
      <c r="P1353"/>
      <c r="Q1353"/>
      <c r="R1353"/>
      <c r="S1353"/>
      <c r="U1353"/>
    </row>
    <row r="1354" spans="2:21" x14ac:dyDescent="0.15">
      <c r="B1354"/>
      <c r="N1354"/>
      <c r="P1354"/>
      <c r="Q1354"/>
      <c r="R1354"/>
      <c r="S1354"/>
      <c r="U1354"/>
    </row>
    <row r="1355" spans="2:21" x14ac:dyDescent="0.15">
      <c r="B1355"/>
      <c r="N1355"/>
      <c r="P1355"/>
      <c r="Q1355"/>
      <c r="R1355"/>
      <c r="S1355"/>
      <c r="U1355"/>
    </row>
    <row r="1356" spans="2:21" x14ac:dyDescent="0.15">
      <c r="B1356"/>
      <c r="N1356"/>
      <c r="P1356"/>
      <c r="Q1356"/>
      <c r="R1356"/>
      <c r="S1356"/>
      <c r="U1356"/>
    </row>
    <row r="1357" spans="2:21" x14ac:dyDescent="0.15">
      <c r="B1357"/>
      <c r="N1357"/>
      <c r="P1357"/>
      <c r="Q1357"/>
      <c r="R1357"/>
      <c r="S1357"/>
      <c r="U1357"/>
    </row>
    <row r="1358" spans="2:21" x14ac:dyDescent="0.15">
      <c r="B1358"/>
      <c r="N1358"/>
      <c r="P1358"/>
      <c r="Q1358"/>
      <c r="R1358"/>
      <c r="S1358"/>
      <c r="U1358"/>
    </row>
    <row r="1359" spans="2:21" x14ac:dyDescent="0.15">
      <c r="B1359"/>
      <c r="N1359"/>
      <c r="P1359"/>
      <c r="Q1359"/>
      <c r="R1359"/>
      <c r="S1359"/>
      <c r="U1359"/>
    </row>
    <row r="1360" spans="2:21" x14ac:dyDescent="0.15">
      <c r="B1360"/>
      <c r="N1360"/>
      <c r="P1360"/>
      <c r="Q1360"/>
      <c r="R1360"/>
      <c r="S1360"/>
      <c r="U1360"/>
    </row>
    <row r="1361" spans="2:21" x14ac:dyDescent="0.15">
      <c r="B1361"/>
      <c r="N1361"/>
      <c r="P1361"/>
      <c r="Q1361"/>
      <c r="R1361"/>
      <c r="S1361"/>
      <c r="U1361"/>
    </row>
    <row r="1362" spans="2:21" x14ac:dyDescent="0.15">
      <c r="B1362"/>
      <c r="N1362"/>
      <c r="P1362"/>
      <c r="Q1362"/>
      <c r="R1362"/>
      <c r="S1362"/>
      <c r="U1362"/>
    </row>
    <row r="1363" spans="2:21" x14ac:dyDescent="0.15">
      <c r="B1363"/>
      <c r="N1363"/>
      <c r="P1363"/>
      <c r="Q1363"/>
      <c r="R1363"/>
      <c r="S1363"/>
      <c r="U1363"/>
    </row>
    <row r="1364" spans="2:21" x14ac:dyDescent="0.15">
      <c r="B1364"/>
      <c r="N1364"/>
      <c r="P1364"/>
      <c r="Q1364"/>
      <c r="R1364"/>
      <c r="S1364"/>
      <c r="U1364"/>
    </row>
    <row r="1365" spans="2:21" x14ac:dyDescent="0.15">
      <c r="B1365"/>
      <c r="N1365"/>
      <c r="P1365"/>
      <c r="Q1365"/>
      <c r="R1365"/>
      <c r="S1365"/>
      <c r="U1365"/>
    </row>
    <row r="1366" spans="2:21" x14ac:dyDescent="0.15">
      <c r="B1366"/>
      <c r="N1366"/>
      <c r="P1366"/>
      <c r="Q1366"/>
      <c r="R1366"/>
      <c r="S1366"/>
      <c r="U1366"/>
    </row>
    <row r="1367" spans="2:21" x14ac:dyDescent="0.15">
      <c r="B1367"/>
      <c r="N1367"/>
      <c r="P1367"/>
      <c r="Q1367"/>
      <c r="R1367"/>
      <c r="S1367"/>
      <c r="U1367"/>
    </row>
    <row r="1368" spans="2:21" x14ac:dyDescent="0.15">
      <c r="B1368"/>
      <c r="N1368"/>
      <c r="P1368"/>
      <c r="Q1368"/>
      <c r="R1368"/>
      <c r="S1368"/>
      <c r="U1368"/>
    </row>
    <row r="1369" spans="2:21" x14ac:dyDescent="0.15">
      <c r="B1369"/>
      <c r="N1369"/>
      <c r="P1369"/>
      <c r="Q1369"/>
      <c r="R1369"/>
      <c r="S1369"/>
      <c r="U1369"/>
    </row>
    <row r="1370" spans="2:21" x14ac:dyDescent="0.15">
      <c r="B1370"/>
      <c r="N1370"/>
      <c r="P1370"/>
      <c r="Q1370"/>
      <c r="R1370"/>
      <c r="S1370"/>
      <c r="U1370"/>
    </row>
    <row r="1371" spans="2:21" x14ac:dyDescent="0.15">
      <c r="B1371"/>
      <c r="N1371"/>
      <c r="P1371"/>
      <c r="Q1371"/>
      <c r="R1371"/>
      <c r="S1371"/>
      <c r="U1371"/>
    </row>
    <row r="1372" spans="2:21" x14ac:dyDescent="0.15">
      <c r="B1372"/>
      <c r="N1372"/>
      <c r="P1372"/>
      <c r="Q1372"/>
      <c r="R1372"/>
      <c r="S1372"/>
      <c r="U1372"/>
    </row>
    <row r="1373" spans="2:21" x14ac:dyDescent="0.15">
      <c r="B1373"/>
      <c r="N1373"/>
      <c r="P1373"/>
      <c r="Q1373"/>
      <c r="R1373"/>
      <c r="S1373"/>
      <c r="U1373"/>
    </row>
    <row r="1374" spans="2:21" x14ac:dyDescent="0.15">
      <c r="B1374"/>
      <c r="N1374"/>
      <c r="P1374"/>
      <c r="Q1374"/>
      <c r="R1374"/>
      <c r="S1374"/>
      <c r="U1374"/>
    </row>
    <row r="1375" spans="2:21" x14ac:dyDescent="0.15">
      <c r="B1375"/>
      <c r="N1375"/>
      <c r="P1375"/>
      <c r="Q1375"/>
      <c r="R1375"/>
      <c r="S1375"/>
      <c r="U1375"/>
    </row>
    <row r="1376" spans="2:21" x14ac:dyDescent="0.15">
      <c r="B1376"/>
      <c r="N1376"/>
      <c r="P1376"/>
      <c r="Q1376"/>
      <c r="R1376"/>
      <c r="S1376"/>
      <c r="U1376"/>
    </row>
    <row r="1377" spans="2:21" x14ac:dyDescent="0.15">
      <c r="B1377"/>
      <c r="N1377"/>
      <c r="P1377"/>
      <c r="Q1377"/>
      <c r="R1377"/>
      <c r="S1377"/>
      <c r="U1377"/>
    </row>
    <row r="1378" spans="2:21" x14ac:dyDescent="0.15">
      <c r="B1378"/>
      <c r="N1378"/>
      <c r="P1378"/>
      <c r="Q1378"/>
      <c r="R1378"/>
      <c r="S1378"/>
      <c r="U1378"/>
    </row>
    <row r="1379" spans="2:21" x14ac:dyDescent="0.15">
      <c r="B1379"/>
      <c r="N1379"/>
      <c r="P1379"/>
      <c r="Q1379"/>
      <c r="R1379"/>
      <c r="S1379"/>
      <c r="U1379"/>
    </row>
    <row r="1380" spans="2:21" x14ac:dyDescent="0.15">
      <c r="B1380"/>
      <c r="N1380"/>
      <c r="P1380"/>
      <c r="Q1380"/>
      <c r="R1380"/>
      <c r="S1380"/>
      <c r="U1380"/>
    </row>
    <row r="1381" spans="2:21" x14ac:dyDescent="0.15">
      <c r="B1381"/>
      <c r="N1381"/>
      <c r="P1381"/>
      <c r="Q1381"/>
      <c r="R1381"/>
      <c r="S1381"/>
      <c r="U1381"/>
    </row>
    <row r="1382" spans="2:21" x14ac:dyDescent="0.15">
      <c r="B1382"/>
      <c r="N1382"/>
      <c r="P1382"/>
      <c r="Q1382"/>
      <c r="R1382"/>
      <c r="S1382"/>
      <c r="U1382"/>
    </row>
    <row r="1383" spans="2:21" x14ac:dyDescent="0.15">
      <c r="B1383"/>
      <c r="N1383"/>
      <c r="P1383"/>
      <c r="Q1383"/>
      <c r="R1383"/>
      <c r="S1383"/>
      <c r="U1383"/>
    </row>
    <row r="1384" spans="2:21" x14ac:dyDescent="0.15">
      <c r="B1384"/>
      <c r="N1384"/>
      <c r="P1384"/>
      <c r="Q1384"/>
      <c r="R1384"/>
      <c r="S1384"/>
      <c r="U1384"/>
    </row>
    <row r="1385" spans="2:21" x14ac:dyDescent="0.15">
      <c r="B1385"/>
      <c r="N1385"/>
      <c r="P1385"/>
      <c r="Q1385"/>
      <c r="R1385"/>
      <c r="S1385"/>
      <c r="U1385"/>
    </row>
    <row r="1386" spans="2:21" x14ac:dyDescent="0.15">
      <c r="B1386"/>
      <c r="N1386"/>
      <c r="P1386"/>
      <c r="Q1386"/>
      <c r="R1386"/>
      <c r="S1386"/>
      <c r="U1386"/>
    </row>
    <row r="1387" spans="2:21" x14ac:dyDescent="0.15">
      <c r="B1387"/>
      <c r="N1387"/>
      <c r="P1387"/>
      <c r="Q1387"/>
      <c r="R1387"/>
      <c r="S1387"/>
      <c r="U1387"/>
    </row>
    <row r="1388" spans="2:21" x14ac:dyDescent="0.15">
      <c r="B1388"/>
      <c r="N1388"/>
      <c r="P1388"/>
      <c r="Q1388"/>
      <c r="R1388"/>
      <c r="S1388"/>
      <c r="U1388"/>
    </row>
    <row r="1389" spans="2:21" x14ac:dyDescent="0.15">
      <c r="B1389"/>
      <c r="N1389"/>
      <c r="P1389"/>
      <c r="Q1389"/>
      <c r="R1389"/>
      <c r="S1389"/>
      <c r="U1389"/>
    </row>
    <row r="1390" spans="2:21" x14ac:dyDescent="0.15">
      <c r="B1390"/>
      <c r="N1390"/>
      <c r="P1390"/>
      <c r="Q1390"/>
      <c r="R1390"/>
      <c r="S1390"/>
      <c r="U1390"/>
    </row>
    <row r="1391" spans="2:21" x14ac:dyDescent="0.15">
      <c r="B1391"/>
      <c r="N1391"/>
      <c r="P1391"/>
      <c r="Q1391"/>
      <c r="R1391"/>
      <c r="S1391"/>
      <c r="U1391"/>
    </row>
    <row r="1392" spans="2:21" x14ac:dyDescent="0.15">
      <c r="B1392"/>
      <c r="N1392"/>
      <c r="P1392"/>
      <c r="Q1392"/>
      <c r="R1392"/>
      <c r="S1392"/>
      <c r="U1392"/>
    </row>
    <row r="1393" spans="2:21" x14ac:dyDescent="0.15">
      <c r="B1393"/>
      <c r="N1393"/>
      <c r="P1393"/>
      <c r="Q1393"/>
      <c r="R1393"/>
      <c r="S1393"/>
      <c r="U1393"/>
    </row>
    <row r="1394" spans="2:21" x14ac:dyDescent="0.15">
      <c r="B1394"/>
      <c r="N1394"/>
      <c r="P1394"/>
      <c r="Q1394"/>
      <c r="R1394"/>
      <c r="S1394"/>
      <c r="U1394"/>
    </row>
    <row r="1395" spans="2:21" x14ac:dyDescent="0.15">
      <c r="B1395"/>
      <c r="N1395"/>
      <c r="P1395"/>
      <c r="Q1395"/>
      <c r="R1395"/>
      <c r="S1395"/>
      <c r="U1395"/>
    </row>
    <row r="1396" spans="2:21" x14ac:dyDescent="0.15">
      <c r="B1396"/>
      <c r="N1396"/>
      <c r="P1396"/>
      <c r="Q1396"/>
      <c r="R1396"/>
      <c r="S1396"/>
      <c r="U1396"/>
    </row>
    <row r="1397" spans="2:21" x14ac:dyDescent="0.15">
      <c r="B1397"/>
      <c r="N1397"/>
      <c r="P1397"/>
      <c r="Q1397"/>
      <c r="R1397"/>
      <c r="S1397"/>
      <c r="U1397"/>
    </row>
    <row r="1398" spans="2:21" x14ac:dyDescent="0.15">
      <c r="B1398"/>
      <c r="N1398"/>
      <c r="P1398"/>
      <c r="Q1398"/>
      <c r="R1398"/>
      <c r="S1398"/>
      <c r="U1398"/>
    </row>
    <row r="1399" spans="2:21" x14ac:dyDescent="0.15">
      <c r="B1399"/>
      <c r="N1399"/>
      <c r="P1399"/>
      <c r="Q1399"/>
      <c r="R1399"/>
      <c r="S1399"/>
      <c r="U1399"/>
    </row>
    <row r="1400" spans="2:21" x14ac:dyDescent="0.15">
      <c r="B1400"/>
      <c r="N1400"/>
      <c r="P1400"/>
      <c r="Q1400"/>
      <c r="R1400"/>
      <c r="S1400"/>
      <c r="U1400"/>
    </row>
    <row r="1401" spans="2:21" x14ac:dyDescent="0.15">
      <c r="B1401"/>
      <c r="N1401"/>
      <c r="P1401"/>
      <c r="Q1401"/>
      <c r="R1401"/>
      <c r="S1401"/>
      <c r="U1401"/>
    </row>
    <row r="1402" spans="2:21" x14ac:dyDescent="0.15">
      <c r="B1402"/>
      <c r="N1402"/>
      <c r="P1402"/>
      <c r="Q1402"/>
      <c r="R1402"/>
      <c r="S1402"/>
      <c r="U1402"/>
    </row>
    <row r="1403" spans="2:21" x14ac:dyDescent="0.15">
      <c r="B1403"/>
      <c r="N1403"/>
      <c r="P1403"/>
      <c r="Q1403"/>
      <c r="R1403"/>
      <c r="S1403"/>
      <c r="U1403"/>
    </row>
    <row r="1404" spans="2:21" x14ac:dyDescent="0.15">
      <c r="B1404"/>
      <c r="N1404"/>
      <c r="P1404"/>
      <c r="Q1404"/>
      <c r="R1404"/>
      <c r="S1404"/>
      <c r="U1404"/>
    </row>
    <row r="1405" spans="2:21" x14ac:dyDescent="0.15">
      <c r="B1405"/>
      <c r="N1405"/>
      <c r="P1405"/>
      <c r="Q1405"/>
      <c r="R1405"/>
      <c r="S1405"/>
      <c r="U1405"/>
    </row>
    <row r="1406" spans="2:21" x14ac:dyDescent="0.15">
      <c r="B1406"/>
      <c r="N1406"/>
      <c r="P1406"/>
      <c r="Q1406"/>
      <c r="R1406"/>
      <c r="S1406"/>
      <c r="U1406"/>
    </row>
    <row r="1407" spans="2:21" x14ac:dyDescent="0.15">
      <c r="B1407"/>
      <c r="N1407"/>
      <c r="P1407"/>
      <c r="Q1407"/>
      <c r="R1407"/>
      <c r="S1407"/>
      <c r="U1407"/>
    </row>
    <row r="1408" spans="2:21" x14ac:dyDescent="0.15">
      <c r="B1408"/>
      <c r="N1408"/>
      <c r="P1408"/>
      <c r="Q1408"/>
      <c r="R1408"/>
      <c r="S1408"/>
      <c r="U1408"/>
    </row>
    <row r="1409" spans="2:21" x14ac:dyDescent="0.15">
      <c r="B1409"/>
      <c r="N1409"/>
      <c r="P1409"/>
      <c r="Q1409"/>
      <c r="R1409"/>
      <c r="S1409"/>
      <c r="U1409"/>
    </row>
    <row r="1410" spans="2:21" x14ac:dyDescent="0.15">
      <c r="B1410"/>
      <c r="N1410"/>
      <c r="P1410"/>
      <c r="Q1410"/>
      <c r="R1410"/>
      <c r="S1410"/>
      <c r="U1410"/>
    </row>
    <row r="1411" spans="2:21" x14ac:dyDescent="0.15">
      <c r="B1411"/>
      <c r="N1411"/>
      <c r="P1411"/>
      <c r="Q1411"/>
      <c r="R1411"/>
      <c r="S1411"/>
      <c r="U1411"/>
    </row>
    <row r="1412" spans="2:21" x14ac:dyDescent="0.15">
      <c r="B1412"/>
      <c r="N1412"/>
      <c r="P1412"/>
      <c r="Q1412"/>
      <c r="R1412"/>
      <c r="S1412"/>
      <c r="U1412"/>
    </row>
    <row r="1413" spans="2:21" x14ac:dyDescent="0.15">
      <c r="B1413"/>
      <c r="N1413"/>
      <c r="P1413"/>
      <c r="Q1413"/>
      <c r="R1413"/>
      <c r="S1413"/>
      <c r="U1413"/>
    </row>
    <row r="1414" spans="2:21" x14ac:dyDescent="0.15">
      <c r="B1414"/>
      <c r="N1414"/>
      <c r="P1414"/>
      <c r="Q1414"/>
      <c r="R1414"/>
      <c r="S1414"/>
      <c r="U1414"/>
    </row>
    <row r="1415" spans="2:21" x14ac:dyDescent="0.15">
      <c r="B1415"/>
      <c r="N1415"/>
      <c r="P1415"/>
      <c r="Q1415"/>
      <c r="R1415"/>
      <c r="S1415"/>
      <c r="U1415"/>
    </row>
    <row r="1416" spans="2:21" x14ac:dyDescent="0.15">
      <c r="B1416"/>
      <c r="N1416"/>
      <c r="P1416"/>
      <c r="Q1416"/>
      <c r="R1416"/>
      <c r="S1416"/>
      <c r="U1416"/>
    </row>
    <row r="1417" spans="2:21" x14ac:dyDescent="0.15">
      <c r="B1417"/>
      <c r="N1417"/>
      <c r="P1417"/>
      <c r="Q1417"/>
      <c r="R1417"/>
      <c r="S1417"/>
      <c r="U1417"/>
    </row>
    <row r="1418" spans="2:21" x14ac:dyDescent="0.15">
      <c r="B1418"/>
      <c r="N1418"/>
      <c r="P1418"/>
      <c r="Q1418"/>
      <c r="R1418"/>
      <c r="S1418"/>
      <c r="U1418"/>
    </row>
    <row r="1419" spans="2:21" x14ac:dyDescent="0.15">
      <c r="B1419"/>
      <c r="N1419"/>
      <c r="P1419"/>
      <c r="Q1419"/>
      <c r="R1419"/>
      <c r="S1419"/>
      <c r="U1419"/>
    </row>
    <row r="1420" spans="2:21" x14ac:dyDescent="0.15">
      <c r="B1420"/>
      <c r="N1420"/>
      <c r="P1420"/>
      <c r="Q1420"/>
      <c r="R1420"/>
      <c r="S1420"/>
      <c r="U1420"/>
    </row>
    <row r="1421" spans="2:21" x14ac:dyDescent="0.15">
      <c r="B1421"/>
      <c r="N1421"/>
      <c r="P1421"/>
      <c r="Q1421"/>
      <c r="R1421"/>
      <c r="S1421"/>
      <c r="U1421"/>
    </row>
    <row r="1422" spans="2:21" x14ac:dyDescent="0.15">
      <c r="B1422"/>
      <c r="N1422"/>
      <c r="P1422"/>
      <c r="Q1422"/>
      <c r="R1422"/>
      <c r="S1422"/>
      <c r="U1422"/>
    </row>
    <row r="1423" spans="2:21" x14ac:dyDescent="0.15">
      <c r="B1423"/>
      <c r="N1423"/>
      <c r="P1423"/>
      <c r="Q1423"/>
      <c r="R1423"/>
      <c r="S1423"/>
      <c r="U1423"/>
    </row>
    <row r="1424" spans="2:21" x14ac:dyDescent="0.15">
      <c r="B1424"/>
      <c r="N1424"/>
      <c r="P1424"/>
      <c r="Q1424"/>
      <c r="R1424"/>
      <c r="S1424"/>
      <c r="U1424"/>
    </row>
    <row r="1425" spans="2:21" x14ac:dyDescent="0.15">
      <c r="B1425"/>
      <c r="N1425"/>
      <c r="P1425"/>
      <c r="Q1425"/>
      <c r="R1425"/>
      <c r="S1425"/>
      <c r="U1425"/>
    </row>
    <row r="1426" spans="2:21" x14ac:dyDescent="0.15">
      <c r="B1426"/>
      <c r="N1426"/>
      <c r="P1426"/>
      <c r="Q1426"/>
      <c r="R1426"/>
      <c r="S1426"/>
      <c r="U1426"/>
    </row>
    <row r="1427" spans="2:21" x14ac:dyDescent="0.15">
      <c r="B1427"/>
      <c r="N1427"/>
      <c r="P1427"/>
      <c r="Q1427"/>
      <c r="R1427"/>
      <c r="S1427"/>
      <c r="U1427"/>
    </row>
    <row r="1428" spans="2:21" x14ac:dyDescent="0.15">
      <c r="B1428"/>
      <c r="N1428"/>
      <c r="P1428"/>
      <c r="Q1428"/>
      <c r="R1428"/>
      <c r="S1428"/>
      <c r="U1428"/>
    </row>
    <row r="1429" spans="2:21" x14ac:dyDescent="0.15">
      <c r="B1429"/>
      <c r="N1429"/>
      <c r="P1429"/>
      <c r="Q1429"/>
      <c r="R1429"/>
      <c r="S1429"/>
      <c r="U1429"/>
    </row>
    <row r="1430" spans="2:21" x14ac:dyDescent="0.15">
      <c r="B1430"/>
      <c r="N1430"/>
      <c r="P1430"/>
      <c r="Q1430"/>
      <c r="R1430"/>
      <c r="S1430"/>
      <c r="U1430"/>
    </row>
    <row r="1431" spans="2:21" x14ac:dyDescent="0.15">
      <c r="B1431"/>
      <c r="N1431"/>
      <c r="P1431"/>
      <c r="Q1431"/>
      <c r="R1431"/>
      <c r="S1431"/>
      <c r="U1431"/>
    </row>
    <row r="1432" spans="2:21" x14ac:dyDescent="0.15">
      <c r="B1432"/>
      <c r="N1432"/>
      <c r="P1432"/>
      <c r="Q1432"/>
      <c r="R1432"/>
      <c r="S1432"/>
      <c r="U1432"/>
    </row>
    <row r="1433" spans="2:21" x14ac:dyDescent="0.15">
      <c r="B1433"/>
      <c r="N1433"/>
      <c r="P1433"/>
      <c r="Q1433"/>
      <c r="R1433"/>
      <c r="S1433"/>
      <c r="U1433"/>
    </row>
    <row r="1434" spans="2:21" x14ac:dyDescent="0.15">
      <c r="B1434"/>
      <c r="N1434"/>
      <c r="P1434"/>
      <c r="Q1434"/>
      <c r="R1434"/>
      <c r="S1434"/>
      <c r="U1434"/>
    </row>
    <row r="1435" spans="2:21" x14ac:dyDescent="0.15">
      <c r="B1435"/>
      <c r="N1435"/>
      <c r="P1435"/>
      <c r="Q1435"/>
      <c r="R1435"/>
      <c r="S1435"/>
      <c r="U1435"/>
    </row>
    <row r="1436" spans="2:21" x14ac:dyDescent="0.15">
      <c r="B1436"/>
      <c r="N1436"/>
      <c r="P1436"/>
      <c r="Q1436"/>
      <c r="R1436"/>
      <c r="S1436"/>
      <c r="U1436"/>
    </row>
    <row r="1437" spans="2:21" x14ac:dyDescent="0.15">
      <c r="B1437"/>
      <c r="N1437"/>
      <c r="P1437"/>
      <c r="Q1437"/>
      <c r="R1437"/>
      <c r="S1437"/>
      <c r="U1437"/>
    </row>
    <row r="1438" spans="2:21" x14ac:dyDescent="0.15">
      <c r="B1438"/>
      <c r="N1438"/>
      <c r="P1438"/>
      <c r="Q1438"/>
      <c r="R1438"/>
      <c r="S1438"/>
      <c r="U1438"/>
    </row>
    <row r="1439" spans="2:21" x14ac:dyDescent="0.15">
      <c r="B1439"/>
      <c r="N1439"/>
      <c r="P1439"/>
      <c r="Q1439"/>
      <c r="R1439"/>
      <c r="S1439"/>
      <c r="U1439"/>
    </row>
    <row r="1440" spans="2:21" x14ac:dyDescent="0.15">
      <c r="B1440"/>
      <c r="N1440"/>
      <c r="P1440"/>
      <c r="Q1440"/>
      <c r="R1440"/>
      <c r="S1440"/>
      <c r="U1440"/>
    </row>
    <row r="1441" spans="2:21" x14ac:dyDescent="0.15">
      <c r="B1441"/>
      <c r="N1441"/>
      <c r="P1441"/>
      <c r="Q1441"/>
      <c r="R1441"/>
      <c r="S1441"/>
      <c r="U1441"/>
    </row>
    <row r="1442" spans="2:21" x14ac:dyDescent="0.15">
      <c r="B1442"/>
      <c r="N1442"/>
      <c r="P1442"/>
      <c r="Q1442"/>
      <c r="R1442"/>
      <c r="S1442"/>
      <c r="U1442"/>
    </row>
    <row r="1443" spans="2:21" x14ac:dyDescent="0.15">
      <c r="B1443"/>
      <c r="N1443"/>
      <c r="P1443"/>
      <c r="Q1443"/>
      <c r="R1443"/>
      <c r="S1443"/>
      <c r="U1443"/>
    </row>
    <row r="1444" spans="2:21" x14ac:dyDescent="0.15">
      <c r="B1444"/>
      <c r="N1444"/>
      <c r="P1444"/>
      <c r="Q1444"/>
      <c r="R1444"/>
      <c r="S1444"/>
      <c r="U1444"/>
    </row>
    <row r="1445" spans="2:21" x14ac:dyDescent="0.15">
      <c r="B1445"/>
      <c r="N1445"/>
      <c r="P1445"/>
      <c r="Q1445"/>
      <c r="R1445"/>
      <c r="S1445"/>
      <c r="U1445"/>
    </row>
    <row r="1446" spans="2:21" x14ac:dyDescent="0.15">
      <c r="B1446"/>
      <c r="N1446"/>
      <c r="P1446"/>
      <c r="Q1446"/>
      <c r="R1446"/>
      <c r="S1446"/>
      <c r="U1446"/>
    </row>
    <row r="1447" spans="2:21" x14ac:dyDescent="0.15">
      <c r="B1447"/>
      <c r="N1447"/>
      <c r="P1447"/>
      <c r="Q1447"/>
      <c r="R1447"/>
      <c r="S1447"/>
      <c r="U1447"/>
    </row>
    <row r="1448" spans="2:21" x14ac:dyDescent="0.15">
      <c r="B1448"/>
      <c r="N1448"/>
      <c r="P1448"/>
      <c r="Q1448"/>
      <c r="R1448"/>
      <c r="S1448"/>
      <c r="U1448"/>
    </row>
    <row r="1449" spans="2:21" x14ac:dyDescent="0.15">
      <c r="B1449"/>
      <c r="N1449"/>
      <c r="P1449"/>
      <c r="Q1449"/>
      <c r="R1449"/>
      <c r="S1449"/>
      <c r="U1449"/>
    </row>
    <row r="1450" spans="2:21" x14ac:dyDescent="0.15">
      <c r="B1450"/>
      <c r="N1450"/>
      <c r="P1450"/>
      <c r="Q1450"/>
      <c r="R1450"/>
      <c r="S1450"/>
      <c r="U1450"/>
    </row>
    <row r="1451" spans="2:21" x14ac:dyDescent="0.15">
      <c r="B1451"/>
      <c r="N1451"/>
      <c r="P1451"/>
      <c r="Q1451"/>
      <c r="R1451"/>
      <c r="S1451"/>
      <c r="U1451"/>
    </row>
    <row r="1452" spans="2:21" x14ac:dyDescent="0.15">
      <c r="B1452"/>
      <c r="N1452"/>
      <c r="P1452"/>
      <c r="Q1452"/>
      <c r="R1452"/>
      <c r="S1452"/>
      <c r="U1452"/>
    </row>
    <row r="1453" spans="2:21" x14ac:dyDescent="0.15">
      <c r="B1453"/>
      <c r="N1453"/>
      <c r="P1453"/>
      <c r="Q1453"/>
      <c r="R1453"/>
      <c r="S1453"/>
      <c r="U1453"/>
    </row>
    <row r="1454" spans="2:21" x14ac:dyDescent="0.15">
      <c r="B1454"/>
      <c r="N1454"/>
      <c r="P1454"/>
      <c r="Q1454"/>
      <c r="R1454"/>
      <c r="S1454"/>
      <c r="U1454"/>
    </row>
    <row r="1455" spans="2:21" x14ac:dyDescent="0.15">
      <c r="B1455"/>
      <c r="N1455"/>
      <c r="P1455"/>
      <c r="Q1455"/>
      <c r="R1455"/>
      <c r="S1455"/>
      <c r="U1455"/>
    </row>
    <row r="1456" spans="2:21" x14ac:dyDescent="0.15">
      <c r="B1456"/>
      <c r="N1456"/>
      <c r="P1456"/>
      <c r="Q1456"/>
      <c r="R1456"/>
      <c r="S1456"/>
      <c r="U1456"/>
    </row>
    <row r="1457" spans="2:21" x14ac:dyDescent="0.15">
      <c r="B1457"/>
      <c r="N1457"/>
      <c r="P1457"/>
      <c r="Q1457"/>
      <c r="R1457"/>
      <c r="S1457"/>
      <c r="U1457"/>
    </row>
    <row r="1458" spans="2:21" x14ac:dyDescent="0.15">
      <c r="B1458"/>
      <c r="N1458"/>
      <c r="P1458"/>
      <c r="Q1458"/>
      <c r="R1458"/>
      <c r="S1458"/>
      <c r="U1458"/>
    </row>
    <row r="1459" spans="2:21" x14ac:dyDescent="0.15">
      <c r="B1459"/>
      <c r="N1459"/>
      <c r="P1459"/>
      <c r="Q1459"/>
      <c r="R1459"/>
      <c r="S1459"/>
      <c r="U1459"/>
    </row>
    <row r="1460" spans="2:21" x14ac:dyDescent="0.15">
      <c r="B1460"/>
      <c r="N1460"/>
      <c r="P1460"/>
      <c r="Q1460"/>
      <c r="R1460"/>
      <c r="S1460"/>
      <c r="U1460"/>
    </row>
    <row r="1461" spans="2:21" x14ac:dyDescent="0.15">
      <c r="B1461"/>
      <c r="N1461"/>
      <c r="P1461"/>
      <c r="Q1461"/>
      <c r="R1461"/>
      <c r="S1461"/>
      <c r="U1461"/>
    </row>
    <row r="1462" spans="2:21" x14ac:dyDescent="0.15">
      <c r="B1462"/>
      <c r="N1462"/>
      <c r="P1462"/>
      <c r="Q1462"/>
      <c r="R1462"/>
      <c r="S1462"/>
      <c r="U1462"/>
    </row>
    <row r="1463" spans="2:21" x14ac:dyDescent="0.15">
      <c r="B1463"/>
      <c r="N1463"/>
      <c r="P1463"/>
      <c r="Q1463"/>
      <c r="R1463"/>
      <c r="S1463"/>
      <c r="U1463"/>
    </row>
    <row r="1464" spans="2:21" x14ac:dyDescent="0.15">
      <c r="B1464"/>
      <c r="N1464"/>
      <c r="P1464"/>
      <c r="Q1464"/>
      <c r="R1464"/>
      <c r="S1464"/>
      <c r="U1464"/>
    </row>
    <row r="1465" spans="2:21" x14ac:dyDescent="0.15">
      <c r="B1465"/>
      <c r="N1465"/>
      <c r="P1465"/>
      <c r="Q1465"/>
      <c r="R1465"/>
      <c r="S1465"/>
      <c r="U1465"/>
    </row>
    <row r="1466" spans="2:21" x14ac:dyDescent="0.15">
      <c r="B1466"/>
      <c r="N1466"/>
      <c r="P1466"/>
      <c r="Q1466"/>
      <c r="R1466"/>
      <c r="S1466"/>
      <c r="U1466"/>
    </row>
    <row r="1467" spans="2:21" x14ac:dyDescent="0.15">
      <c r="B1467"/>
      <c r="N1467"/>
      <c r="P1467"/>
      <c r="Q1467"/>
      <c r="R1467"/>
      <c r="S1467"/>
      <c r="U1467"/>
    </row>
    <row r="1468" spans="2:21" x14ac:dyDescent="0.15">
      <c r="B1468"/>
      <c r="N1468"/>
      <c r="P1468"/>
      <c r="Q1468"/>
      <c r="R1468"/>
      <c r="S1468"/>
      <c r="U1468"/>
    </row>
    <row r="1469" spans="2:21" x14ac:dyDescent="0.15">
      <c r="B1469"/>
      <c r="N1469"/>
      <c r="P1469"/>
      <c r="Q1469"/>
      <c r="R1469"/>
      <c r="S1469"/>
      <c r="U1469"/>
    </row>
    <row r="1470" spans="2:21" x14ac:dyDescent="0.15">
      <c r="B1470"/>
      <c r="N1470"/>
      <c r="P1470"/>
      <c r="Q1470"/>
      <c r="R1470"/>
      <c r="S1470"/>
      <c r="U1470"/>
    </row>
    <row r="1471" spans="2:21" x14ac:dyDescent="0.15">
      <c r="B1471"/>
      <c r="N1471"/>
      <c r="P1471"/>
      <c r="Q1471"/>
      <c r="R1471"/>
      <c r="S1471"/>
      <c r="U1471"/>
    </row>
    <row r="1472" spans="2:21" x14ac:dyDescent="0.15">
      <c r="B1472"/>
      <c r="N1472"/>
      <c r="P1472"/>
      <c r="Q1472"/>
      <c r="R1472"/>
      <c r="S1472"/>
      <c r="U1472"/>
    </row>
    <row r="1473" spans="2:21" x14ac:dyDescent="0.15">
      <c r="B1473"/>
      <c r="N1473"/>
      <c r="P1473"/>
      <c r="Q1473"/>
      <c r="R1473"/>
      <c r="S1473"/>
      <c r="U1473"/>
    </row>
    <row r="1474" spans="2:21" x14ac:dyDescent="0.15">
      <c r="B1474"/>
      <c r="N1474"/>
      <c r="P1474"/>
      <c r="Q1474"/>
      <c r="R1474"/>
      <c r="S1474"/>
      <c r="U1474"/>
    </row>
    <row r="1475" spans="2:21" x14ac:dyDescent="0.15">
      <c r="B1475"/>
      <c r="N1475"/>
      <c r="P1475"/>
      <c r="Q1475"/>
      <c r="R1475"/>
      <c r="S1475"/>
      <c r="U1475"/>
    </row>
    <row r="1476" spans="2:21" x14ac:dyDescent="0.15">
      <c r="B1476"/>
      <c r="N1476"/>
      <c r="P1476"/>
      <c r="Q1476"/>
      <c r="R1476"/>
      <c r="S1476"/>
      <c r="U1476"/>
    </row>
    <row r="1477" spans="2:21" x14ac:dyDescent="0.15">
      <c r="B1477"/>
      <c r="N1477"/>
      <c r="P1477"/>
      <c r="Q1477"/>
      <c r="R1477"/>
      <c r="S1477"/>
      <c r="U1477"/>
    </row>
    <row r="1478" spans="2:21" x14ac:dyDescent="0.15">
      <c r="B1478"/>
      <c r="N1478"/>
      <c r="P1478"/>
      <c r="Q1478"/>
      <c r="R1478"/>
      <c r="S1478"/>
      <c r="U1478"/>
    </row>
    <row r="1479" spans="2:21" x14ac:dyDescent="0.15">
      <c r="B1479"/>
      <c r="N1479"/>
      <c r="P1479"/>
      <c r="Q1479"/>
      <c r="R1479"/>
      <c r="S1479"/>
      <c r="U1479"/>
    </row>
    <row r="1480" spans="2:21" x14ac:dyDescent="0.15">
      <c r="B1480"/>
      <c r="N1480"/>
      <c r="P1480"/>
      <c r="Q1480"/>
      <c r="R1480"/>
      <c r="S1480"/>
      <c r="U1480"/>
    </row>
    <row r="1481" spans="2:21" x14ac:dyDescent="0.15">
      <c r="B1481"/>
      <c r="N1481"/>
      <c r="P1481"/>
      <c r="Q1481"/>
      <c r="R1481"/>
      <c r="S1481"/>
      <c r="U1481"/>
    </row>
    <row r="1482" spans="2:21" x14ac:dyDescent="0.15">
      <c r="B1482"/>
      <c r="N1482"/>
      <c r="P1482"/>
      <c r="Q1482"/>
      <c r="R1482"/>
      <c r="S1482"/>
      <c r="U1482"/>
    </row>
    <row r="1483" spans="2:21" x14ac:dyDescent="0.15">
      <c r="B1483"/>
      <c r="N1483"/>
      <c r="P1483"/>
      <c r="Q1483"/>
      <c r="R1483"/>
      <c r="S1483"/>
      <c r="U1483"/>
    </row>
    <row r="1484" spans="2:21" x14ac:dyDescent="0.15">
      <c r="B1484"/>
      <c r="N1484"/>
      <c r="P1484"/>
      <c r="Q1484"/>
      <c r="R1484"/>
      <c r="S1484"/>
      <c r="U1484"/>
    </row>
    <row r="1485" spans="2:21" x14ac:dyDescent="0.15">
      <c r="B1485"/>
      <c r="N1485"/>
      <c r="P1485"/>
      <c r="Q1485"/>
      <c r="R1485"/>
      <c r="S1485"/>
      <c r="U1485"/>
    </row>
    <row r="1486" spans="2:21" x14ac:dyDescent="0.15">
      <c r="B1486"/>
      <c r="N1486"/>
      <c r="P1486"/>
      <c r="Q1486"/>
      <c r="R1486"/>
      <c r="S1486"/>
      <c r="U1486"/>
    </row>
    <row r="1487" spans="2:21" x14ac:dyDescent="0.15">
      <c r="B1487"/>
      <c r="N1487"/>
      <c r="P1487"/>
      <c r="Q1487"/>
      <c r="R1487"/>
      <c r="S1487"/>
      <c r="U1487"/>
    </row>
    <row r="1488" spans="2:21" x14ac:dyDescent="0.15">
      <c r="B1488"/>
      <c r="N1488"/>
      <c r="P1488"/>
      <c r="Q1488"/>
      <c r="R1488"/>
      <c r="S1488"/>
      <c r="U1488"/>
    </row>
    <row r="1489" spans="2:21" x14ac:dyDescent="0.15">
      <c r="B1489"/>
      <c r="N1489"/>
      <c r="P1489"/>
      <c r="Q1489"/>
      <c r="R1489"/>
      <c r="S1489"/>
      <c r="U1489"/>
    </row>
    <row r="1490" spans="2:21" x14ac:dyDescent="0.15">
      <c r="B1490"/>
      <c r="N1490"/>
      <c r="P1490"/>
      <c r="Q1490"/>
      <c r="R1490"/>
      <c r="S1490"/>
      <c r="U1490"/>
    </row>
    <row r="1491" spans="2:21" x14ac:dyDescent="0.15">
      <c r="B1491"/>
      <c r="N1491"/>
      <c r="P1491"/>
      <c r="Q1491"/>
      <c r="R1491"/>
      <c r="S1491"/>
      <c r="U1491"/>
    </row>
    <row r="1492" spans="2:21" x14ac:dyDescent="0.15">
      <c r="B1492"/>
      <c r="N1492"/>
      <c r="P1492"/>
      <c r="Q1492"/>
      <c r="R1492"/>
      <c r="S1492"/>
      <c r="U1492"/>
    </row>
    <row r="1493" spans="2:21" x14ac:dyDescent="0.15">
      <c r="B1493"/>
      <c r="N1493"/>
      <c r="P1493"/>
      <c r="Q1493"/>
      <c r="R1493"/>
      <c r="S1493"/>
      <c r="U1493"/>
    </row>
    <row r="1494" spans="2:21" x14ac:dyDescent="0.15">
      <c r="B1494"/>
      <c r="N1494"/>
      <c r="P1494"/>
      <c r="Q1494"/>
      <c r="R1494"/>
      <c r="S1494"/>
      <c r="U1494"/>
    </row>
    <row r="1495" spans="2:21" x14ac:dyDescent="0.15">
      <c r="B1495"/>
      <c r="N1495"/>
      <c r="P1495"/>
      <c r="Q1495"/>
      <c r="R1495"/>
      <c r="S1495"/>
      <c r="U1495"/>
    </row>
    <row r="1496" spans="2:21" x14ac:dyDescent="0.15">
      <c r="B1496"/>
      <c r="N1496"/>
      <c r="P1496"/>
      <c r="Q1496"/>
      <c r="R1496"/>
      <c r="S1496"/>
      <c r="U1496"/>
    </row>
    <row r="1497" spans="2:21" x14ac:dyDescent="0.15">
      <c r="B1497"/>
      <c r="N1497"/>
      <c r="P1497"/>
      <c r="Q1497"/>
      <c r="R1497"/>
      <c r="S1497"/>
      <c r="U1497"/>
    </row>
    <row r="1498" spans="2:21" x14ac:dyDescent="0.15">
      <c r="B1498"/>
      <c r="N1498"/>
      <c r="P1498"/>
      <c r="Q1498"/>
      <c r="R1498"/>
      <c r="S1498"/>
      <c r="U1498"/>
    </row>
    <row r="1499" spans="2:21" x14ac:dyDescent="0.15">
      <c r="B1499"/>
      <c r="N1499"/>
      <c r="P1499"/>
      <c r="Q1499"/>
      <c r="R1499"/>
      <c r="S1499"/>
      <c r="U1499"/>
    </row>
    <row r="1500" spans="2:21" x14ac:dyDescent="0.15">
      <c r="B1500"/>
      <c r="N1500"/>
      <c r="P1500"/>
      <c r="Q1500"/>
      <c r="R1500"/>
      <c r="S1500"/>
      <c r="U1500"/>
    </row>
    <row r="1501" spans="2:21" x14ac:dyDescent="0.15">
      <c r="B1501"/>
      <c r="N1501"/>
      <c r="P1501"/>
      <c r="Q1501"/>
      <c r="R1501"/>
      <c r="S1501"/>
      <c r="U1501"/>
    </row>
    <row r="1502" spans="2:21" x14ac:dyDescent="0.15">
      <c r="B1502"/>
      <c r="N1502"/>
      <c r="P1502"/>
      <c r="Q1502"/>
      <c r="R1502"/>
      <c r="S1502"/>
      <c r="U1502"/>
    </row>
    <row r="1503" spans="2:21" x14ac:dyDescent="0.15">
      <c r="B1503"/>
      <c r="N1503"/>
      <c r="P1503"/>
      <c r="Q1503"/>
      <c r="R1503"/>
      <c r="S1503"/>
      <c r="U1503"/>
    </row>
    <row r="1504" spans="2:21" x14ac:dyDescent="0.15">
      <c r="B1504"/>
      <c r="N1504"/>
      <c r="P1504"/>
      <c r="Q1504"/>
      <c r="R1504"/>
      <c r="S1504"/>
      <c r="U1504"/>
    </row>
    <row r="1505" spans="2:21" x14ac:dyDescent="0.15">
      <c r="B1505"/>
      <c r="N1505"/>
      <c r="P1505"/>
      <c r="Q1505"/>
      <c r="R1505"/>
      <c r="S1505"/>
      <c r="U1505"/>
    </row>
    <row r="1506" spans="2:21" x14ac:dyDescent="0.15">
      <c r="B1506"/>
      <c r="N1506"/>
      <c r="P1506"/>
      <c r="Q1506"/>
      <c r="R1506"/>
      <c r="S1506"/>
      <c r="U1506"/>
    </row>
    <row r="1507" spans="2:21" x14ac:dyDescent="0.15">
      <c r="B1507"/>
      <c r="N1507"/>
      <c r="P1507"/>
      <c r="Q1507"/>
      <c r="R1507"/>
      <c r="S1507"/>
      <c r="U1507"/>
    </row>
    <row r="1508" spans="2:21" x14ac:dyDescent="0.15">
      <c r="B1508"/>
      <c r="N1508"/>
      <c r="P1508"/>
      <c r="Q1508"/>
      <c r="R1508"/>
      <c r="S1508"/>
      <c r="U1508"/>
    </row>
    <row r="1509" spans="2:21" x14ac:dyDescent="0.15">
      <c r="B1509"/>
      <c r="N1509"/>
      <c r="P1509"/>
      <c r="Q1509"/>
      <c r="R1509"/>
      <c r="S1509"/>
      <c r="U1509"/>
    </row>
    <row r="1510" spans="2:21" x14ac:dyDescent="0.15">
      <c r="B1510"/>
      <c r="N1510"/>
      <c r="P1510"/>
      <c r="Q1510"/>
      <c r="R1510"/>
      <c r="S1510"/>
      <c r="U1510"/>
    </row>
    <row r="1511" spans="2:21" x14ac:dyDescent="0.15">
      <c r="B1511"/>
      <c r="N1511"/>
      <c r="P1511"/>
      <c r="Q1511"/>
      <c r="R1511"/>
      <c r="S1511"/>
      <c r="U1511"/>
    </row>
    <row r="1512" spans="2:21" x14ac:dyDescent="0.15">
      <c r="B1512"/>
      <c r="N1512"/>
      <c r="P1512"/>
      <c r="Q1512"/>
      <c r="R1512"/>
      <c r="S1512"/>
      <c r="U1512"/>
    </row>
    <row r="1513" spans="2:21" x14ac:dyDescent="0.15">
      <c r="B1513"/>
      <c r="N1513"/>
      <c r="P1513"/>
      <c r="Q1513"/>
      <c r="R1513"/>
      <c r="S1513"/>
      <c r="U1513"/>
    </row>
    <row r="1514" spans="2:21" x14ac:dyDescent="0.15">
      <c r="B1514"/>
      <c r="N1514"/>
      <c r="P1514"/>
      <c r="Q1514"/>
      <c r="R1514"/>
      <c r="S1514"/>
      <c r="U1514"/>
    </row>
    <row r="1515" spans="2:21" x14ac:dyDescent="0.15">
      <c r="B1515"/>
      <c r="N1515"/>
      <c r="P1515"/>
      <c r="Q1515"/>
      <c r="R1515"/>
      <c r="S1515"/>
      <c r="U1515"/>
    </row>
    <row r="1516" spans="2:21" x14ac:dyDescent="0.15">
      <c r="B1516"/>
      <c r="N1516"/>
      <c r="P1516"/>
      <c r="Q1516"/>
      <c r="R1516"/>
      <c r="S1516"/>
      <c r="U1516"/>
    </row>
    <row r="1517" spans="2:21" x14ac:dyDescent="0.15">
      <c r="B1517"/>
      <c r="N1517"/>
      <c r="P1517"/>
      <c r="Q1517"/>
      <c r="R1517"/>
      <c r="S1517"/>
      <c r="U1517"/>
    </row>
    <row r="1518" spans="2:21" x14ac:dyDescent="0.15">
      <c r="B1518"/>
      <c r="N1518"/>
      <c r="P1518"/>
      <c r="Q1518"/>
      <c r="R1518"/>
      <c r="S1518"/>
      <c r="U1518"/>
    </row>
    <row r="1519" spans="2:21" x14ac:dyDescent="0.15">
      <c r="B1519"/>
      <c r="N1519"/>
      <c r="P1519"/>
      <c r="Q1519"/>
      <c r="R1519"/>
      <c r="S1519"/>
      <c r="U1519"/>
    </row>
    <row r="1520" spans="2:21" x14ac:dyDescent="0.15">
      <c r="B1520"/>
      <c r="N1520"/>
      <c r="P1520"/>
      <c r="Q1520"/>
      <c r="R1520"/>
      <c r="S1520"/>
      <c r="U1520"/>
    </row>
    <row r="1521" spans="2:21" x14ac:dyDescent="0.15">
      <c r="B1521"/>
      <c r="N1521"/>
      <c r="P1521"/>
      <c r="Q1521"/>
      <c r="R1521"/>
      <c r="S1521"/>
      <c r="U1521"/>
    </row>
    <row r="1522" spans="2:21" x14ac:dyDescent="0.15">
      <c r="B1522"/>
      <c r="N1522"/>
      <c r="P1522"/>
      <c r="Q1522"/>
      <c r="R1522"/>
      <c r="S1522"/>
      <c r="U1522"/>
    </row>
    <row r="1523" spans="2:21" x14ac:dyDescent="0.15">
      <c r="B1523"/>
      <c r="N1523"/>
      <c r="P1523"/>
      <c r="Q1523"/>
      <c r="R1523"/>
      <c r="S1523"/>
      <c r="U1523"/>
    </row>
    <row r="1524" spans="2:21" x14ac:dyDescent="0.15">
      <c r="B1524"/>
      <c r="N1524"/>
      <c r="P1524"/>
      <c r="Q1524"/>
      <c r="R1524"/>
      <c r="S1524"/>
      <c r="U1524"/>
    </row>
    <row r="1525" spans="2:21" x14ac:dyDescent="0.15">
      <c r="B1525"/>
      <c r="N1525"/>
      <c r="P1525"/>
      <c r="Q1525"/>
      <c r="R1525"/>
      <c r="S1525"/>
      <c r="U1525"/>
    </row>
    <row r="1526" spans="2:21" x14ac:dyDescent="0.15">
      <c r="B1526"/>
      <c r="N1526"/>
      <c r="P1526"/>
      <c r="Q1526"/>
      <c r="R1526"/>
      <c r="S1526"/>
      <c r="U1526"/>
    </row>
    <row r="1527" spans="2:21" x14ac:dyDescent="0.15">
      <c r="B1527"/>
      <c r="N1527"/>
      <c r="P1527"/>
      <c r="Q1527"/>
      <c r="R1527"/>
      <c r="S1527"/>
      <c r="U1527"/>
    </row>
    <row r="1528" spans="2:21" x14ac:dyDescent="0.15">
      <c r="B1528"/>
      <c r="N1528"/>
      <c r="P1528"/>
      <c r="Q1528"/>
      <c r="R1528"/>
      <c r="S1528"/>
      <c r="U1528"/>
    </row>
    <row r="1529" spans="2:21" x14ac:dyDescent="0.15">
      <c r="B1529"/>
      <c r="N1529"/>
      <c r="P1529"/>
      <c r="Q1529"/>
      <c r="R1529"/>
      <c r="S1529"/>
      <c r="U1529"/>
    </row>
    <row r="1530" spans="2:21" x14ac:dyDescent="0.15">
      <c r="B1530"/>
      <c r="N1530"/>
      <c r="P1530"/>
      <c r="Q1530"/>
      <c r="R1530"/>
      <c r="S1530"/>
      <c r="U1530"/>
    </row>
    <row r="1531" spans="2:21" x14ac:dyDescent="0.15">
      <c r="B1531"/>
      <c r="N1531"/>
      <c r="P1531"/>
      <c r="Q1531"/>
      <c r="R1531"/>
      <c r="S1531"/>
      <c r="U1531"/>
    </row>
    <row r="1532" spans="2:21" x14ac:dyDescent="0.15">
      <c r="B1532"/>
      <c r="N1532"/>
      <c r="P1532"/>
      <c r="Q1532"/>
      <c r="R1532"/>
      <c r="S1532"/>
      <c r="U1532"/>
    </row>
    <row r="1533" spans="2:21" x14ac:dyDescent="0.15">
      <c r="B1533"/>
      <c r="N1533"/>
      <c r="P1533"/>
      <c r="Q1533"/>
      <c r="R1533"/>
      <c r="S1533"/>
      <c r="U1533"/>
    </row>
    <row r="1534" spans="2:21" x14ac:dyDescent="0.15">
      <c r="B1534"/>
      <c r="N1534"/>
      <c r="P1534"/>
      <c r="Q1534"/>
      <c r="R1534"/>
      <c r="S1534"/>
      <c r="U1534"/>
    </row>
    <row r="1535" spans="2:21" x14ac:dyDescent="0.15">
      <c r="B1535"/>
      <c r="N1535"/>
      <c r="P1535"/>
      <c r="Q1535"/>
      <c r="R1535"/>
      <c r="S1535"/>
      <c r="U1535"/>
    </row>
    <row r="1536" spans="2:21" x14ac:dyDescent="0.15">
      <c r="B1536"/>
      <c r="N1536"/>
      <c r="P1536"/>
      <c r="Q1536"/>
      <c r="R1536"/>
      <c r="S1536"/>
      <c r="U1536"/>
    </row>
    <row r="1537" spans="2:21" x14ac:dyDescent="0.15">
      <c r="B1537"/>
      <c r="N1537"/>
      <c r="P1537"/>
      <c r="Q1537"/>
      <c r="R1537"/>
      <c r="S1537"/>
      <c r="U1537"/>
    </row>
    <row r="1538" spans="2:21" x14ac:dyDescent="0.15">
      <c r="B1538"/>
      <c r="N1538"/>
      <c r="P1538"/>
      <c r="Q1538"/>
      <c r="R1538"/>
      <c r="S1538"/>
      <c r="U1538"/>
    </row>
    <row r="1539" spans="2:21" x14ac:dyDescent="0.15">
      <c r="B1539"/>
      <c r="N1539"/>
      <c r="P1539"/>
      <c r="Q1539"/>
      <c r="R1539"/>
      <c r="S1539"/>
      <c r="U1539"/>
    </row>
    <row r="1540" spans="2:21" x14ac:dyDescent="0.15">
      <c r="B1540"/>
      <c r="N1540"/>
      <c r="P1540"/>
      <c r="Q1540"/>
      <c r="R1540"/>
      <c r="S1540"/>
      <c r="U1540"/>
    </row>
    <row r="1541" spans="2:21" x14ac:dyDescent="0.15">
      <c r="B1541"/>
      <c r="N1541"/>
      <c r="P1541"/>
      <c r="Q1541"/>
      <c r="R1541"/>
      <c r="S1541"/>
      <c r="U1541"/>
    </row>
    <row r="1542" spans="2:21" x14ac:dyDescent="0.15">
      <c r="B1542"/>
      <c r="N1542"/>
      <c r="P1542"/>
      <c r="Q1542"/>
      <c r="R1542"/>
      <c r="S1542"/>
      <c r="U1542"/>
    </row>
    <row r="1543" spans="2:21" x14ac:dyDescent="0.15">
      <c r="B1543"/>
      <c r="N1543"/>
      <c r="P1543"/>
      <c r="Q1543"/>
      <c r="R1543"/>
      <c r="S1543"/>
      <c r="U1543"/>
    </row>
    <row r="1544" spans="2:21" x14ac:dyDescent="0.15">
      <c r="B1544"/>
      <c r="N1544"/>
      <c r="P1544"/>
      <c r="Q1544"/>
      <c r="R1544"/>
      <c r="S1544"/>
      <c r="U1544"/>
    </row>
    <row r="1545" spans="2:21" x14ac:dyDescent="0.15">
      <c r="B1545"/>
      <c r="N1545"/>
      <c r="P1545"/>
      <c r="Q1545"/>
      <c r="R1545"/>
      <c r="S1545"/>
      <c r="U1545"/>
    </row>
    <row r="1546" spans="2:21" x14ac:dyDescent="0.15">
      <c r="B1546"/>
      <c r="N1546"/>
      <c r="P1546"/>
      <c r="Q1546"/>
      <c r="R1546"/>
      <c r="S1546"/>
      <c r="U1546"/>
    </row>
    <row r="1547" spans="2:21" x14ac:dyDescent="0.15">
      <c r="B1547"/>
      <c r="N1547"/>
      <c r="P1547"/>
      <c r="Q1547"/>
      <c r="R1547"/>
      <c r="S1547"/>
      <c r="U1547"/>
    </row>
    <row r="1548" spans="2:21" x14ac:dyDescent="0.15">
      <c r="B1548"/>
      <c r="N1548"/>
      <c r="P1548"/>
      <c r="Q1548"/>
      <c r="R1548"/>
      <c r="S1548"/>
      <c r="U1548"/>
    </row>
    <row r="1549" spans="2:21" x14ac:dyDescent="0.15">
      <c r="B1549"/>
      <c r="N1549"/>
      <c r="P1549"/>
      <c r="Q1549"/>
      <c r="R1549"/>
      <c r="S1549"/>
      <c r="U1549"/>
    </row>
    <row r="1550" spans="2:21" x14ac:dyDescent="0.15">
      <c r="B1550"/>
      <c r="N1550"/>
      <c r="P1550"/>
      <c r="Q1550"/>
      <c r="R1550"/>
      <c r="S1550"/>
      <c r="U1550"/>
    </row>
  </sheetData>
  <sortState xmlns:xlrd2="http://schemas.microsoft.com/office/spreadsheetml/2017/richdata2" ref="C29:C34">
    <sortCondition ref="C29:C34"/>
  </sortState>
  <mergeCells count="3">
    <mergeCell ref="E2:F2"/>
    <mergeCell ref="B2:C2"/>
    <mergeCell ref="E1:F1"/>
  </mergeCells>
  <phoneticPr fontId="2"/>
  <dataValidations count="1">
    <dataValidation type="list" allowBlank="1" showInputMessage="1" showErrorMessage="1" sqref="F4" xr:uid="{00000000-0002-0000-1000-000000000000}">
      <formula1>#REF!</formula1>
    </dataValidation>
  </dataValidations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4103" r:id="rId4" name="CommandButton6">
          <controlPr defaultSize="0" autoLine="0" autoPict="0" r:id="rId5">
            <anchor moveWithCells="1">
              <from>
                <xdr:col>31</xdr:col>
                <xdr:colOff>276225</xdr:colOff>
                <xdr:row>0</xdr:row>
                <xdr:rowOff>133350</xdr:rowOff>
              </from>
              <to>
                <xdr:col>33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4103" r:id="rId4" name="CommandButton6"/>
      </mc:Fallback>
    </mc:AlternateContent>
    <mc:AlternateContent xmlns:mc="http://schemas.openxmlformats.org/markup-compatibility/2006">
      <mc:Choice Requires="x14">
        <control shapeId="4102" r:id="rId6" name="CommandButton5">
          <controlPr defaultSize="0" autoLine="0" r:id="rId7">
            <anchor moveWithCells="1">
              <from>
                <xdr:col>28</xdr:col>
                <xdr:colOff>0</xdr:colOff>
                <xdr:row>1</xdr:row>
                <xdr:rowOff>28575</xdr:rowOff>
              </from>
              <to>
                <xdr:col>29</xdr:col>
                <xdr:colOff>514350</xdr:colOff>
                <xdr:row>2</xdr:row>
                <xdr:rowOff>28575</xdr:rowOff>
              </to>
            </anchor>
          </controlPr>
        </control>
      </mc:Choice>
      <mc:Fallback>
        <control shapeId="4102" r:id="rId6" name="CommandButton5"/>
      </mc:Fallback>
    </mc:AlternateContent>
    <mc:AlternateContent xmlns:mc="http://schemas.openxmlformats.org/markup-compatibility/2006">
      <mc:Choice Requires="x14">
        <control shapeId="4101" r:id="rId8" name="CommandButton4">
          <controlPr defaultSize="0" autoLine="0" r:id="rId9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01" r:id="rId8" name="CommandButton4"/>
      </mc:Fallback>
    </mc:AlternateContent>
    <mc:AlternateContent xmlns:mc="http://schemas.openxmlformats.org/markup-compatibility/2006">
      <mc:Choice Requires="x14">
        <control shapeId="4100" r:id="rId10" name="CommandButton3">
          <controlPr defaultSize="0" autoLine="0" r:id="rId11">
            <anchor moveWithCells="1">
              <from>
                <xdr:col>46</xdr:col>
                <xdr:colOff>409575</xdr:colOff>
                <xdr:row>1</xdr:row>
                <xdr:rowOff>133350</xdr:rowOff>
              </from>
              <to>
                <xdr:col>48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4100" r:id="rId10" name="CommandButton3"/>
      </mc:Fallback>
    </mc:AlternateContent>
    <mc:AlternateContent xmlns:mc="http://schemas.openxmlformats.org/markup-compatibility/2006">
      <mc:Choice Requires="x14">
        <control shapeId="4099" r:id="rId12" name="CommandButton2">
          <controlPr defaultSize="0" autoLine="0" r:id="rId13">
            <anchor moveWithCells="1">
              <from>
                <xdr:col>44</xdr:col>
                <xdr:colOff>0</xdr:colOff>
                <xdr:row>1</xdr:row>
                <xdr:rowOff>95250</xdr:rowOff>
              </from>
              <to>
                <xdr:col>45</xdr:col>
                <xdr:colOff>628650</xdr:colOff>
                <xdr:row>3</xdr:row>
                <xdr:rowOff>19050</xdr:rowOff>
              </to>
            </anchor>
          </controlPr>
        </control>
      </mc:Choice>
      <mc:Fallback>
        <control shapeId="4099" r:id="rId12" name="CommandButton2"/>
      </mc:Fallback>
    </mc:AlternateContent>
    <mc:AlternateContent xmlns:mc="http://schemas.openxmlformats.org/markup-compatibility/2006">
      <mc:Choice Requires="x14">
        <control shapeId="4098" r:id="rId14" name="CommandButton1">
          <controlPr defaultSize="0" autoLine="0" autoPict="0" r:id="rId15">
            <anchor moveWithCells="1">
              <from>
                <xdr:col>11</xdr:col>
                <xdr:colOff>28575</xdr:colOff>
                <xdr:row>0</xdr:row>
                <xdr:rowOff>76200</xdr:rowOff>
              </from>
              <to>
                <xdr:col>11</xdr:col>
                <xdr:colOff>1276350</xdr:colOff>
                <xdr:row>1</xdr:row>
                <xdr:rowOff>209550</xdr:rowOff>
              </to>
            </anchor>
          </controlPr>
        </control>
      </mc:Choice>
      <mc:Fallback>
        <control shapeId="4098" r:id="rId1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AH61"/>
  <sheetViews>
    <sheetView workbookViewId="0">
      <selection activeCell="AH11" sqref="AH11:AH46"/>
    </sheetView>
  </sheetViews>
  <sheetFormatPr defaultRowHeight="13.5" x14ac:dyDescent="0.15"/>
  <cols>
    <col min="8" max="8" width="11.875" customWidth="1"/>
    <col min="12" max="12" width="14.5" customWidth="1"/>
  </cols>
  <sheetData>
    <row r="1" spans="1:34" x14ac:dyDescent="0.15">
      <c r="A1" t="s">
        <v>2786</v>
      </c>
      <c r="B1" t="s">
        <v>2787</v>
      </c>
      <c r="C1" t="s">
        <v>2788</v>
      </c>
      <c r="D1" t="s">
        <v>2789</v>
      </c>
      <c r="E1" t="s">
        <v>2790</v>
      </c>
      <c r="AF1" s="469">
        <v>0</v>
      </c>
    </row>
    <row r="2" spans="1:34" x14ac:dyDescent="0.15">
      <c r="A2" s="16" t="s">
        <v>2791</v>
      </c>
      <c r="AF2" s="286">
        <v>19500</v>
      </c>
    </row>
    <row r="3" spans="1:34" x14ac:dyDescent="0.15">
      <c r="A3">
        <v>1</v>
      </c>
      <c r="B3" t="s">
        <v>326</v>
      </c>
      <c r="C3" t="s">
        <v>2792</v>
      </c>
      <c r="D3">
        <v>16</v>
      </c>
      <c r="E3" t="b">
        <v>0</v>
      </c>
      <c r="F3" t="s">
        <v>2793</v>
      </c>
      <c r="AF3" s="286">
        <v>0</v>
      </c>
    </row>
    <row r="4" spans="1:34" x14ac:dyDescent="0.15">
      <c r="A4">
        <v>2</v>
      </c>
      <c r="B4" t="s">
        <v>0</v>
      </c>
      <c r="C4" t="s">
        <v>2794</v>
      </c>
      <c r="D4">
        <v>16</v>
      </c>
      <c r="E4" t="b">
        <v>1</v>
      </c>
      <c r="AF4" s="286">
        <v>0</v>
      </c>
    </row>
    <row r="5" spans="1:34" x14ac:dyDescent="0.15">
      <c r="A5">
        <v>3</v>
      </c>
      <c r="B5" t="s">
        <v>10</v>
      </c>
      <c r="C5" t="s">
        <v>2795</v>
      </c>
      <c r="D5">
        <v>16</v>
      </c>
      <c r="E5" t="b">
        <v>1</v>
      </c>
      <c r="AF5" s="286">
        <v>0</v>
      </c>
    </row>
    <row r="6" spans="1:34" x14ac:dyDescent="0.15">
      <c r="A6">
        <v>4</v>
      </c>
      <c r="B6" t="s">
        <v>11</v>
      </c>
      <c r="C6" t="s">
        <v>2795</v>
      </c>
      <c r="D6">
        <v>16</v>
      </c>
      <c r="E6" t="b">
        <v>1</v>
      </c>
      <c r="AF6" s="286">
        <v>25961</v>
      </c>
    </row>
    <row r="7" spans="1:34" x14ac:dyDescent="0.15">
      <c r="A7">
        <v>5</v>
      </c>
      <c r="B7" t="s">
        <v>13</v>
      </c>
      <c r="C7" t="s">
        <v>2795</v>
      </c>
      <c r="D7">
        <v>16</v>
      </c>
      <c r="E7" t="b">
        <v>1</v>
      </c>
      <c r="AF7" s="286">
        <v>27000</v>
      </c>
    </row>
    <row r="8" spans="1:34" x14ac:dyDescent="0.15">
      <c r="A8">
        <v>6</v>
      </c>
      <c r="B8" t="s">
        <v>1</v>
      </c>
      <c r="C8" t="s">
        <v>2795</v>
      </c>
      <c r="D8">
        <v>128</v>
      </c>
      <c r="E8" t="b">
        <v>1</v>
      </c>
      <c r="AF8" s="286">
        <v>0</v>
      </c>
    </row>
    <row r="9" spans="1:34" x14ac:dyDescent="0.15">
      <c r="A9">
        <v>7</v>
      </c>
      <c r="B9" t="s">
        <v>17</v>
      </c>
      <c r="C9" t="s">
        <v>2795</v>
      </c>
      <c r="D9">
        <v>16</v>
      </c>
      <c r="E9" t="b">
        <v>1</v>
      </c>
      <c r="AF9" s="286">
        <v>0</v>
      </c>
    </row>
    <row r="10" spans="1:34" x14ac:dyDescent="0.15">
      <c r="A10">
        <v>8</v>
      </c>
      <c r="B10" t="s">
        <v>7</v>
      </c>
      <c r="C10" t="s">
        <v>2795</v>
      </c>
      <c r="D10">
        <v>128</v>
      </c>
      <c r="E10" t="b">
        <v>1</v>
      </c>
      <c r="AF10" s="286">
        <v>0</v>
      </c>
    </row>
    <row r="11" spans="1:34" x14ac:dyDescent="0.15">
      <c r="A11">
        <v>9</v>
      </c>
      <c r="B11" t="s">
        <v>308</v>
      </c>
      <c r="C11" t="s">
        <v>2795</v>
      </c>
      <c r="D11">
        <v>16</v>
      </c>
      <c r="E11" t="b">
        <v>1</v>
      </c>
      <c r="AH11" s="286">
        <v>-14760</v>
      </c>
    </row>
    <row r="12" spans="1:34" x14ac:dyDescent="0.15">
      <c r="A12">
        <v>10</v>
      </c>
      <c r="B12" t="s">
        <v>259</v>
      </c>
      <c r="C12" t="s">
        <v>2795</v>
      </c>
      <c r="D12">
        <v>16</v>
      </c>
      <c r="E12" t="b">
        <v>1</v>
      </c>
      <c r="AF12" s="286">
        <v>21461</v>
      </c>
    </row>
    <row r="13" spans="1:34" x14ac:dyDescent="0.15">
      <c r="A13">
        <v>11</v>
      </c>
      <c r="B13" t="s">
        <v>18</v>
      </c>
      <c r="C13" t="s">
        <v>2795</v>
      </c>
      <c r="D13">
        <v>128</v>
      </c>
      <c r="E13" t="b">
        <v>1</v>
      </c>
      <c r="AF13" s="286">
        <v>21461</v>
      </c>
    </row>
    <row r="14" spans="1:34" x14ac:dyDescent="0.15">
      <c r="A14">
        <v>12</v>
      </c>
      <c r="B14" t="s">
        <v>19</v>
      </c>
      <c r="C14" t="s">
        <v>2795</v>
      </c>
      <c r="D14">
        <v>64</v>
      </c>
      <c r="E14" t="b">
        <v>1</v>
      </c>
      <c r="AF14" s="286">
        <v>27115</v>
      </c>
    </row>
    <row r="15" spans="1:34" x14ac:dyDescent="0.15">
      <c r="A15">
        <v>13</v>
      </c>
      <c r="B15" t="s">
        <v>9</v>
      </c>
      <c r="C15" t="s">
        <v>2792</v>
      </c>
      <c r="D15">
        <v>32</v>
      </c>
      <c r="E15" t="b">
        <v>0</v>
      </c>
      <c r="AF15" s="286">
        <v>0</v>
      </c>
    </row>
    <row r="16" spans="1:34" x14ac:dyDescent="0.15">
      <c r="A16">
        <v>14</v>
      </c>
      <c r="B16" t="s">
        <v>8</v>
      </c>
      <c r="C16" t="s">
        <v>2796</v>
      </c>
      <c r="D16">
        <v>32</v>
      </c>
      <c r="E16" t="b">
        <v>0</v>
      </c>
      <c r="AF16" s="286">
        <v>0</v>
      </c>
    </row>
    <row r="17" spans="1:32" x14ac:dyDescent="0.15">
      <c r="A17">
        <v>15</v>
      </c>
      <c r="B17" t="s">
        <v>3</v>
      </c>
      <c r="C17" t="s">
        <v>2792</v>
      </c>
      <c r="D17">
        <v>32</v>
      </c>
      <c r="E17" t="b">
        <v>0</v>
      </c>
      <c r="AF17" s="286">
        <v>0</v>
      </c>
    </row>
    <row r="18" spans="1:32" x14ac:dyDescent="0.15">
      <c r="A18">
        <v>16</v>
      </c>
      <c r="B18" t="s">
        <v>2</v>
      </c>
      <c r="C18" t="s">
        <v>2792</v>
      </c>
      <c r="D18">
        <v>32</v>
      </c>
      <c r="E18" t="b">
        <v>0</v>
      </c>
      <c r="AF18" s="286">
        <v>29416</v>
      </c>
    </row>
    <row r="19" spans="1:32" x14ac:dyDescent="0.15">
      <c r="A19">
        <v>17</v>
      </c>
      <c r="B19" t="s">
        <v>4</v>
      </c>
      <c r="C19" t="s">
        <v>2792</v>
      </c>
      <c r="D19">
        <v>32</v>
      </c>
      <c r="E19" t="b">
        <v>0</v>
      </c>
      <c r="AF19" s="286">
        <v>0</v>
      </c>
    </row>
    <row r="20" spans="1:32" x14ac:dyDescent="0.15">
      <c r="A20">
        <v>18</v>
      </c>
      <c r="B20" t="s">
        <v>325</v>
      </c>
      <c r="C20" t="s">
        <v>2792</v>
      </c>
      <c r="D20">
        <v>32</v>
      </c>
      <c r="E20" t="b">
        <v>0</v>
      </c>
      <c r="AF20" s="286">
        <v>0</v>
      </c>
    </row>
    <row r="21" spans="1:32" x14ac:dyDescent="0.15">
      <c r="A21">
        <v>19</v>
      </c>
      <c r="B21" t="s">
        <v>1456</v>
      </c>
      <c r="C21" t="s">
        <v>2797</v>
      </c>
      <c r="D21">
        <v>8</v>
      </c>
      <c r="E21" t="b">
        <v>0</v>
      </c>
      <c r="AF21" s="286">
        <v>0</v>
      </c>
    </row>
    <row r="22" spans="1:32" x14ac:dyDescent="0.15">
      <c r="A22">
        <v>20</v>
      </c>
      <c r="B22" t="s">
        <v>1457</v>
      </c>
      <c r="C22" t="s">
        <v>2797</v>
      </c>
      <c r="D22">
        <v>8</v>
      </c>
      <c r="E22" t="b">
        <v>0</v>
      </c>
      <c r="AF22" s="286">
        <v>0</v>
      </c>
    </row>
    <row r="23" spans="1:32" x14ac:dyDescent="0.15">
      <c r="A23">
        <v>21</v>
      </c>
      <c r="B23" t="s">
        <v>1280</v>
      </c>
      <c r="C23" t="s">
        <v>2797</v>
      </c>
      <c r="D23">
        <v>8</v>
      </c>
      <c r="E23" t="b">
        <v>0</v>
      </c>
      <c r="AF23" s="286">
        <v>0</v>
      </c>
    </row>
    <row r="24" spans="1:32" x14ac:dyDescent="0.15">
      <c r="A24">
        <v>22</v>
      </c>
      <c r="B24" s="16" t="s">
        <v>2798</v>
      </c>
      <c r="C24" t="s">
        <v>2792</v>
      </c>
      <c r="D24">
        <v>32</v>
      </c>
      <c r="E24" t="b">
        <v>0</v>
      </c>
      <c r="AF24" s="286">
        <v>0</v>
      </c>
    </row>
    <row r="25" spans="1:32" x14ac:dyDescent="0.15">
      <c r="A25">
        <v>23</v>
      </c>
      <c r="B25" t="s">
        <v>1455</v>
      </c>
      <c r="C25" t="s">
        <v>2792</v>
      </c>
      <c r="D25">
        <v>32</v>
      </c>
      <c r="E25" t="b">
        <v>0</v>
      </c>
      <c r="AF25" s="286">
        <v>0</v>
      </c>
    </row>
    <row r="26" spans="1:32" x14ac:dyDescent="0.15">
      <c r="A26">
        <v>24</v>
      </c>
      <c r="B26" t="s">
        <v>1229</v>
      </c>
      <c r="C26" t="s">
        <v>2795</v>
      </c>
      <c r="D26">
        <v>8</v>
      </c>
      <c r="E26" t="b">
        <v>1</v>
      </c>
      <c r="AF26" s="286">
        <v>0</v>
      </c>
    </row>
    <row r="27" spans="1:32" x14ac:dyDescent="0.15">
      <c r="AF27" s="286">
        <v>0</v>
      </c>
    </row>
    <row r="28" spans="1:32" x14ac:dyDescent="0.15">
      <c r="AF28" s="286">
        <v>20100</v>
      </c>
    </row>
    <row r="29" spans="1:32" x14ac:dyDescent="0.15">
      <c r="AF29" s="286">
        <v>17400</v>
      </c>
    </row>
    <row r="30" spans="1:32" x14ac:dyDescent="0.15">
      <c r="G30" t="s">
        <v>2799</v>
      </c>
      <c r="H30" t="s">
        <v>2800</v>
      </c>
      <c r="I30" t="s">
        <v>2801</v>
      </c>
      <c r="J30" t="s">
        <v>2802</v>
      </c>
      <c r="K30" t="s">
        <v>12</v>
      </c>
      <c r="L30" t="s">
        <v>2803</v>
      </c>
      <c r="M30" t="s">
        <v>16</v>
      </c>
      <c r="N30" t="s">
        <v>2804</v>
      </c>
      <c r="O30" t="s">
        <v>2805</v>
      </c>
      <c r="P30" t="s">
        <v>2806</v>
      </c>
      <c r="Q30" t="s">
        <v>2807</v>
      </c>
      <c r="R30" t="s">
        <v>2808</v>
      </c>
      <c r="S30" t="s">
        <v>2809</v>
      </c>
      <c r="T30" t="s">
        <v>2810</v>
      </c>
      <c r="U30" t="s">
        <v>2811</v>
      </c>
      <c r="V30" t="s">
        <v>2812</v>
      </c>
      <c r="W30" t="s">
        <v>2813</v>
      </c>
      <c r="X30" t="s">
        <v>2814</v>
      </c>
      <c r="Y30" t="s">
        <v>1395</v>
      </c>
      <c r="Z30" t="s">
        <v>1392</v>
      </c>
      <c r="AA30" t="s">
        <v>2815</v>
      </c>
      <c r="AB30" t="s">
        <v>2816</v>
      </c>
      <c r="AC30" t="s">
        <v>2817</v>
      </c>
      <c r="AD30" t="s">
        <v>2818</v>
      </c>
      <c r="AF30" s="286">
        <v>0</v>
      </c>
    </row>
    <row r="31" spans="1:32" x14ac:dyDescent="0.15">
      <c r="G31">
        <v>2596</v>
      </c>
      <c r="H31" s="25">
        <v>42733</v>
      </c>
      <c r="I31" t="s">
        <v>1556</v>
      </c>
      <c r="J31" t="s">
        <v>1396</v>
      </c>
      <c r="K31" t="s">
        <v>21</v>
      </c>
      <c r="L31" t="s">
        <v>50</v>
      </c>
      <c r="M31" t="s">
        <v>381</v>
      </c>
      <c r="N31" t="s">
        <v>1408</v>
      </c>
      <c r="O31" t="s">
        <v>271</v>
      </c>
      <c r="P31" t="s">
        <v>1160</v>
      </c>
      <c r="Q31" t="s">
        <v>1411</v>
      </c>
      <c r="R31" t="s">
        <v>1569</v>
      </c>
      <c r="S31">
        <v>306000</v>
      </c>
      <c r="T31">
        <v>60</v>
      </c>
      <c r="U31">
        <v>1</v>
      </c>
      <c r="V31">
        <v>183600</v>
      </c>
      <c r="W31">
        <v>183600</v>
      </c>
      <c r="X31">
        <v>40411</v>
      </c>
      <c r="Y31">
        <v>0</v>
      </c>
      <c r="Z31">
        <v>1</v>
      </c>
      <c r="AA31">
        <v>0</v>
      </c>
      <c r="AB31">
        <v>0</v>
      </c>
      <c r="AC31">
        <v>0</v>
      </c>
      <c r="AD31" t="s">
        <v>1392</v>
      </c>
      <c r="AF31" s="286">
        <v>0</v>
      </c>
    </row>
    <row r="32" spans="1:32" x14ac:dyDescent="0.15">
      <c r="AF32" s="286">
        <v>0</v>
      </c>
    </row>
    <row r="33" spans="32:34" x14ac:dyDescent="0.15">
      <c r="AF33" s="286">
        <v>20250</v>
      </c>
    </row>
    <row r="34" spans="32:34" x14ac:dyDescent="0.15">
      <c r="AF34" s="286">
        <v>0</v>
      </c>
    </row>
    <row r="35" spans="32:34" x14ac:dyDescent="0.15">
      <c r="AF35" s="286">
        <v>0</v>
      </c>
    </row>
    <row r="36" spans="32:34" x14ac:dyDescent="0.15">
      <c r="AF36" s="286">
        <v>0</v>
      </c>
    </row>
    <row r="37" spans="32:34" x14ac:dyDescent="0.15">
      <c r="AF37" s="286">
        <v>0</v>
      </c>
    </row>
    <row r="38" spans="32:34" x14ac:dyDescent="0.15">
      <c r="AF38" s="286">
        <v>24576</v>
      </c>
    </row>
    <row r="39" spans="32:34" x14ac:dyDescent="0.15">
      <c r="AF39" s="286">
        <v>19080</v>
      </c>
    </row>
    <row r="40" spans="32:34" x14ac:dyDescent="0.15">
      <c r="AF40" s="286">
        <v>0</v>
      </c>
    </row>
    <row r="41" spans="32:34" x14ac:dyDescent="0.15">
      <c r="AF41" s="286">
        <v>0</v>
      </c>
    </row>
    <row r="42" spans="32:34" x14ac:dyDescent="0.15">
      <c r="AF42" s="286">
        <v>0</v>
      </c>
    </row>
    <row r="43" spans="32:34" x14ac:dyDescent="0.15">
      <c r="AF43" s="286">
        <v>0</v>
      </c>
    </row>
    <row r="44" spans="32:34" x14ac:dyDescent="0.15">
      <c r="AF44" s="286">
        <v>0</v>
      </c>
    </row>
    <row r="45" spans="32:34" x14ac:dyDescent="0.15">
      <c r="AF45" s="286">
        <v>0</v>
      </c>
    </row>
    <row r="46" spans="32:34" x14ac:dyDescent="0.15">
      <c r="AH46" s="286">
        <v>-27115</v>
      </c>
    </row>
    <row r="47" spans="32:34" x14ac:dyDescent="0.15">
      <c r="AF47" s="286">
        <v>16800</v>
      </c>
    </row>
    <row r="48" spans="32:34" x14ac:dyDescent="0.15">
      <c r="AF48" s="286">
        <v>15000</v>
      </c>
    </row>
    <row r="49" spans="32:32" x14ac:dyDescent="0.15">
      <c r="AF49" s="286">
        <v>15000</v>
      </c>
    </row>
    <row r="50" spans="32:32" x14ac:dyDescent="0.15">
      <c r="AF50" s="286">
        <v>15000</v>
      </c>
    </row>
    <row r="51" spans="32:32" x14ac:dyDescent="0.15">
      <c r="AF51" s="286">
        <v>29999</v>
      </c>
    </row>
    <row r="52" spans="32:32" x14ac:dyDescent="0.15">
      <c r="AF52" s="286">
        <v>29999</v>
      </c>
    </row>
    <row r="53" spans="32:32" x14ac:dyDescent="0.15">
      <c r="AF53" s="286">
        <v>16200</v>
      </c>
    </row>
    <row r="54" spans="32:32" x14ac:dyDescent="0.15">
      <c r="AF54" s="286">
        <v>19500</v>
      </c>
    </row>
    <row r="55" spans="32:32" x14ac:dyDescent="0.15">
      <c r="AF55" s="286">
        <v>16200</v>
      </c>
    </row>
    <row r="56" spans="32:32" x14ac:dyDescent="0.15">
      <c r="AF56" s="286">
        <v>15600</v>
      </c>
    </row>
    <row r="57" spans="32:32" x14ac:dyDescent="0.15">
      <c r="AF57" s="286">
        <v>16200</v>
      </c>
    </row>
    <row r="58" spans="32:32" x14ac:dyDescent="0.15">
      <c r="AF58" s="286">
        <v>15600</v>
      </c>
    </row>
    <row r="59" spans="32:32" x14ac:dyDescent="0.15">
      <c r="AF59" s="286">
        <v>15600</v>
      </c>
    </row>
    <row r="60" spans="32:32" x14ac:dyDescent="0.15">
      <c r="AF60" s="283">
        <v>0</v>
      </c>
    </row>
    <row r="61" spans="32:32" x14ac:dyDescent="0.15">
      <c r="AF61" s="470">
        <v>0</v>
      </c>
    </row>
  </sheetData>
  <phoneticPr fontId="2"/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66565" r:id="rId4" name="CommandButton5">
          <controlPr defaultSize="0" autoLine="0" autoPict="0" r:id="rId5">
            <anchor moveWithCells="1">
              <from>
                <xdr:col>7</xdr:col>
                <xdr:colOff>9525</xdr:colOff>
                <xdr:row>18</xdr:row>
                <xdr:rowOff>0</xdr:rowOff>
              </from>
              <to>
                <xdr:col>8</xdr:col>
                <xdr:colOff>476250</xdr:colOff>
                <xdr:row>20</xdr:row>
                <xdr:rowOff>38100</xdr:rowOff>
              </to>
            </anchor>
          </controlPr>
        </control>
      </mc:Choice>
      <mc:Fallback>
        <control shapeId="66565" r:id="rId4" name="CommandButton5"/>
      </mc:Fallback>
    </mc:AlternateContent>
    <mc:AlternateContent xmlns:mc="http://schemas.openxmlformats.org/markup-compatibility/2006">
      <mc:Choice Requires="x14">
        <control shapeId="66564" r:id="rId6" name="CommandButton4">
          <controlPr defaultSize="0" autoLine="0" r:id="rId7">
            <anchor moveWithCells="1">
              <from>
                <xdr:col>7</xdr:col>
                <xdr:colOff>0</xdr:colOff>
                <xdr:row>14</xdr:row>
                <xdr:rowOff>0</xdr:rowOff>
              </from>
              <to>
                <xdr:col>8</xdr:col>
                <xdr:colOff>571500</xdr:colOff>
                <xdr:row>16</xdr:row>
                <xdr:rowOff>9525</xdr:rowOff>
              </to>
            </anchor>
          </controlPr>
        </control>
      </mc:Choice>
      <mc:Fallback>
        <control shapeId="66564" r:id="rId6" name="CommandButton4"/>
      </mc:Fallback>
    </mc:AlternateContent>
    <mc:AlternateContent xmlns:mc="http://schemas.openxmlformats.org/markup-compatibility/2006">
      <mc:Choice Requires="x14">
        <control shapeId="66563" r:id="rId8" name="CommandButton3">
          <controlPr defaultSize="0" autoLine="0" r:id="rId9">
            <anchor moveWithCells="1">
              <from>
                <xdr:col>7</xdr:col>
                <xdr:colOff>0</xdr:colOff>
                <xdr:row>9</xdr:row>
                <xdr:rowOff>123825</xdr:rowOff>
              </from>
              <to>
                <xdr:col>8</xdr:col>
                <xdr:colOff>533400</xdr:colOff>
                <xdr:row>11</xdr:row>
                <xdr:rowOff>133350</xdr:rowOff>
              </to>
            </anchor>
          </controlPr>
        </control>
      </mc:Choice>
      <mc:Fallback>
        <control shapeId="66563" r:id="rId8" name="CommandButton3"/>
      </mc:Fallback>
    </mc:AlternateContent>
    <mc:AlternateContent xmlns:mc="http://schemas.openxmlformats.org/markup-compatibility/2006">
      <mc:Choice Requires="x14">
        <control shapeId="66562" r:id="rId10" name="CommandButton2">
          <controlPr defaultSize="0" autoLine="0" r:id="rId11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8</xdr:col>
                <xdr:colOff>533400</xdr:colOff>
                <xdr:row>7</xdr:row>
                <xdr:rowOff>161925</xdr:rowOff>
              </to>
            </anchor>
          </controlPr>
        </control>
      </mc:Choice>
      <mc:Fallback>
        <control shapeId="66562" r:id="rId10" name="CommandButton2"/>
      </mc:Fallback>
    </mc:AlternateContent>
    <mc:AlternateContent xmlns:mc="http://schemas.openxmlformats.org/markup-compatibility/2006">
      <mc:Choice Requires="x14">
        <control shapeId="66561" r:id="rId12" name="CommandButton1">
          <controlPr defaultSize="0" autoLine="0" r:id="rId13">
            <anchor moveWithCells="1">
              <from>
                <xdr:col>7</xdr:col>
                <xdr:colOff>9525</xdr:colOff>
                <xdr:row>2</xdr:row>
                <xdr:rowOff>0</xdr:rowOff>
              </from>
              <to>
                <xdr:col>8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66561" r:id="rId12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31</vt:i4>
      </vt:variant>
    </vt:vector>
  </HeadingPairs>
  <TitlesOfParts>
    <vt:vector size="49" baseType="lpstr">
      <vt:lpstr>メニュー</vt:lpstr>
      <vt:lpstr>日計表</vt:lpstr>
      <vt:lpstr>地域G</vt:lpstr>
      <vt:lpstr>顧客台帳</vt:lpstr>
      <vt:lpstr>粗利</vt:lpstr>
      <vt:lpstr>請求書</vt:lpstr>
      <vt:lpstr>伝票</vt:lpstr>
      <vt:lpstr>部品台帳</vt:lpstr>
      <vt:lpstr>月間集計</vt:lpstr>
      <vt:lpstr>月合計Ｇ</vt:lpstr>
      <vt:lpstr>年合計Ｇ</vt:lpstr>
      <vt:lpstr>達成月</vt:lpstr>
      <vt:lpstr>達成年</vt:lpstr>
      <vt:lpstr>達成グラフ</vt:lpstr>
      <vt:lpstr>島村各店</vt:lpstr>
      <vt:lpstr>各支店</vt:lpstr>
      <vt:lpstr>閲覧</vt:lpstr>
      <vt:lpstr>DAO_TBL</vt:lpstr>
      <vt:lpstr>JEUGIA</vt:lpstr>
      <vt:lpstr>顧客台帳!Print_Area</vt:lpstr>
      <vt:lpstr>請求書!Print_Area</vt:lpstr>
      <vt:lpstr>粗利!Print_Area</vt:lpstr>
      <vt:lpstr>あぽろん</vt:lpstr>
      <vt:lpstr>イー・エス・ピー</vt:lpstr>
      <vt:lpstr>ザ・ギターラウンジ</vt:lpstr>
      <vt:lpstr>すみやグッディ</vt:lpstr>
      <vt:lpstr>ﾀﾞｽﾄﾎﾞｳﾙ</vt:lpstr>
      <vt:lpstr>パン・プロジェクト</vt:lpstr>
      <vt:lpstr>ミュージックランド</vt:lpstr>
      <vt:lpstr>ヤマハミュージックリテイリング</vt:lpstr>
      <vt:lpstr>ワタナベ楽器</vt:lpstr>
      <vt:lpstr>演算</vt:lpstr>
      <vt:lpstr>下倉楽器</vt:lpstr>
      <vt:lpstr>機種</vt:lpstr>
      <vt:lpstr>宮地楽器</vt:lpstr>
      <vt:lpstr>月間</vt:lpstr>
      <vt:lpstr>顧客</vt:lpstr>
      <vt:lpstr>黒澤楽器</vt:lpstr>
      <vt:lpstr>三木楽器</vt:lpstr>
      <vt:lpstr>山野楽器</vt:lpstr>
      <vt:lpstr>小阪楽器</vt:lpstr>
      <vt:lpstr>昭和楽器</vt:lpstr>
      <vt:lpstr>石橋楽器</vt:lpstr>
      <vt:lpstr>大東楽器</vt:lpstr>
      <vt:lpstr>池部楽器</vt:lpstr>
      <vt:lpstr>島村楽器</vt:lpstr>
      <vt:lpstr>日計</vt:lpstr>
      <vt:lpstr>平野楽器ロッキン</vt:lpstr>
      <vt:lpstr>米子楽器社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MoonG</dc:creator>
  <cp:lastModifiedBy>AndroidStudio</cp:lastModifiedBy>
  <cp:lastPrinted>2019-02-22T08:42:56Z</cp:lastPrinted>
  <dcterms:created xsi:type="dcterms:W3CDTF">2012-03-14T01:54:10Z</dcterms:created>
  <dcterms:modified xsi:type="dcterms:W3CDTF">2019-06-13T02:38:22Z</dcterms:modified>
</cp:coreProperties>
</file>